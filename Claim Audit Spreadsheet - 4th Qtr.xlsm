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Gringotts\Profile\AdefemiA\Desktop\cdh_dashboard_testfiles\claims_audit\"/>
    </mc:Choice>
  </mc:AlternateContent>
  <xr:revisionPtr revIDLastSave="0" documentId="8_{0B0BF25F-A569-40CF-A7FA-16FAA5EA2892}" xr6:coauthVersionLast="47" xr6:coauthVersionMax="47" xr10:uidLastSave="{00000000-0000-0000-0000-000000000000}"/>
  <bookViews>
    <workbookView xWindow="-120" yWindow="-120" windowWidth="29040" windowHeight="15720" xr2:uid="{138114B7-EED4-41BD-9C03-9F7875A14F97}"/>
  </bookViews>
  <sheets>
    <sheet name="09_30_10_06" sheetId="55" r:id="rId1"/>
    <sheet name="09_30_10_06 Acc Rate" sheetId="56" r:id="rId2"/>
    <sheet name="10_07_10_13" sheetId="57" r:id="rId3"/>
    <sheet name="10_07_10_13 Acc Rate" sheetId="58" r:id="rId4"/>
    <sheet name="10_14_10_20" sheetId="59" r:id="rId5"/>
    <sheet name="10_14_10_20 Acc Rate" sheetId="60" r:id="rId6"/>
    <sheet name="10_21_10_27" sheetId="61" r:id="rId7"/>
    <sheet name="10_21_10_27 Acc Rate" sheetId="62" r:id="rId8"/>
    <sheet name="10_28_11_03" sheetId="63" r:id="rId9"/>
    <sheet name="10_28_11_03 Acc Rate" sheetId="64" r:id="rId10"/>
    <sheet name="11_04_11_10" sheetId="65" r:id="rId11"/>
    <sheet name="11_04_11_10 Acc Rate" sheetId="66" r:id="rId12"/>
    <sheet name="11_11_11_17" sheetId="79" r:id="rId13"/>
    <sheet name="11_11_11_17 Acc Rate" sheetId="80" r:id="rId14"/>
    <sheet name="11_18_11_24" sheetId="81" r:id="rId15"/>
    <sheet name="11_18_11_24 Acc Rate" sheetId="82" r:id="rId16"/>
    <sheet name="11_25_12_01" sheetId="83" r:id="rId17"/>
    <sheet name="11_25_12_01 Acc Rate" sheetId="84" r:id="rId18"/>
    <sheet name="12_02_12_08" sheetId="85" r:id="rId19"/>
    <sheet name="12_02_12_08 Acc Rate" sheetId="86" r:id="rId20"/>
    <sheet name="12_09_12_15" sheetId="87" r:id="rId21"/>
    <sheet name="12_09_12_15 Acc Rate" sheetId="88" r:id="rId22"/>
    <sheet name="12_16_12_22" sheetId="89" r:id="rId23"/>
    <sheet name="12_16_12_22 Acc Rate" sheetId="90" r:id="rId24"/>
    <sheet name="12_23_12_29" sheetId="91" r:id="rId25"/>
    <sheet name="12_23_12_29 Acc Rate" sheetId="92" r:id="rId26"/>
    <sheet name="Completion" sheetId="15" r:id="rId27"/>
    <sheet name="Accuracy" sheetId="16" r:id="rId28"/>
    <sheet name="Acc Rate Template" sheetId="17" state="hidden" r:id="rId29"/>
    <sheet name="Auditors" sheetId="19" state="hidden" r:id="rId30"/>
    <sheet name="Directory" sheetId="18" state="hidden" r:id="rId31"/>
  </sheets>
  <functionGroups builtInGroupCount="19"/>
  <definedNames>
    <definedName name="_xlnm._FilterDatabase" localSheetId="0" hidden="1">'09_30_10_06'!$A$1:$U$192</definedName>
    <definedName name="_xlnm._FilterDatabase" localSheetId="2" hidden="1">'10_07_10_13'!$A$1:$U$164</definedName>
    <definedName name="_xlnm._FilterDatabase" localSheetId="4" hidden="1">'10_14_10_20'!$C$1:$C$199</definedName>
    <definedName name="_xlnm._FilterDatabase" localSheetId="6" hidden="1">'10_21_10_27'!$C$1:$C$190</definedName>
    <definedName name="_xlnm._FilterDatabase" localSheetId="8" hidden="1">'10_28_11_03'!$A$1:$AG$39943</definedName>
    <definedName name="_xlnm._FilterDatabase" localSheetId="10" hidden="1">'11_04_11_10'!$A$1:$AG$40215</definedName>
    <definedName name="_xlnm._FilterDatabase" localSheetId="12" hidden="1">'11_11_11_17'!$A$1:$AG$39700</definedName>
    <definedName name="_xlnm._FilterDatabase" localSheetId="14" hidden="1">'11_18_11_24'!$A$1:$AG$39756</definedName>
    <definedName name="_xlnm._FilterDatabase" localSheetId="16" hidden="1">'11_25_12_01'!$C$1:$C$162</definedName>
    <definedName name="_xlnm._FilterDatabase" localSheetId="18" hidden="1">'12_02_12_08'!$A$1:$AG$41677</definedName>
    <definedName name="_xlnm._FilterDatabase" localSheetId="20" hidden="1">'12_09_12_15'!$A$1:$AG$39850</definedName>
    <definedName name="_xlnm._FilterDatabase" localSheetId="22" hidden="1">'12_16_12_22'!$A$1:$A$186</definedName>
    <definedName name="_xlnm._FilterDatabase" localSheetId="24" hidden="1">'12_23_12_29'!$C$1:$C$173</definedName>
    <definedName name="_xlnm._FilterDatabase" localSheetId="27" hidden="1">Accuracy!$B$6:$AR$25</definedName>
    <definedName name="_xlnm._FilterDatabase" localSheetId="30" hidden="1">Directory!$A$1:$O$46</definedName>
    <definedName name="Z_06962B02_28B5_4EB8_A891_861899D12225_.wvu.Cols" localSheetId="27" hidden="1">Accuracy!$C:$D</definedName>
    <definedName name="Z_06962B02_28B5_4EB8_A891_861899D12225_.wvu.FilterData" localSheetId="27" hidden="1">Accuracy!$B$6:$AR$25</definedName>
    <definedName name="Z_203EFFF4_089C_47B2_B7A4_3A73752E62F7_.wvu.Cols" localSheetId="1" hidden="1">'09_30_10_06 Acc Rate'!$C:$G,'09_30_10_06 Acc Rate'!$I:$I,'09_30_10_06 Acc Rate'!$K:$L,'09_30_10_06 Acc Rate'!$N:$O</definedName>
    <definedName name="Z_203EFFF4_089C_47B2_B7A4_3A73752E62F7_.wvu.Cols" localSheetId="3" hidden="1">'10_07_10_13 Acc Rate'!$C:$G,'10_07_10_13 Acc Rate'!$I:$I,'10_07_10_13 Acc Rate'!$K:$L,'10_07_10_13 Acc Rate'!$N:$O</definedName>
    <definedName name="Z_203EFFF4_089C_47B2_B7A4_3A73752E62F7_.wvu.Cols" localSheetId="5" hidden="1">'10_14_10_20 Acc Rate'!$C:$G,'10_14_10_20 Acc Rate'!$I:$I,'10_14_10_20 Acc Rate'!$K:$L,'10_14_10_20 Acc Rate'!$N:$O</definedName>
    <definedName name="Z_203EFFF4_089C_47B2_B7A4_3A73752E62F7_.wvu.Cols" localSheetId="7" hidden="1">'10_21_10_27 Acc Rate'!$C:$G,'10_21_10_27 Acc Rate'!$I:$I,'10_21_10_27 Acc Rate'!$K:$L,'10_21_10_27 Acc Rate'!$N:$O</definedName>
    <definedName name="Z_203EFFF4_089C_47B2_B7A4_3A73752E62F7_.wvu.Cols" localSheetId="9" hidden="1">'10_28_11_03 Acc Rate'!$C:$G,'10_28_11_03 Acc Rate'!$I:$I,'10_28_11_03 Acc Rate'!$K:$L,'10_28_11_03 Acc Rate'!$N:$O</definedName>
    <definedName name="Z_203EFFF4_089C_47B2_B7A4_3A73752E62F7_.wvu.Cols" localSheetId="11" hidden="1">'11_04_11_10 Acc Rate'!$C:$G,'11_04_11_10 Acc Rate'!$I:$I,'11_04_11_10 Acc Rate'!$K:$L,'11_04_11_10 Acc Rate'!$N:$O</definedName>
    <definedName name="Z_203EFFF4_089C_47B2_B7A4_3A73752E62F7_.wvu.Cols" localSheetId="13" hidden="1">'11_11_11_17 Acc Rate'!$C:$G,'11_11_11_17 Acc Rate'!$I:$I,'11_11_11_17 Acc Rate'!$K:$L,'11_11_11_17 Acc Rate'!$N:$O</definedName>
    <definedName name="Z_203EFFF4_089C_47B2_B7A4_3A73752E62F7_.wvu.Cols" localSheetId="15" hidden="1">'11_18_11_24 Acc Rate'!$C:$G,'11_18_11_24 Acc Rate'!$I:$I,'11_18_11_24 Acc Rate'!$K:$L,'11_18_11_24 Acc Rate'!$N:$O</definedName>
    <definedName name="Z_203EFFF4_089C_47B2_B7A4_3A73752E62F7_.wvu.Cols" localSheetId="17" hidden="1">'11_25_12_01 Acc Rate'!$C:$G,'11_25_12_01 Acc Rate'!$I:$I,'11_25_12_01 Acc Rate'!$K:$L,'11_25_12_01 Acc Rate'!$N:$O</definedName>
    <definedName name="Z_203EFFF4_089C_47B2_B7A4_3A73752E62F7_.wvu.Cols" localSheetId="19" hidden="1">'12_02_12_08 Acc Rate'!$C:$G,'12_02_12_08 Acc Rate'!$I:$I,'12_02_12_08 Acc Rate'!$K:$L,'12_02_12_08 Acc Rate'!$N:$O</definedName>
    <definedName name="Z_203EFFF4_089C_47B2_B7A4_3A73752E62F7_.wvu.Cols" localSheetId="21" hidden="1">'12_09_12_15 Acc Rate'!$C:$G,'12_09_12_15 Acc Rate'!$I:$I,'12_09_12_15 Acc Rate'!$K:$L,'12_09_12_15 Acc Rate'!$N:$O</definedName>
    <definedName name="Z_203EFFF4_089C_47B2_B7A4_3A73752E62F7_.wvu.Cols" localSheetId="23" hidden="1">'12_16_12_22 Acc Rate'!$C:$G,'12_16_12_22 Acc Rate'!$I:$I,'12_16_12_22 Acc Rate'!$K:$L,'12_16_12_22 Acc Rate'!$N:$O</definedName>
    <definedName name="Z_203EFFF4_089C_47B2_B7A4_3A73752E62F7_.wvu.Cols" localSheetId="25" hidden="1">'12_23_12_29 Acc Rate'!$C:$G,'12_23_12_29 Acc Rate'!$I:$I,'12_23_12_29 Acc Rate'!$K:$L,'12_23_12_29 Acc Rate'!$N:$O</definedName>
    <definedName name="Z_203EFFF4_089C_47B2_B7A4_3A73752E62F7_.wvu.Cols" localSheetId="28" hidden="1">'Acc Rate Template'!$C:$G,'Acc Rate Template'!$I:$I,'Acc Rate Template'!$K:$L,'Acc Rate Template'!$N:$O</definedName>
    <definedName name="Z_203EFFF4_089C_47B2_B7A4_3A73752E62F7_.wvu.Cols" localSheetId="27" hidden="1">Accuracy!$C:$D</definedName>
    <definedName name="Z_203EFFF4_089C_47B2_B7A4_3A73752E62F7_.wvu.FilterData" localSheetId="27" hidden="1">Accuracy!$B$6:$AR$25</definedName>
    <definedName name="Z_203EFFF4_089C_47B2_B7A4_3A73752E62F7_.wvu.FilterData" localSheetId="30" hidden="1">Directory!$A$1:$K$1</definedName>
    <definedName name="Z_3748FA6B_BE8B_48B9_8411_DA485E895364_.wvu.Cols" localSheetId="27" hidden="1">Accuracy!$C:$D</definedName>
    <definedName name="Z_3748FA6B_BE8B_48B9_8411_DA485E895364_.wvu.FilterData" localSheetId="27" hidden="1">Accuracy!$B$6:$AR$25</definedName>
    <definedName name="Z_3B15401E_9B29_4BD0_B24A_91268360FD03_.wvu.FilterData" localSheetId="27" hidden="1">Accuracy!$B$6:$AR$25</definedName>
    <definedName name="Z_3EE9CC87_2444_446D_B867_08D102D54FBA_.wvu.Cols" localSheetId="1" hidden="1">'09_30_10_06 Acc Rate'!$C:$G,'09_30_10_06 Acc Rate'!$I:$I,'09_30_10_06 Acc Rate'!$K:$L,'09_30_10_06 Acc Rate'!$N:$P</definedName>
    <definedName name="Z_3EE9CC87_2444_446D_B867_08D102D54FBA_.wvu.Cols" localSheetId="3" hidden="1">'10_07_10_13 Acc Rate'!$C:$G,'10_07_10_13 Acc Rate'!$I:$I,'10_07_10_13 Acc Rate'!$K:$L,'10_07_10_13 Acc Rate'!$N:$P</definedName>
    <definedName name="Z_3EE9CC87_2444_446D_B867_08D102D54FBA_.wvu.Cols" localSheetId="5" hidden="1">'10_14_10_20 Acc Rate'!$C:$G,'10_14_10_20 Acc Rate'!$I:$I,'10_14_10_20 Acc Rate'!$K:$L,'10_14_10_20 Acc Rate'!$N:$P</definedName>
    <definedName name="Z_3EE9CC87_2444_446D_B867_08D102D54FBA_.wvu.Cols" localSheetId="7" hidden="1">'10_21_10_27 Acc Rate'!$C:$G,'10_21_10_27 Acc Rate'!$I:$I,'10_21_10_27 Acc Rate'!$K:$L,'10_21_10_27 Acc Rate'!$N:$P</definedName>
    <definedName name="Z_3EE9CC87_2444_446D_B867_08D102D54FBA_.wvu.Cols" localSheetId="9" hidden="1">'10_28_11_03 Acc Rate'!$C:$G,'10_28_11_03 Acc Rate'!$I:$I,'10_28_11_03 Acc Rate'!$K:$L,'10_28_11_03 Acc Rate'!$N:$P</definedName>
    <definedName name="Z_3EE9CC87_2444_446D_B867_08D102D54FBA_.wvu.Cols" localSheetId="11" hidden="1">'11_04_11_10 Acc Rate'!$C:$G,'11_04_11_10 Acc Rate'!$I:$I,'11_04_11_10 Acc Rate'!$K:$L,'11_04_11_10 Acc Rate'!$N:$P</definedName>
    <definedName name="Z_3EE9CC87_2444_446D_B867_08D102D54FBA_.wvu.Cols" localSheetId="13" hidden="1">'11_11_11_17 Acc Rate'!$C:$G,'11_11_11_17 Acc Rate'!$I:$I,'11_11_11_17 Acc Rate'!$K:$L,'11_11_11_17 Acc Rate'!$N:$P</definedName>
    <definedName name="Z_3EE9CC87_2444_446D_B867_08D102D54FBA_.wvu.Cols" localSheetId="15" hidden="1">'11_18_11_24 Acc Rate'!$C:$G,'11_18_11_24 Acc Rate'!$I:$I,'11_18_11_24 Acc Rate'!$K:$L,'11_18_11_24 Acc Rate'!$N:$P</definedName>
    <definedName name="Z_3EE9CC87_2444_446D_B867_08D102D54FBA_.wvu.Cols" localSheetId="17" hidden="1">'11_25_12_01 Acc Rate'!$C:$G,'11_25_12_01 Acc Rate'!$I:$I,'11_25_12_01 Acc Rate'!$K:$L,'11_25_12_01 Acc Rate'!$N:$P</definedName>
    <definedName name="Z_3EE9CC87_2444_446D_B867_08D102D54FBA_.wvu.Cols" localSheetId="19" hidden="1">'12_02_12_08 Acc Rate'!$C:$G,'12_02_12_08 Acc Rate'!$I:$I,'12_02_12_08 Acc Rate'!$K:$L,'12_02_12_08 Acc Rate'!$N:$P</definedName>
    <definedName name="Z_3EE9CC87_2444_446D_B867_08D102D54FBA_.wvu.Cols" localSheetId="21" hidden="1">'12_09_12_15 Acc Rate'!$C:$G,'12_09_12_15 Acc Rate'!$I:$I,'12_09_12_15 Acc Rate'!$K:$L,'12_09_12_15 Acc Rate'!$N:$P</definedName>
    <definedName name="Z_3EE9CC87_2444_446D_B867_08D102D54FBA_.wvu.Cols" localSheetId="23" hidden="1">'12_16_12_22 Acc Rate'!$C:$G,'12_16_12_22 Acc Rate'!$I:$I,'12_16_12_22 Acc Rate'!$K:$L,'12_16_12_22 Acc Rate'!$N:$P</definedName>
    <definedName name="Z_3EE9CC87_2444_446D_B867_08D102D54FBA_.wvu.Cols" localSheetId="25" hidden="1">'12_23_12_29 Acc Rate'!$C:$G,'12_23_12_29 Acc Rate'!$I:$I,'12_23_12_29 Acc Rate'!$K:$L,'12_23_12_29 Acc Rate'!$N:$P</definedName>
    <definedName name="Z_3EE9CC87_2444_446D_B867_08D102D54FBA_.wvu.Cols" localSheetId="28" hidden="1">'Acc Rate Template'!$C:$G,'Acc Rate Template'!$I:$I,'Acc Rate Template'!$K:$L,'Acc Rate Template'!$N:$P</definedName>
    <definedName name="Z_3EE9CC87_2444_446D_B867_08D102D54FBA_.wvu.Cols" localSheetId="27" hidden="1">Accuracy!$C:$D</definedName>
    <definedName name="Z_3EE9CC87_2444_446D_B867_08D102D54FBA_.wvu.FilterData" localSheetId="27" hidden="1">Accuracy!$B$6:$AR$25</definedName>
    <definedName name="Z_3EE9CC87_2444_446D_B867_08D102D54FBA_.wvu.FilterData" localSheetId="30" hidden="1">Directory!$A$1:$O$1</definedName>
    <definedName name="Z_468CFC01_B5E2_4B64_AEBB_0D713B938A96_.wvu.Cols" localSheetId="1" hidden="1">'09_30_10_06 Acc Rate'!$C:$G,'09_30_10_06 Acc Rate'!$I:$I,'09_30_10_06 Acc Rate'!$K:$L,'09_30_10_06 Acc Rate'!$N:$O</definedName>
    <definedName name="Z_468CFC01_B5E2_4B64_AEBB_0D713B938A96_.wvu.Cols" localSheetId="3" hidden="1">'10_07_10_13 Acc Rate'!$C:$G,'10_07_10_13 Acc Rate'!$I:$I,'10_07_10_13 Acc Rate'!$K:$L,'10_07_10_13 Acc Rate'!$N:$O</definedName>
    <definedName name="Z_468CFC01_B5E2_4B64_AEBB_0D713B938A96_.wvu.Cols" localSheetId="5" hidden="1">'10_14_10_20 Acc Rate'!$C:$G,'10_14_10_20 Acc Rate'!$I:$I,'10_14_10_20 Acc Rate'!$K:$L,'10_14_10_20 Acc Rate'!$N:$O</definedName>
    <definedName name="Z_468CFC01_B5E2_4B64_AEBB_0D713B938A96_.wvu.Cols" localSheetId="7" hidden="1">'10_21_10_27 Acc Rate'!$C:$G,'10_21_10_27 Acc Rate'!$I:$I,'10_21_10_27 Acc Rate'!$K:$L,'10_21_10_27 Acc Rate'!$N:$O</definedName>
    <definedName name="Z_468CFC01_B5E2_4B64_AEBB_0D713B938A96_.wvu.Cols" localSheetId="9" hidden="1">'10_28_11_03 Acc Rate'!$C:$G,'10_28_11_03 Acc Rate'!$I:$I,'10_28_11_03 Acc Rate'!$K:$L,'10_28_11_03 Acc Rate'!$N:$O</definedName>
    <definedName name="Z_468CFC01_B5E2_4B64_AEBB_0D713B938A96_.wvu.Cols" localSheetId="11" hidden="1">'11_04_11_10 Acc Rate'!$C:$G,'11_04_11_10 Acc Rate'!$I:$I,'11_04_11_10 Acc Rate'!$K:$L,'11_04_11_10 Acc Rate'!$N:$O</definedName>
    <definedName name="Z_468CFC01_B5E2_4B64_AEBB_0D713B938A96_.wvu.Cols" localSheetId="13" hidden="1">'11_11_11_17 Acc Rate'!$C:$G,'11_11_11_17 Acc Rate'!$I:$I,'11_11_11_17 Acc Rate'!$K:$L,'11_11_11_17 Acc Rate'!$N:$O</definedName>
    <definedName name="Z_468CFC01_B5E2_4B64_AEBB_0D713B938A96_.wvu.Cols" localSheetId="15" hidden="1">'11_18_11_24 Acc Rate'!$C:$G,'11_18_11_24 Acc Rate'!$I:$I,'11_18_11_24 Acc Rate'!$K:$L,'11_18_11_24 Acc Rate'!$N:$O</definedName>
    <definedName name="Z_468CFC01_B5E2_4B64_AEBB_0D713B938A96_.wvu.Cols" localSheetId="17" hidden="1">'11_25_12_01 Acc Rate'!$C:$G,'11_25_12_01 Acc Rate'!$I:$I,'11_25_12_01 Acc Rate'!$K:$L,'11_25_12_01 Acc Rate'!$N:$O</definedName>
    <definedName name="Z_468CFC01_B5E2_4B64_AEBB_0D713B938A96_.wvu.Cols" localSheetId="19" hidden="1">'12_02_12_08 Acc Rate'!$C:$G,'12_02_12_08 Acc Rate'!$I:$I,'12_02_12_08 Acc Rate'!$K:$L,'12_02_12_08 Acc Rate'!$N:$O</definedName>
    <definedName name="Z_468CFC01_B5E2_4B64_AEBB_0D713B938A96_.wvu.Cols" localSheetId="21" hidden="1">'12_09_12_15 Acc Rate'!$C:$G,'12_09_12_15 Acc Rate'!$I:$I,'12_09_12_15 Acc Rate'!$K:$L,'12_09_12_15 Acc Rate'!$N:$O</definedName>
    <definedName name="Z_468CFC01_B5E2_4B64_AEBB_0D713B938A96_.wvu.Cols" localSheetId="23" hidden="1">'12_16_12_22 Acc Rate'!$C:$G,'12_16_12_22 Acc Rate'!$I:$I,'12_16_12_22 Acc Rate'!$K:$L,'12_16_12_22 Acc Rate'!$N:$O</definedName>
    <definedName name="Z_468CFC01_B5E2_4B64_AEBB_0D713B938A96_.wvu.Cols" localSheetId="25" hidden="1">'12_23_12_29 Acc Rate'!$C:$G,'12_23_12_29 Acc Rate'!$I:$I,'12_23_12_29 Acc Rate'!$K:$L,'12_23_12_29 Acc Rate'!$N:$O</definedName>
    <definedName name="Z_468CFC01_B5E2_4B64_AEBB_0D713B938A96_.wvu.Cols" localSheetId="28" hidden="1">'Acc Rate Template'!$C:$G,'Acc Rate Template'!$I:$I,'Acc Rate Template'!$K:$L,'Acc Rate Template'!$N:$O</definedName>
    <definedName name="Z_468CFC01_B5E2_4B64_AEBB_0D713B938A96_.wvu.Cols" localSheetId="27" hidden="1">Accuracy!$C:$D</definedName>
    <definedName name="Z_468CFC01_B5E2_4B64_AEBB_0D713B938A96_.wvu.FilterData" localSheetId="27" hidden="1">Accuracy!$B$6:$AR$25</definedName>
    <definedName name="Z_468CFC01_B5E2_4B64_AEBB_0D713B938A96_.wvu.FilterData" localSheetId="30" hidden="1">Directory!$A$1:$K$1</definedName>
    <definedName name="Z_49557787_A1D2_4D0A_BDEA_206C1EEFF591_.wvu.Cols" localSheetId="1" hidden="1">'09_30_10_06 Acc Rate'!$C:$G,'09_30_10_06 Acc Rate'!$I:$I,'09_30_10_06 Acc Rate'!$K:$L,'09_30_10_06 Acc Rate'!$N:$P</definedName>
    <definedName name="Z_49557787_A1D2_4D0A_BDEA_206C1EEFF591_.wvu.Cols" localSheetId="3" hidden="1">'10_07_10_13 Acc Rate'!$C:$G,'10_07_10_13 Acc Rate'!$I:$I,'10_07_10_13 Acc Rate'!$K:$L,'10_07_10_13 Acc Rate'!$N:$P</definedName>
    <definedName name="Z_49557787_A1D2_4D0A_BDEA_206C1EEFF591_.wvu.Cols" localSheetId="5" hidden="1">'10_14_10_20 Acc Rate'!$C:$G,'10_14_10_20 Acc Rate'!$I:$I,'10_14_10_20 Acc Rate'!$K:$L,'10_14_10_20 Acc Rate'!$N:$P</definedName>
    <definedName name="Z_49557787_A1D2_4D0A_BDEA_206C1EEFF591_.wvu.Cols" localSheetId="7" hidden="1">'10_21_10_27 Acc Rate'!$C:$G,'10_21_10_27 Acc Rate'!$I:$I,'10_21_10_27 Acc Rate'!$K:$L,'10_21_10_27 Acc Rate'!$N:$P</definedName>
    <definedName name="Z_49557787_A1D2_4D0A_BDEA_206C1EEFF591_.wvu.Cols" localSheetId="9" hidden="1">'10_28_11_03 Acc Rate'!$C:$G,'10_28_11_03 Acc Rate'!$I:$I,'10_28_11_03 Acc Rate'!$K:$L,'10_28_11_03 Acc Rate'!$N:$P</definedName>
    <definedName name="Z_49557787_A1D2_4D0A_BDEA_206C1EEFF591_.wvu.Cols" localSheetId="11" hidden="1">'11_04_11_10 Acc Rate'!$C:$G,'11_04_11_10 Acc Rate'!$I:$I,'11_04_11_10 Acc Rate'!$K:$L,'11_04_11_10 Acc Rate'!$N:$P</definedName>
    <definedName name="Z_49557787_A1D2_4D0A_BDEA_206C1EEFF591_.wvu.Cols" localSheetId="13" hidden="1">'11_11_11_17 Acc Rate'!$C:$G,'11_11_11_17 Acc Rate'!$I:$I,'11_11_11_17 Acc Rate'!$K:$L,'11_11_11_17 Acc Rate'!$N:$P</definedName>
    <definedName name="Z_49557787_A1D2_4D0A_BDEA_206C1EEFF591_.wvu.Cols" localSheetId="15" hidden="1">'11_18_11_24 Acc Rate'!$C:$G,'11_18_11_24 Acc Rate'!$I:$I,'11_18_11_24 Acc Rate'!$K:$L,'11_18_11_24 Acc Rate'!$N:$P</definedName>
    <definedName name="Z_49557787_A1D2_4D0A_BDEA_206C1EEFF591_.wvu.Cols" localSheetId="17" hidden="1">'11_25_12_01 Acc Rate'!$C:$G,'11_25_12_01 Acc Rate'!$I:$I,'11_25_12_01 Acc Rate'!$K:$L,'11_25_12_01 Acc Rate'!$N:$P</definedName>
    <definedName name="Z_49557787_A1D2_4D0A_BDEA_206C1EEFF591_.wvu.Cols" localSheetId="19" hidden="1">'12_02_12_08 Acc Rate'!$C:$G,'12_02_12_08 Acc Rate'!$I:$I,'12_02_12_08 Acc Rate'!$K:$L,'12_02_12_08 Acc Rate'!$N:$P</definedName>
    <definedName name="Z_49557787_A1D2_4D0A_BDEA_206C1EEFF591_.wvu.Cols" localSheetId="21" hidden="1">'12_09_12_15 Acc Rate'!$C:$G,'12_09_12_15 Acc Rate'!$I:$I,'12_09_12_15 Acc Rate'!$K:$L,'12_09_12_15 Acc Rate'!$N:$P</definedName>
    <definedName name="Z_49557787_A1D2_4D0A_BDEA_206C1EEFF591_.wvu.Cols" localSheetId="23" hidden="1">'12_16_12_22 Acc Rate'!$C:$G,'12_16_12_22 Acc Rate'!$I:$I,'12_16_12_22 Acc Rate'!$K:$L,'12_16_12_22 Acc Rate'!$N:$P</definedName>
    <definedName name="Z_49557787_A1D2_4D0A_BDEA_206C1EEFF591_.wvu.Cols" localSheetId="25" hidden="1">'12_23_12_29 Acc Rate'!$C:$G,'12_23_12_29 Acc Rate'!$I:$I,'12_23_12_29 Acc Rate'!$K:$L,'12_23_12_29 Acc Rate'!$N:$P</definedName>
    <definedName name="Z_49557787_A1D2_4D0A_BDEA_206C1EEFF591_.wvu.Cols" localSheetId="28" hidden="1">'Acc Rate Template'!$C:$G,'Acc Rate Template'!$I:$I,'Acc Rate Template'!$K:$L,'Acc Rate Template'!$N:$P</definedName>
    <definedName name="Z_49557787_A1D2_4D0A_BDEA_206C1EEFF591_.wvu.Cols" localSheetId="27" hidden="1">Accuracy!$C:$D</definedName>
    <definedName name="Z_49557787_A1D2_4D0A_BDEA_206C1EEFF591_.wvu.FilterData" localSheetId="27" hidden="1">Accuracy!$B$6:$AR$25</definedName>
    <definedName name="Z_49557787_A1D2_4D0A_BDEA_206C1EEFF591_.wvu.FilterData" localSheetId="30" hidden="1">Directory!$A$1:$O$1</definedName>
    <definedName name="Z_4BC6DDE9_9927_4F4A_9340_27CCFBC3C6E0_.wvu.Cols" localSheetId="1" hidden="1">'09_30_10_06 Acc Rate'!$C:$G,'09_30_10_06 Acc Rate'!$I:$I,'09_30_10_06 Acc Rate'!$K:$L</definedName>
    <definedName name="Z_4BC6DDE9_9927_4F4A_9340_27CCFBC3C6E0_.wvu.Cols" localSheetId="3" hidden="1">'10_07_10_13 Acc Rate'!$C:$G,'10_07_10_13 Acc Rate'!$I:$I,'10_07_10_13 Acc Rate'!$K:$L</definedName>
    <definedName name="Z_4BC6DDE9_9927_4F4A_9340_27CCFBC3C6E0_.wvu.Cols" localSheetId="5" hidden="1">'10_14_10_20 Acc Rate'!$C:$G,'10_14_10_20 Acc Rate'!$I:$I,'10_14_10_20 Acc Rate'!$K:$L</definedName>
    <definedName name="Z_4BC6DDE9_9927_4F4A_9340_27CCFBC3C6E0_.wvu.Cols" localSheetId="7" hidden="1">'10_21_10_27 Acc Rate'!$C:$G,'10_21_10_27 Acc Rate'!$I:$I,'10_21_10_27 Acc Rate'!$K:$L</definedName>
    <definedName name="Z_4BC6DDE9_9927_4F4A_9340_27CCFBC3C6E0_.wvu.Cols" localSheetId="9" hidden="1">'10_28_11_03 Acc Rate'!$C:$G,'10_28_11_03 Acc Rate'!$I:$I,'10_28_11_03 Acc Rate'!$K:$L</definedName>
    <definedName name="Z_4BC6DDE9_9927_4F4A_9340_27CCFBC3C6E0_.wvu.Cols" localSheetId="11" hidden="1">'11_04_11_10 Acc Rate'!$C:$G,'11_04_11_10 Acc Rate'!$I:$I,'11_04_11_10 Acc Rate'!$K:$L</definedName>
    <definedName name="Z_4BC6DDE9_9927_4F4A_9340_27CCFBC3C6E0_.wvu.Cols" localSheetId="13" hidden="1">'11_11_11_17 Acc Rate'!$C:$G,'11_11_11_17 Acc Rate'!$I:$I,'11_11_11_17 Acc Rate'!$K:$L</definedName>
    <definedName name="Z_4BC6DDE9_9927_4F4A_9340_27CCFBC3C6E0_.wvu.Cols" localSheetId="15" hidden="1">'11_18_11_24 Acc Rate'!$C:$G,'11_18_11_24 Acc Rate'!$I:$I,'11_18_11_24 Acc Rate'!$K:$L</definedName>
    <definedName name="Z_4BC6DDE9_9927_4F4A_9340_27CCFBC3C6E0_.wvu.Cols" localSheetId="17" hidden="1">'11_25_12_01 Acc Rate'!$C:$G,'11_25_12_01 Acc Rate'!$I:$I,'11_25_12_01 Acc Rate'!$K:$L</definedName>
    <definedName name="Z_4BC6DDE9_9927_4F4A_9340_27CCFBC3C6E0_.wvu.Cols" localSheetId="19" hidden="1">'12_02_12_08 Acc Rate'!$C:$G,'12_02_12_08 Acc Rate'!$I:$I,'12_02_12_08 Acc Rate'!$K:$L</definedName>
    <definedName name="Z_4BC6DDE9_9927_4F4A_9340_27CCFBC3C6E0_.wvu.Cols" localSheetId="21" hidden="1">'12_09_12_15 Acc Rate'!$C:$G,'12_09_12_15 Acc Rate'!$I:$I,'12_09_12_15 Acc Rate'!$K:$L</definedName>
    <definedName name="Z_4BC6DDE9_9927_4F4A_9340_27CCFBC3C6E0_.wvu.Cols" localSheetId="23" hidden="1">'12_16_12_22 Acc Rate'!$C:$G,'12_16_12_22 Acc Rate'!$I:$I,'12_16_12_22 Acc Rate'!$K:$L</definedName>
    <definedName name="Z_4BC6DDE9_9927_4F4A_9340_27CCFBC3C6E0_.wvu.Cols" localSheetId="25" hidden="1">'12_23_12_29 Acc Rate'!$C:$G,'12_23_12_29 Acc Rate'!$I:$I,'12_23_12_29 Acc Rate'!$K:$L</definedName>
    <definedName name="Z_4BC6DDE9_9927_4F4A_9340_27CCFBC3C6E0_.wvu.Cols" localSheetId="28" hidden="1">'Acc Rate Template'!$C:$G,'Acc Rate Template'!$I:$I,'Acc Rate Template'!$K:$L</definedName>
    <definedName name="Z_4BC6DDE9_9927_4F4A_9340_27CCFBC3C6E0_.wvu.Cols" localSheetId="27" hidden="1">Accuracy!$C:$D</definedName>
    <definedName name="Z_4BC6DDE9_9927_4F4A_9340_27CCFBC3C6E0_.wvu.FilterData" localSheetId="27" hidden="1">Accuracy!$B$6:$AR$25</definedName>
    <definedName name="Z_4BC6DDE9_9927_4F4A_9340_27CCFBC3C6E0_.wvu.FilterData" localSheetId="30" hidden="1">Directory!$A$1:$K$1</definedName>
    <definedName name="Z_4D94C31C_5F62_489E_883E_C498EF0D73A8_.wvu.Cols" localSheetId="27" hidden="1">Accuracy!$C:$D</definedName>
    <definedName name="Z_4D94C31C_5F62_489E_883E_C498EF0D73A8_.wvu.FilterData" localSheetId="27" hidden="1">Accuracy!$B$6:$AR$25</definedName>
    <definedName name="Z_59FEBC5D_7E48_4444_A38F_E4C647AEA35E_.wvu.Cols" localSheetId="1" hidden="1">'09_30_10_06 Acc Rate'!$C:$G,'09_30_10_06 Acc Rate'!$I:$I,'09_30_10_06 Acc Rate'!$K:$L,'09_30_10_06 Acc Rate'!$N:$P</definedName>
    <definedName name="Z_59FEBC5D_7E48_4444_A38F_E4C647AEA35E_.wvu.Cols" localSheetId="3" hidden="1">'10_07_10_13 Acc Rate'!$C:$G,'10_07_10_13 Acc Rate'!$I:$I,'10_07_10_13 Acc Rate'!$K:$L,'10_07_10_13 Acc Rate'!$N:$P</definedName>
    <definedName name="Z_59FEBC5D_7E48_4444_A38F_E4C647AEA35E_.wvu.Cols" localSheetId="5" hidden="1">'10_14_10_20 Acc Rate'!$C:$G,'10_14_10_20 Acc Rate'!$I:$I,'10_14_10_20 Acc Rate'!$K:$L,'10_14_10_20 Acc Rate'!$N:$P</definedName>
    <definedName name="Z_59FEBC5D_7E48_4444_A38F_E4C647AEA35E_.wvu.Cols" localSheetId="7" hidden="1">'10_21_10_27 Acc Rate'!$C:$G,'10_21_10_27 Acc Rate'!$I:$I,'10_21_10_27 Acc Rate'!$K:$L,'10_21_10_27 Acc Rate'!$N:$P</definedName>
    <definedName name="Z_59FEBC5D_7E48_4444_A38F_E4C647AEA35E_.wvu.Cols" localSheetId="9" hidden="1">'10_28_11_03 Acc Rate'!$C:$G,'10_28_11_03 Acc Rate'!$I:$I,'10_28_11_03 Acc Rate'!$K:$L,'10_28_11_03 Acc Rate'!$N:$P</definedName>
    <definedName name="Z_59FEBC5D_7E48_4444_A38F_E4C647AEA35E_.wvu.Cols" localSheetId="11" hidden="1">'11_04_11_10 Acc Rate'!$C:$G,'11_04_11_10 Acc Rate'!$I:$I,'11_04_11_10 Acc Rate'!$K:$L,'11_04_11_10 Acc Rate'!$N:$P</definedName>
    <definedName name="Z_59FEBC5D_7E48_4444_A38F_E4C647AEA35E_.wvu.Cols" localSheetId="13" hidden="1">'11_11_11_17 Acc Rate'!$C:$G,'11_11_11_17 Acc Rate'!$I:$I,'11_11_11_17 Acc Rate'!$K:$L,'11_11_11_17 Acc Rate'!$N:$P</definedName>
    <definedName name="Z_59FEBC5D_7E48_4444_A38F_E4C647AEA35E_.wvu.Cols" localSheetId="15" hidden="1">'11_18_11_24 Acc Rate'!$C:$G,'11_18_11_24 Acc Rate'!$I:$I,'11_18_11_24 Acc Rate'!$K:$L,'11_18_11_24 Acc Rate'!$N:$P</definedName>
    <definedName name="Z_59FEBC5D_7E48_4444_A38F_E4C647AEA35E_.wvu.Cols" localSheetId="17" hidden="1">'11_25_12_01 Acc Rate'!$C:$G,'11_25_12_01 Acc Rate'!$I:$I,'11_25_12_01 Acc Rate'!$K:$L,'11_25_12_01 Acc Rate'!$N:$P</definedName>
    <definedName name="Z_59FEBC5D_7E48_4444_A38F_E4C647AEA35E_.wvu.Cols" localSheetId="19" hidden="1">'12_02_12_08 Acc Rate'!$C:$G,'12_02_12_08 Acc Rate'!$I:$I,'12_02_12_08 Acc Rate'!$K:$L,'12_02_12_08 Acc Rate'!$N:$P</definedName>
    <definedName name="Z_59FEBC5D_7E48_4444_A38F_E4C647AEA35E_.wvu.Cols" localSheetId="21" hidden="1">'12_09_12_15 Acc Rate'!$C:$G,'12_09_12_15 Acc Rate'!$I:$I,'12_09_12_15 Acc Rate'!$K:$L,'12_09_12_15 Acc Rate'!$N:$P</definedName>
    <definedName name="Z_59FEBC5D_7E48_4444_A38F_E4C647AEA35E_.wvu.Cols" localSheetId="23" hidden="1">'12_16_12_22 Acc Rate'!$C:$G,'12_16_12_22 Acc Rate'!$I:$I,'12_16_12_22 Acc Rate'!$K:$L,'12_16_12_22 Acc Rate'!$N:$P</definedName>
    <definedName name="Z_59FEBC5D_7E48_4444_A38F_E4C647AEA35E_.wvu.Cols" localSheetId="25" hidden="1">'12_23_12_29 Acc Rate'!$C:$G,'12_23_12_29 Acc Rate'!$I:$I,'12_23_12_29 Acc Rate'!$K:$L,'12_23_12_29 Acc Rate'!$N:$P</definedName>
    <definedName name="Z_59FEBC5D_7E48_4444_A38F_E4C647AEA35E_.wvu.Cols" localSheetId="28" hidden="1">'Acc Rate Template'!$C:$G,'Acc Rate Template'!$I:$I,'Acc Rate Template'!$K:$L,'Acc Rate Template'!$N:$P</definedName>
    <definedName name="Z_59FEBC5D_7E48_4444_A38F_E4C647AEA35E_.wvu.Cols" localSheetId="27" hidden="1">Accuracy!$C:$D</definedName>
    <definedName name="Z_59FEBC5D_7E48_4444_A38F_E4C647AEA35E_.wvu.FilterData" localSheetId="27" hidden="1">Accuracy!$B$6:$AR$25</definedName>
    <definedName name="Z_59FEBC5D_7E48_4444_A38F_E4C647AEA35E_.wvu.FilterData" localSheetId="30" hidden="1">Directory!$A$1:$O$1</definedName>
    <definedName name="Z_5A1E5F3A_A730_4CAC_941B_0C125393E107_.wvu.Cols" localSheetId="27" hidden="1">Accuracy!$C:$D</definedName>
    <definedName name="Z_5A1E5F3A_A730_4CAC_941B_0C125393E107_.wvu.FilterData" localSheetId="27" hidden="1">Accuracy!$B$6:$AR$25</definedName>
    <definedName name="Z_5E20A33A_26AF_481C_84F2_4CF58BCA4359_.wvu.Cols" localSheetId="27" hidden="1">Accuracy!$C:$D</definedName>
    <definedName name="Z_5E20A33A_26AF_481C_84F2_4CF58BCA4359_.wvu.FilterData" localSheetId="27" hidden="1">Accuracy!$B$6:$AR$25</definedName>
    <definedName name="Z_5EFC090E_516F_40E5_BA47_36EFD33BB81C_.wvu.FilterData" localSheetId="30" hidden="1">Directory!$A$1:$K$1</definedName>
    <definedName name="Z_62990CD2_C484_46CB_897A_CEFDE867A351_.wvu.Cols" localSheetId="27" hidden="1">Accuracy!$C:$D</definedName>
    <definedName name="Z_62990CD2_C484_46CB_897A_CEFDE867A351_.wvu.FilterData" localSheetId="27" hidden="1">Accuracy!$B$6:$AR$25</definedName>
    <definedName name="Z_67E0799E_EB2B_409E_B010_87BB4C344D5F_.wvu.Cols" localSheetId="1" hidden="1">'09_30_10_06 Acc Rate'!$C:$G,'09_30_10_06 Acc Rate'!$I:$I,'09_30_10_06 Acc Rate'!$K:$L,'09_30_10_06 Acc Rate'!$N:$P</definedName>
    <definedName name="Z_67E0799E_EB2B_409E_B010_87BB4C344D5F_.wvu.Cols" localSheetId="3" hidden="1">'10_07_10_13 Acc Rate'!$C:$G,'10_07_10_13 Acc Rate'!$I:$I,'10_07_10_13 Acc Rate'!$K:$L,'10_07_10_13 Acc Rate'!$N:$P</definedName>
    <definedName name="Z_67E0799E_EB2B_409E_B010_87BB4C344D5F_.wvu.Cols" localSheetId="5" hidden="1">'10_14_10_20 Acc Rate'!$C:$G,'10_14_10_20 Acc Rate'!$I:$I,'10_14_10_20 Acc Rate'!$K:$L,'10_14_10_20 Acc Rate'!$N:$P</definedName>
    <definedName name="Z_67E0799E_EB2B_409E_B010_87BB4C344D5F_.wvu.Cols" localSheetId="7" hidden="1">'10_21_10_27 Acc Rate'!$C:$G,'10_21_10_27 Acc Rate'!$I:$I,'10_21_10_27 Acc Rate'!$K:$L,'10_21_10_27 Acc Rate'!$N:$P</definedName>
    <definedName name="Z_67E0799E_EB2B_409E_B010_87BB4C344D5F_.wvu.Cols" localSheetId="9" hidden="1">'10_28_11_03 Acc Rate'!$C:$G,'10_28_11_03 Acc Rate'!$I:$I,'10_28_11_03 Acc Rate'!$K:$L,'10_28_11_03 Acc Rate'!$N:$P</definedName>
    <definedName name="Z_67E0799E_EB2B_409E_B010_87BB4C344D5F_.wvu.Cols" localSheetId="11" hidden="1">'11_04_11_10 Acc Rate'!$C:$G,'11_04_11_10 Acc Rate'!$I:$I,'11_04_11_10 Acc Rate'!$K:$L,'11_04_11_10 Acc Rate'!$N:$P</definedName>
    <definedName name="Z_67E0799E_EB2B_409E_B010_87BB4C344D5F_.wvu.Cols" localSheetId="13" hidden="1">'11_11_11_17 Acc Rate'!$C:$G,'11_11_11_17 Acc Rate'!$I:$I,'11_11_11_17 Acc Rate'!$K:$L,'11_11_11_17 Acc Rate'!$N:$P</definedName>
    <definedName name="Z_67E0799E_EB2B_409E_B010_87BB4C344D5F_.wvu.Cols" localSheetId="15" hidden="1">'11_18_11_24 Acc Rate'!$C:$G,'11_18_11_24 Acc Rate'!$I:$I,'11_18_11_24 Acc Rate'!$K:$L,'11_18_11_24 Acc Rate'!$N:$P</definedName>
    <definedName name="Z_67E0799E_EB2B_409E_B010_87BB4C344D5F_.wvu.Cols" localSheetId="17" hidden="1">'11_25_12_01 Acc Rate'!$C:$G,'11_25_12_01 Acc Rate'!$I:$I,'11_25_12_01 Acc Rate'!$K:$L,'11_25_12_01 Acc Rate'!$N:$P</definedName>
    <definedName name="Z_67E0799E_EB2B_409E_B010_87BB4C344D5F_.wvu.Cols" localSheetId="19" hidden="1">'12_02_12_08 Acc Rate'!$C:$G,'12_02_12_08 Acc Rate'!$I:$I,'12_02_12_08 Acc Rate'!$K:$L,'12_02_12_08 Acc Rate'!$N:$P</definedName>
    <definedName name="Z_67E0799E_EB2B_409E_B010_87BB4C344D5F_.wvu.Cols" localSheetId="21" hidden="1">'12_09_12_15 Acc Rate'!$C:$G,'12_09_12_15 Acc Rate'!$I:$I,'12_09_12_15 Acc Rate'!$K:$L,'12_09_12_15 Acc Rate'!$N:$P</definedName>
    <definedName name="Z_67E0799E_EB2B_409E_B010_87BB4C344D5F_.wvu.Cols" localSheetId="23" hidden="1">'12_16_12_22 Acc Rate'!$C:$G,'12_16_12_22 Acc Rate'!$I:$I,'12_16_12_22 Acc Rate'!$K:$L,'12_16_12_22 Acc Rate'!$N:$P</definedName>
    <definedName name="Z_67E0799E_EB2B_409E_B010_87BB4C344D5F_.wvu.Cols" localSheetId="25" hidden="1">'12_23_12_29 Acc Rate'!$C:$G,'12_23_12_29 Acc Rate'!$I:$I,'12_23_12_29 Acc Rate'!$K:$L,'12_23_12_29 Acc Rate'!$N:$P</definedName>
    <definedName name="Z_67E0799E_EB2B_409E_B010_87BB4C344D5F_.wvu.Cols" localSheetId="28" hidden="1">'Acc Rate Template'!$C:$G,'Acc Rate Template'!$I:$I,'Acc Rate Template'!$K:$L,'Acc Rate Template'!$N:$P</definedName>
    <definedName name="Z_67E0799E_EB2B_409E_B010_87BB4C344D5F_.wvu.Cols" localSheetId="27" hidden="1">Accuracy!$C:$D</definedName>
    <definedName name="Z_67E0799E_EB2B_409E_B010_87BB4C344D5F_.wvu.FilterData" localSheetId="27" hidden="1">Accuracy!$B$6:$AR$25</definedName>
    <definedName name="Z_67E0799E_EB2B_409E_B010_87BB4C344D5F_.wvu.FilterData" localSheetId="30" hidden="1">Directory!$A$1:$O$1</definedName>
    <definedName name="Z_7476737A_28F8_49ED_A393_E3C52FAFEE6B_.wvu.Cols" localSheetId="27" hidden="1">Accuracy!$C:$D</definedName>
    <definedName name="Z_7476737A_28F8_49ED_A393_E3C52FAFEE6B_.wvu.FilterData" localSheetId="27" hidden="1">Accuracy!$B$6:$AR$25</definedName>
    <definedName name="Z_78E61FF6_6F0A_45E2_AAEE_65E2DB7F5AAF_.wvu.Cols" localSheetId="27" hidden="1">Accuracy!$C:$D</definedName>
    <definedName name="Z_78E61FF6_6F0A_45E2_AAEE_65E2DB7F5AAF_.wvu.FilterData" localSheetId="27" hidden="1">Accuracy!$B$6:$AR$25</definedName>
    <definedName name="Z_80C236D3_3E2F_42EF_8F1F_AFAA229C3C33_.wvu.Cols" localSheetId="1" hidden="1">'09_30_10_06 Acc Rate'!$C:$G,'09_30_10_06 Acc Rate'!$I:$I,'09_30_10_06 Acc Rate'!$K:$L,'09_30_10_06 Acc Rate'!$N:$P</definedName>
    <definedName name="Z_80C236D3_3E2F_42EF_8F1F_AFAA229C3C33_.wvu.Cols" localSheetId="3" hidden="1">'10_07_10_13 Acc Rate'!$C:$G,'10_07_10_13 Acc Rate'!$I:$I,'10_07_10_13 Acc Rate'!$K:$L,'10_07_10_13 Acc Rate'!$N:$P</definedName>
    <definedName name="Z_80C236D3_3E2F_42EF_8F1F_AFAA229C3C33_.wvu.Cols" localSheetId="5" hidden="1">'10_14_10_20 Acc Rate'!$C:$G,'10_14_10_20 Acc Rate'!$I:$I,'10_14_10_20 Acc Rate'!$K:$L,'10_14_10_20 Acc Rate'!$N:$P</definedName>
    <definedName name="Z_80C236D3_3E2F_42EF_8F1F_AFAA229C3C33_.wvu.Cols" localSheetId="7" hidden="1">'10_21_10_27 Acc Rate'!$C:$G,'10_21_10_27 Acc Rate'!$I:$I,'10_21_10_27 Acc Rate'!$K:$L,'10_21_10_27 Acc Rate'!$N:$P</definedName>
    <definedName name="Z_80C236D3_3E2F_42EF_8F1F_AFAA229C3C33_.wvu.Cols" localSheetId="9" hidden="1">'10_28_11_03 Acc Rate'!$C:$G,'10_28_11_03 Acc Rate'!$I:$I,'10_28_11_03 Acc Rate'!$K:$L,'10_28_11_03 Acc Rate'!$N:$P</definedName>
    <definedName name="Z_80C236D3_3E2F_42EF_8F1F_AFAA229C3C33_.wvu.Cols" localSheetId="11" hidden="1">'11_04_11_10 Acc Rate'!$C:$G,'11_04_11_10 Acc Rate'!$I:$I,'11_04_11_10 Acc Rate'!$K:$L,'11_04_11_10 Acc Rate'!$N:$P</definedName>
    <definedName name="Z_80C236D3_3E2F_42EF_8F1F_AFAA229C3C33_.wvu.Cols" localSheetId="13" hidden="1">'11_11_11_17 Acc Rate'!$C:$G,'11_11_11_17 Acc Rate'!$I:$I,'11_11_11_17 Acc Rate'!$K:$L,'11_11_11_17 Acc Rate'!$N:$P</definedName>
    <definedName name="Z_80C236D3_3E2F_42EF_8F1F_AFAA229C3C33_.wvu.Cols" localSheetId="15" hidden="1">'11_18_11_24 Acc Rate'!$C:$G,'11_18_11_24 Acc Rate'!$I:$I,'11_18_11_24 Acc Rate'!$K:$L,'11_18_11_24 Acc Rate'!$N:$P</definedName>
    <definedName name="Z_80C236D3_3E2F_42EF_8F1F_AFAA229C3C33_.wvu.Cols" localSheetId="17" hidden="1">'11_25_12_01 Acc Rate'!$C:$G,'11_25_12_01 Acc Rate'!$I:$I,'11_25_12_01 Acc Rate'!$K:$L,'11_25_12_01 Acc Rate'!$N:$P</definedName>
    <definedName name="Z_80C236D3_3E2F_42EF_8F1F_AFAA229C3C33_.wvu.Cols" localSheetId="19" hidden="1">'12_02_12_08 Acc Rate'!$C:$G,'12_02_12_08 Acc Rate'!$I:$I,'12_02_12_08 Acc Rate'!$K:$L,'12_02_12_08 Acc Rate'!$N:$P</definedName>
    <definedName name="Z_80C236D3_3E2F_42EF_8F1F_AFAA229C3C33_.wvu.Cols" localSheetId="21" hidden="1">'12_09_12_15 Acc Rate'!$C:$G,'12_09_12_15 Acc Rate'!$I:$I,'12_09_12_15 Acc Rate'!$K:$L,'12_09_12_15 Acc Rate'!$N:$P</definedName>
    <definedName name="Z_80C236D3_3E2F_42EF_8F1F_AFAA229C3C33_.wvu.Cols" localSheetId="23" hidden="1">'12_16_12_22 Acc Rate'!$C:$G,'12_16_12_22 Acc Rate'!$I:$I,'12_16_12_22 Acc Rate'!$K:$L,'12_16_12_22 Acc Rate'!$N:$P</definedName>
    <definedName name="Z_80C236D3_3E2F_42EF_8F1F_AFAA229C3C33_.wvu.Cols" localSheetId="25" hidden="1">'12_23_12_29 Acc Rate'!$C:$G,'12_23_12_29 Acc Rate'!$I:$I,'12_23_12_29 Acc Rate'!$K:$L,'12_23_12_29 Acc Rate'!$N:$P</definedName>
    <definedName name="Z_80C236D3_3E2F_42EF_8F1F_AFAA229C3C33_.wvu.Cols" localSheetId="28" hidden="1">'Acc Rate Template'!$C:$G,'Acc Rate Template'!$I:$I,'Acc Rate Template'!$K:$L,'Acc Rate Template'!$N:$P</definedName>
    <definedName name="Z_80C236D3_3E2F_42EF_8F1F_AFAA229C3C33_.wvu.Cols" localSheetId="27" hidden="1">Accuracy!$C:$D</definedName>
    <definedName name="Z_80C236D3_3E2F_42EF_8F1F_AFAA229C3C33_.wvu.FilterData" localSheetId="27" hidden="1">Accuracy!$B$6:$AR$25</definedName>
    <definedName name="Z_80C236D3_3E2F_42EF_8F1F_AFAA229C3C33_.wvu.FilterData" localSheetId="30" hidden="1">Directory!$A$1:$O$1</definedName>
    <definedName name="Z_83A2DA31_60F6_4C74_93BD_40FF99C1C7A8_.wvu.Cols" localSheetId="1" hidden="1">'09_30_10_06 Acc Rate'!$C:$G,'09_30_10_06 Acc Rate'!$I:$I,'09_30_10_06 Acc Rate'!$K:$L,'09_30_10_06 Acc Rate'!$N:$P</definedName>
    <definedName name="Z_83A2DA31_60F6_4C74_93BD_40FF99C1C7A8_.wvu.Cols" localSheetId="3" hidden="1">'10_07_10_13 Acc Rate'!$C:$G,'10_07_10_13 Acc Rate'!$I:$I,'10_07_10_13 Acc Rate'!$K:$L,'10_07_10_13 Acc Rate'!$N:$P</definedName>
    <definedName name="Z_83A2DA31_60F6_4C74_93BD_40FF99C1C7A8_.wvu.Cols" localSheetId="5" hidden="1">'10_14_10_20 Acc Rate'!$C:$G,'10_14_10_20 Acc Rate'!$I:$I,'10_14_10_20 Acc Rate'!$K:$L,'10_14_10_20 Acc Rate'!$N:$P</definedName>
    <definedName name="Z_83A2DA31_60F6_4C74_93BD_40FF99C1C7A8_.wvu.Cols" localSheetId="7" hidden="1">'10_21_10_27 Acc Rate'!$C:$G,'10_21_10_27 Acc Rate'!$I:$I,'10_21_10_27 Acc Rate'!$K:$L,'10_21_10_27 Acc Rate'!$N:$P</definedName>
    <definedName name="Z_83A2DA31_60F6_4C74_93BD_40FF99C1C7A8_.wvu.Cols" localSheetId="9" hidden="1">'10_28_11_03 Acc Rate'!$C:$G,'10_28_11_03 Acc Rate'!$I:$I,'10_28_11_03 Acc Rate'!$K:$L,'10_28_11_03 Acc Rate'!$N:$P</definedName>
    <definedName name="Z_83A2DA31_60F6_4C74_93BD_40FF99C1C7A8_.wvu.Cols" localSheetId="11" hidden="1">'11_04_11_10 Acc Rate'!$C:$G,'11_04_11_10 Acc Rate'!$I:$I,'11_04_11_10 Acc Rate'!$K:$L,'11_04_11_10 Acc Rate'!$N:$P</definedName>
    <definedName name="Z_83A2DA31_60F6_4C74_93BD_40FF99C1C7A8_.wvu.Cols" localSheetId="13" hidden="1">'11_11_11_17 Acc Rate'!$C:$G,'11_11_11_17 Acc Rate'!$I:$I,'11_11_11_17 Acc Rate'!$K:$L,'11_11_11_17 Acc Rate'!$N:$P</definedName>
    <definedName name="Z_83A2DA31_60F6_4C74_93BD_40FF99C1C7A8_.wvu.Cols" localSheetId="15" hidden="1">'11_18_11_24 Acc Rate'!$C:$G,'11_18_11_24 Acc Rate'!$I:$I,'11_18_11_24 Acc Rate'!$K:$L,'11_18_11_24 Acc Rate'!$N:$P</definedName>
    <definedName name="Z_83A2DA31_60F6_4C74_93BD_40FF99C1C7A8_.wvu.Cols" localSheetId="17" hidden="1">'11_25_12_01 Acc Rate'!$C:$G,'11_25_12_01 Acc Rate'!$I:$I,'11_25_12_01 Acc Rate'!$K:$L,'11_25_12_01 Acc Rate'!$N:$P</definedName>
    <definedName name="Z_83A2DA31_60F6_4C74_93BD_40FF99C1C7A8_.wvu.Cols" localSheetId="19" hidden="1">'12_02_12_08 Acc Rate'!$C:$G,'12_02_12_08 Acc Rate'!$I:$I,'12_02_12_08 Acc Rate'!$K:$L,'12_02_12_08 Acc Rate'!$N:$P</definedName>
    <definedName name="Z_83A2DA31_60F6_4C74_93BD_40FF99C1C7A8_.wvu.Cols" localSheetId="21" hidden="1">'12_09_12_15 Acc Rate'!$C:$G,'12_09_12_15 Acc Rate'!$I:$I,'12_09_12_15 Acc Rate'!$K:$L,'12_09_12_15 Acc Rate'!$N:$P</definedName>
    <definedName name="Z_83A2DA31_60F6_4C74_93BD_40FF99C1C7A8_.wvu.Cols" localSheetId="23" hidden="1">'12_16_12_22 Acc Rate'!$C:$G,'12_16_12_22 Acc Rate'!$I:$I,'12_16_12_22 Acc Rate'!$K:$L,'12_16_12_22 Acc Rate'!$N:$P</definedName>
    <definedName name="Z_83A2DA31_60F6_4C74_93BD_40FF99C1C7A8_.wvu.Cols" localSheetId="25" hidden="1">'12_23_12_29 Acc Rate'!$C:$G,'12_23_12_29 Acc Rate'!$I:$I,'12_23_12_29 Acc Rate'!$K:$L,'12_23_12_29 Acc Rate'!$N:$P</definedName>
    <definedName name="Z_83A2DA31_60F6_4C74_93BD_40FF99C1C7A8_.wvu.Cols" localSheetId="28" hidden="1">'Acc Rate Template'!$C:$G,'Acc Rate Template'!$I:$I,'Acc Rate Template'!$K:$L,'Acc Rate Template'!$N:$P</definedName>
    <definedName name="Z_83A2DA31_60F6_4C74_93BD_40FF99C1C7A8_.wvu.Cols" localSheetId="27" hidden="1">Accuracy!$C:$D</definedName>
    <definedName name="Z_83A2DA31_60F6_4C74_93BD_40FF99C1C7A8_.wvu.FilterData" localSheetId="27" hidden="1">Accuracy!$B$6:$AR$25</definedName>
    <definedName name="Z_83A2DA31_60F6_4C74_93BD_40FF99C1C7A8_.wvu.FilterData" localSheetId="30" hidden="1">Directory!$A$1:$O$1</definedName>
    <definedName name="Z_8751A03A_3443_4C38_AE50_B3AE313663B0_.wvu.Cols" localSheetId="1" hidden="1">'09_30_10_06 Acc Rate'!$C:$G,'09_30_10_06 Acc Rate'!$I:$I,'09_30_10_06 Acc Rate'!$K:$L,'09_30_10_06 Acc Rate'!$N:$P</definedName>
    <definedName name="Z_8751A03A_3443_4C38_AE50_B3AE313663B0_.wvu.Cols" localSheetId="3" hidden="1">'10_07_10_13 Acc Rate'!$C:$G,'10_07_10_13 Acc Rate'!$I:$I,'10_07_10_13 Acc Rate'!$K:$L,'10_07_10_13 Acc Rate'!$N:$P</definedName>
    <definedName name="Z_8751A03A_3443_4C38_AE50_B3AE313663B0_.wvu.Cols" localSheetId="5" hidden="1">'10_14_10_20 Acc Rate'!$C:$G,'10_14_10_20 Acc Rate'!$I:$I,'10_14_10_20 Acc Rate'!$K:$L,'10_14_10_20 Acc Rate'!$N:$P</definedName>
    <definedName name="Z_8751A03A_3443_4C38_AE50_B3AE313663B0_.wvu.Cols" localSheetId="7" hidden="1">'10_21_10_27 Acc Rate'!$C:$G,'10_21_10_27 Acc Rate'!$I:$I,'10_21_10_27 Acc Rate'!$K:$L,'10_21_10_27 Acc Rate'!$N:$P</definedName>
    <definedName name="Z_8751A03A_3443_4C38_AE50_B3AE313663B0_.wvu.Cols" localSheetId="9" hidden="1">'10_28_11_03 Acc Rate'!$C:$G,'10_28_11_03 Acc Rate'!$I:$I,'10_28_11_03 Acc Rate'!$K:$L,'10_28_11_03 Acc Rate'!$N:$P</definedName>
    <definedName name="Z_8751A03A_3443_4C38_AE50_B3AE313663B0_.wvu.Cols" localSheetId="11" hidden="1">'11_04_11_10 Acc Rate'!$C:$G,'11_04_11_10 Acc Rate'!$I:$I,'11_04_11_10 Acc Rate'!$K:$L,'11_04_11_10 Acc Rate'!$N:$P</definedName>
    <definedName name="Z_8751A03A_3443_4C38_AE50_B3AE313663B0_.wvu.Cols" localSheetId="13" hidden="1">'11_11_11_17 Acc Rate'!$C:$G,'11_11_11_17 Acc Rate'!$I:$I,'11_11_11_17 Acc Rate'!$K:$L,'11_11_11_17 Acc Rate'!$N:$P</definedName>
    <definedName name="Z_8751A03A_3443_4C38_AE50_B3AE313663B0_.wvu.Cols" localSheetId="15" hidden="1">'11_18_11_24 Acc Rate'!$C:$G,'11_18_11_24 Acc Rate'!$I:$I,'11_18_11_24 Acc Rate'!$K:$L,'11_18_11_24 Acc Rate'!$N:$P</definedName>
    <definedName name="Z_8751A03A_3443_4C38_AE50_B3AE313663B0_.wvu.Cols" localSheetId="17" hidden="1">'11_25_12_01 Acc Rate'!$C:$G,'11_25_12_01 Acc Rate'!$I:$I,'11_25_12_01 Acc Rate'!$K:$L,'11_25_12_01 Acc Rate'!$N:$P</definedName>
    <definedName name="Z_8751A03A_3443_4C38_AE50_B3AE313663B0_.wvu.Cols" localSheetId="19" hidden="1">'12_02_12_08 Acc Rate'!$C:$G,'12_02_12_08 Acc Rate'!$I:$I,'12_02_12_08 Acc Rate'!$K:$L,'12_02_12_08 Acc Rate'!$N:$P</definedName>
    <definedName name="Z_8751A03A_3443_4C38_AE50_B3AE313663B0_.wvu.Cols" localSheetId="21" hidden="1">'12_09_12_15 Acc Rate'!$C:$G,'12_09_12_15 Acc Rate'!$I:$I,'12_09_12_15 Acc Rate'!$K:$L,'12_09_12_15 Acc Rate'!$N:$P</definedName>
    <definedName name="Z_8751A03A_3443_4C38_AE50_B3AE313663B0_.wvu.Cols" localSheetId="23" hidden="1">'12_16_12_22 Acc Rate'!$C:$G,'12_16_12_22 Acc Rate'!$I:$I,'12_16_12_22 Acc Rate'!$K:$L,'12_16_12_22 Acc Rate'!$N:$P</definedName>
    <definedName name="Z_8751A03A_3443_4C38_AE50_B3AE313663B0_.wvu.Cols" localSheetId="25" hidden="1">'12_23_12_29 Acc Rate'!$C:$G,'12_23_12_29 Acc Rate'!$I:$I,'12_23_12_29 Acc Rate'!$K:$L,'12_23_12_29 Acc Rate'!$N:$P</definedName>
    <definedName name="Z_8751A03A_3443_4C38_AE50_B3AE313663B0_.wvu.Cols" localSheetId="28" hidden="1">'Acc Rate Template'!$C:$G,'Acc Rate Template'!$I:$I,'Acc Rate Template'!$K:$L,'Acc Rate Template'!$N:$P</definedName>
    <definedName name="Z_8751A03A_3443_4C38_AE50_B3AE313663B0_.wvu.Cols" localSheetId="27" hidden="1">Accuracy!$C:$D</definedName>
    <definedName name="Z_8751A03A_3443_4C38_AE50_B3AE313663B0_.wvu.FilterData" localSheetId="27" hidden="1">Accuracy!$B$6:$AR$25</definedName>
    <definedName name="Z_8751A03A_3443_4C38_AE50_B3AE313663B0_.wvu.FilterData" localSheetId="30" hidden="1">Directory!$A$1:$O$1</definedName>
    <definedName name="Z_8A8FD4A3_06ED_4259_9614_D196A9335B48_.wvu.Cols" localSheetId="1" hidden="1">'09_30_10_06 Acc Rate'!$C:$G,'09_30_10_06 Acc Rate'!$I:$I,'09_30_10_06 Acc Rate'!$K:$L,'09_30_10_06 Acc Rate'!$N:$P</definedName>
    <definedName name="Z_8A8FD4A3_06ED_4259_9614_D196A9335B48_.wvu.Cols" localSheetId="3" hidden="1">'10_07_10_13 Acc Rate'!$C:$G,'10_07_10_13 Acc Rate'!$I:$I,'10_07_10_13 Acc Rate'!$K:$L,'10_07_10_13 Acc Rate'!$N:$P</definedName>
    <definedName name="Z_8A8FD4A3_06ED_4259_9614_D196A9335B48_.wvu.Cols" localSheetId="5" hidden="1">'10_14_10_20 Acc Rate'!$C:$G,'10_14_10_20 Acc Rate'!$I:$I,'10_14_10_20 Acc Rate'!$K:$L,'10_14_10_20 Acc Rate'!$N:$P</definedName>
    <definedName name="Z_8A8FD4A3_06ED_4259_9614_D196A9335B48_.wvu.Cols" localSheetId="7" hidden="1">'10_21_10_27 Acc Rate'!$C:$G,'10_21_10_27 Acc Rate'!$I:$I,'10_21_10_27 Acc Rate'!$K:$L,'10_21_10_27 Acc Rate'!$N:$P</definedName>
    <definedName name="Z_8A8FD4A3_06ED_4259_9614_D196A9335B48_.wvu.Cols" localSheetId="9" hidden="1">'10_28_11_03 Acc Rate'!$C:$G,'10_28_11_03 Acc Rate'!$I:$I,'10_28_11_03 Acc Rate'!$K:$L,'10_28_11_03 Acc Rate'!$N:$P</definedName>
    <definedName name="Z_8A8FD4A3_06ED_4259_9614_D196A9335B48_.wvu.Cols" localSheetId="11" hidden="1">'11_04_11_10 Acc Rate'!$C:$G,'11_04_11_10 Acc Rate'!$I:$I,'11_04_11_10 Acc Rate'!$K:$L,'11_04_11_10 Acc Rate'!$N:$P</definedName>
    <definedName name="Z_8A8FD4A3_06ED_4259_9614_D196A9335B48_.wvu.Cols" localSheetId="13" hidden="1">'11_11_11_17 Acc Rate'!$C:$G,'11_11_11_17 Acc Rate'!$I:$I,'11_11_11_17 Acc Rate'!$K:$L,'11_11_11_17 Acc Rate'!$N:$P</definedName>
    <definedName name="Z_8A8FD4A3_06ED_4259_9614_D196A9335B48_.wvu.Cols" localSheetId="15" hidden="1">'11_18_11_24 Acc Rate'!$C:$G,'11_18_11_24 Acc Rate'!$I:$I,'11_18_11_24 Acc Rate'!$K:$L,'11_18_11_24 Acc Rate'!$N:$P</definedName>
    <definedName name="Z_8A8FD4A3_06ED_4259_9614_D196A9335B48_.wvu.Cols" localSheetId="17" hidden="1">'11_25_12_01 Acc Rate'!$C:$G,'11_25_12_01 Acc Rate'!$I:$I,'11_25_12_01 Acc Rate'!$K:$L,'11_25_12_01 Acc Rate'!$N:$P</definedName>
    <definedName name="Z_8A8FD4A3_06ED_4259_9614_D196A9335B48_.wvu.Cols" localSheetId="19" hidden="1">'12_02_12_08 Acc Rate'!$C:$G,'12_02_12_08 Acc Rate'!$I:$I,'12_02_12_08 Acc Rate'!$K:$L,'12_02_12_08 Acc Rate'!$N:$P</definedName>
    <definedName name="Z_8A8FD4A3_06ED_4259_9614_D196A9335B48_.wvu.Cols" localSheetId="21" hidden="1">'12_09_12_15 Acc Rate'!$C:$G,'12_09_12_15 Acc Rate'!$I:$I,'12_09_12_15 Acc Rate'!$K:$L,'12_09_12_15 Acc Rate'!$N:$P</definedName>
    <definedName name="Z_8A8FD4A3_06ED_4259_9614_D196A9335B48_.wvu.Cols" localSheetId="23" hidden="1">'12_16_12_22 Acc Rate'!$C:$G,'12_16_12_22 Acc Rate'!$I:$I,'12_16_12_22 Acc Rate'!$K:$L,'12_16_12_22 Acc Rate'!$N:$P</definedName>
    <definedName name="Z_8A8FD4A3_06ED_4259_9614_D196A9335B48_.wvu.Cols" localSheetId="25" hidden="1">'12_23_12_29 Acc Rate'!$C:$G,'12_23_12_29 Acc Rate'!$I:$I,'12_23_12_29 Acc Rate'!$K:$L,'12_23_12_29 Acc Rate'!$N:$P</definedName>
    <definedName name="Z_8A8FD4A3_06ED_4259_9614_D196A9335B48_.wvu.Cols" localSheetId="28" hidden="1">'Acc Rate Template'!$C:$G,'Acc Rate Template'!$I:$I,'Acc Rate Template'!$K:$L,'Acc Rate Template'!$N:$P</definedName>
    <definedName name="Z_8A8FD4A3_06ED_4259_9614_D196A9335B48_.wvu.Cols" localSheetId="27" hidden="1">Accuracy!$C:$D</definedName>
    <definedName name="Z_8A8FD4A3_06ED_4259_9614_D196A9335B48_.wvu.FilterData" localSheetId="27" hidden="1">Accuracy!$B$6:$AR$25</definedName>
    <definedName name="Z_8A8FD4A3_06ED_4259_9614_D196A9335B48_.wvu.FilterData" localSheetId="30" hidden="1">Directory!$A$1:$O$1</definedName>
    <definedName name="Z_A57A4B40_40E6_45B7_A9B6_5348C269CBF0_.wvu.Cols" localSheetId="1" hidden="1">'09_30_10_06 Acc Rate'!$C:$G,'09_30_10_06 Acc Rate'!$I:$I,'09_30_10_06 Acc Rate'!$K:$L,'09_30_10_06 Acc Rate'!$N:$P</definedName>
    <definedName name="Z_A57A4B40_40E6_45B7_A9B6_5348C269CBF0_.wvu.Cols" localSheetId="3" hidden="1">'10_07_10_13 Acc Rate'!$C:$G,'10_07_10_13 Acc Rate'!$I:$I,'10_07_10_13 Acc Rate'!$K:$L,'10_07_10_13 Acc Rate'!$N:$P</definedName>
    <definedName name="Z_A57A4B40_40E6_45B7_A9B6_5348C269CBF0_.wvu.Cols" localSheetId="5" hidden="1">'10_14_10_20 Acc Rate'!$C:$G,'10_14_10_20 Acc Rate'!$I:$I,'10_14_10_20 Acc Rate'!$K:$L,'10_14_10_20 Acc Rate'!$N:$P</definedName>
    <definedName name="Z_A57A4B40_40E6_45B7_A9B6_5348C269CBF0_.wvu.Cols" localSheetId="7" hidden="1">'10_21_10_27 Acc Rate'!$C:$G,'10_21_10_27 Acc Rate'!$I:$I,'10_21_10_27 Acc Rate'!$K:$L,'10_21_10_27 Acc Rate'!$N:$P</definedName>
    <definedName name="Z_A57A4B40_40E6_45B7_A9B6_5348C269CBF0_.wvu.Cols" localSheetId="9" hidden="1">'10_28_11_03 Acc Rate'!$C:$G,'10_28_11_03 Acc Rate'!$I:$I,'10_28_11_03 Acc Rate'!$K:$L,'10_28_11_03 Acc Rate'!$N:$P</definedName>
    <definedName name="Z_A57A4B40_40E6_45B7_A9B6_5348C269CBF0_.wvu.Cols" localSheetId="11" hidden="1">'11_04_11_10 Acc Rate'!$C:$G,'11_04_11_10 Acc Rate'!$I:$I,'11_04_11_10 Acc Rate'!$K:$L,'11_04_11_10 Acc Rate'!$N:$P</definedName>
    <definedName name="Z_A57A4B40_40E6_45B7_A9B6_5348C269CBF0_.wvu.Cols" localSheetId="13" hidden="1">'11_11_11_17 Acc Rate'!$C:$G,'11_11_11_17 Acc Rate'!$I:$I,'11_11_11_17 Acc Rate'!$K:$L,'11_11_11_17 Acc Rate'!$N:$P</definedName>
    <definedName name="Z_A57A4B40_40E6_45B7_A9B6_5348C269CBF0_.wvu.Cols" localSheetId="15" hidden="1">'11_18_11_24 Acc Rate'!$C:$G,'11_18_11_24 Acc Rate'!$I:$I,'11_18_11_24 Acc Rate'!$K:$L,'11_18_11_24 Acc Rate'!$N:$P</definedName>
    <definedName name="Z_A57A4B40_40E6_45B7_A9B6_5348C269CBF0_.wvu.Cols" localSheetId="17" hidden="1">'11_25_12_01 Acc Rate'!$C:$G,'11_25_12_01 Acc Rate'!$I:$I,'11_25_12_01 Acc Rate'!$K:$L,'11_25_12_01 Acc Rate'!$N:$P</definedName>
    <definedName name="Z_A57A4B40_40E6_45B7_A9B6_5348C269CBF0_.wvu.Cols" localSheetId="19" hidden="1">'12_02_12_08 Acc Rate'!$C:$G,'12_02_12_08 Acc Rate'!$I:$I,'12_02_12_08 Acc Rate'!$K:$L,'12_02_12_08 Acc Rate'!$N:$P</definedName>
    <definedName name="Z_A57A4B40_40E6_45B7_A9B6_5348C269CBF0_.wvu.Cols" localSheetId="21" hidden="1">'12_09_12_15 Acc Rate'!$C:$G,'12_09_12_15 Acc Rate'!$I:$I,'12_09_12_15 Acc Rate'!$K:$L,'12_09_12_15 Acc Rate'!$N:$P</definedName>
    <definedName name="Z_A57A4B40_40E6_45B7_A9B6_5348C269CBF0_.wvu.Cols" localSheetId="23" hidden="1">'12_16_12_22 Acc Rate'!$C:$G,'12_16_12_22 Acc Rate'!$I:$I,'12_16_12_22 Acc Rate'!$K:$L,'12_16_12_22 Acc Rate'!$N:$P</definedName>
    <definedName name="Z_A57A4B40_40E6_45B7_A9B6_5348C269CBF0_.wvu.Cols" localSheetId="25" hidden="1">'12_23_12_29 Acc Rate'!$C:$G,'12_23_12_29 Acc Rate'!$I:$I,'12_23_12_29 Acc Rate'!$K:$L,'12_23_12_29 Acc Rate'!$N:$P</definedName>
    <definedName name="Z_A57A4B40_40E6_45B7_A9B6_5348C269CBF0_.wvu.Cols" localSheetId="28" hidden="1">'Acc Rate Template'!$C:$G,'Acc Rate Template'!$I:$I,'Acc Rate Template'!$K:$L,'Acc Rate Template'!$N:$P</definedName>
    <definedName name="Z_A57A4B40_40E6_45B7_A9B6_5348C269CBF0_.wvu.Cols" localSheetId="27" hidden="1">Accuracy!$C:$D</definedName>
    <definedName name="Z_A57A4B40_40E6_45B7_A9B6_5348C269CBF0_.wvu.FilterData" localSheetId="27" hidden="1">Accuracy!$B$6:$AR$25</definedName>
    <definedName name="Z_A57A4B40_40E6_45B7_A9B6_5348C269CBF0_.wvu.FilterData" localSheetId="30" hidden="1">Directory!$A$1:$O$1</definedName>
    <definedName name="Z_ADFAD4B4_1AD9_4570_8307_CE0121173A42_.wvu.Cols" localSheetId="1" hidden="1">'09_30_10_06 Acc Rate'!$C:$G,'09_30_10_06 Acc Rate'!$I:$I,'09_30_10_06 Acc Rate'!$K:$L,'09_30_10_06 Acc Rate'!$N:$P</definedName>
    <definedName name="Z_ADFAD4B4_1AD9_4570_8307_CE0121173A42_.wvu.Cols" localSheetId="3" hidden="1">'10_07_10_13 Acc Rate'!$C:$G,'10_07_10_13 Acc Rate'!$I:$I,'10_07_10_13 Acc Rate'!$K:$L,'10_07_10_13 Acc Rate'!$N:$P</definedName>
    <definedName name="Z_ADFAD4B4_1AD9_4570_8307_CE0121173A42_.wvu.Cols" localSheetId="5" hidden="1">'10_14_10_20 Acc Rate'!$C:$G,'10_14_10_20 Acc Rate'!$I:$I,'10_14_10_20 Acc Rate'!$K:$L,'10_14_10_20 Acc Rate'!$N:$P</definedName>
    <definedName name="Z_ADFAD4B4_1AD9_4570_8307_CE0121173A42_.wvu.Cols" localSheetId="7" hidden="1">'10_21_10_27 Acc Rate'!$C:$G,'10_21_10_27 Acc Rate'!$I:$I,'10_21_10_27 Acc Rate'!$K:$L,'10_21_10_27 Acc Rate'!$N:$P</definedName>
    <definedName name="Z_ADFAD4B4_1AD9_4570_8307_CE0121173A42_.wvu.Cols" localSheetId="9" hidden="1">'10_28_11_03 Acc Rate'!$C:$G,'10_28_11_03 Acc Rate'!$I:$I,'10_28_11_03 Acc Rate'!$K:$L,'10_28_11_03 Acc Rate'!$N:$P</definedName>
    <definedName name="Z_ADFAD4B4_1AD9_4570_8307_CE0121173A42_.wvu.Cols" localSheetId="11" hidden="1">'11_04_11_10 Acc Rate'!$C:$G,'11_04_11_10 Acc Rate'!$I:$I,'11_04_11_10 Acc Rate'!$K:$L,'11_04_11_10 Acc Rate'!$N:$P</definedName>
    <definedName name="Z_ADFAD4B4_1AD9_4570_8307_CE0121173A42_.wvu.Cols" localSheetId="13" hidden="1">'11_11_11_17 Acc Rate'!$C:$G,'11_11_11_17 Acc Rate'!$I:$I,'11_11_11_17 Acc Rate'!$K:$L,'11_11_11_17 Acc Rate'!$N:$P</definedName>
    <definedName name="Z_ADFAD4B4_1AD9_4570_8307_CE0121173A42_.wvu.Cols" localSheetId="15" hidden="1">'11_18_11_24 Acc Rate'!$C:$G,'11_18_11_24 Acc Rate'!$I:$I,'11_18_11_24 Acc Rate'!$K:$L,'11_18_11_24 Acc Rate'!$N:$P</definedName>
    <definedName name="Z_ADFAD4B4_1AD9_4570_8307_CE0121173A42_.wvu.Cols" localSheetId="17" hidden="1">'11_25_12_01 Acc Rate'!$C:$G,'11_25_12_01 Acc Rate'!$I:$I,'11_25_12_01 Acc Rate'!$K:$L,'11_25_12_01 Acc Rate'!$N:$P</definedName>
    <definedName name="Z_ADFAD4B4_1AD9_4570_8307_CE0121173A42_.wvu.Cols" localSheetId="19" hidden="1">'12_02_12_08 Acc Rate'!$C:$G,'12_02_12_08 Acc Rate'!$I:$I,'12_02_12_08 Acc Rate'!$K:$L,'12_02_12_08 Acc Rate'!$N:$P</definedName>
    <definedName name="Z_ADFAD4B4_1AD9_4570_8307_CE0121173A42_.wvu.Cols" localSheetId="21" hidden="1">'12_09_12_15 Acc Rate'!$C:$G,'12_09_12_15 Acc Rate'!$I:$I,'12_09_12_15 Acc Rate'!$K:$L,'12_09_12_15 Acc Rate'!$N:$P</definedName>
    <definedName name="Z_ADFAD4B4_1AD9_4570_8307_CE0121173A42_.wvu.Cols" localSheetId="23" hidden="1">'12_16_12_22 Acc Rate'!$C:$G,'12_16_12_22 Acc Rate'!$I:$I,'12_16_12_22 Acc Rate'!$K:$L,'12_16_12_22 Acc Rate'!$N:$P</definedName>
    <definedName name="Z_ADFAD4B4_1AD9_4570_8307_CE0121173A42_.wvu.Cols" localSheetId="25" hidden="1">'12_23_12_29 Acc Rate'!$C:$G,'12_23_12_29 Acc Rate'!$I:$I,'12_23_12_29 Acc Rate'!$K:$L,'12_23_12_29 Acc Rate'!$N:$P</definedName>
    <definedName name="Z_ADFAD4B4_1AD9_4570_8307_CE0121173A42_.wvu.Cols" localSheetId="28" hidden="1">'Acc Rate Template'!$C:$G,'Acc Rate Template'!$I:$I,'Acc Rate Template'!$K:$L,'Acc Rate Template'!$N:$P</definedName>
    <definedName name="Z_ADFAD4B4_1AD9_4570_8307_CE0121173A42_.wvu.Cols" localSheetId="27" hidden="1">Accuracy!$C:$D</definedName>
    <definedName name="Z_ADFAD4B4_1AD9_4570_8307_CE0121173A42_.wvu.FilterData" localSheetId="27" hidden="1">Accuracy!$B$6:$AR$25</definedName>
    <definedName name="Z_ADFAD4B4_1AD9_4570_8307_CE0121173A42_.wvu.FilterData" localSheetId="30" hidden="1">Directory!$A$1:$O$1</definedName>
    <definedName name="Z_AEAC2B85_4884_4534_B466_4A87B1A704E3_.wvu.Cols" localSheetId="27" hidden="1">Accuracy!$C:$D</definedName>
    <definedName name="Z_AEAC2B85_4884_4534_B466_4A87B1A704E3_.wvu.FilterData" localSheetId="27" hidden="1">Accuracy!$B$6:$AR$25</definedName>
    <definedName name="Z_B3FBC12D_8E78_40C9_952E_959033F5AB9C_.wvu.Cols" localSheetId="1" hidden="1">'09_30_10_06 Acc Rate'!$C:$G,'09_30_10_06 Acc Rate'!$I:$I,'09_30_10_06 Acc Rate'!$K:$L,'09_30_10_06 Acc Rate'!$N:$P</definedName>
    <definedName name="Z_B3FBC12D_8E78_40C9_952E_959033F5AB9C_.wvu.Cols" localSheetId="3" hidden="1">'10_07_10_13 Acc Rate'!$C:$G,'10_07_10_13 Acc Rate'!$I:$I,'10_07_10_13 Acc Rate'!$K:$L,'10_07_10_13 Acc Rate'!$N:$P</definedName>
    <definedName name="Z_B3FBC12D_8E78_40C9_952E_959033F5AB9C_.wvu.Cols" localSheetId="5" hidden="1">'10_14_10_20 Acc Rate'!$C:$G,'10_14_10_20 Acc Rate'!$I:$I,'10_14_10_20 Acc Rate'!$K:$L,'10_14_10_20 Acc Rate'!$N:$P</definedName>
    <definedName name="Z_B3FBC12D_8E78_40C9_952E_959033F5AB9C_.wvu.Cols" localSheetId="7" hidden="1">'10_21_10_27 Acc Rate'!$C:$G,'10_21_10_27 Acc Rate'!$I:$I,'10_21_10_27 Acc Rate'!$K:$L,'10_21_10_27 Acc Rate'!$N:$P</definedName>
    <definedName name="Z_B3FBC12D_8E78_40C9_952E_959033F5AB9C_.wvu.Cols" localSheetId="9" hidden="1">'10_28_11_03 Acc Rate'!$C:$G,'10_28_11_03 Acc Rate'!$I:$I,'10_28_11_03 Acc Rate'!$K:$L,'10_28_11_03 Acc Rate'!$N:$P</definedName>
    <definedName name="Z_B3FBC12D_8E78_40C9_952E_959033F5AB9C_.wvu.Cols" localSheetId="11" hidden="1">'11_04_11_10 Acc Rate'!$C:$G,'11_04_11_10 Acc Rate'!$I:$I,'11_04_11_10 Acc Rate'!$K:$L,'11_04_11_10 Acc Rate'!$N:$P</definedName>
    <definedName name="Z_B3FBC12D_8E78_40C9_952E_959033F5AB9C_.wvu.Cols" localSheetId="13" hidden="1">'11_11_11_17 Acc Rate'!$C:$G,'11_11_11_17 Acc Rate'!$I:$I,'11_11_11_17 Acc Rate'!$K:$L,'11_11_11_17 Acc Rate'!$N:$P</definedName>
    <definedName name="Z_B3FBC12D_8E78_40C9_952E_959033F5AB9C_.wvu.Cols" localSheetId="15" hidden="1">'11_18_11_24 Acc Rate'!$C:$G,'11_18_11_24 Acc Rate'!$I:$I,'11_18_11_24 Acc Rate'!$K:$L,'11_18_11_24 Acc Rate'!$N:$P</definedName>
    <definedName name="Z_B3FBC12D_8E78_40C9_952E_959033F5AB9C_.wvu.Cols" localSheetId="17" hidden="1">'11_25_12_01 Acc Rate'!$C:$G,'11_25_12_01 Acc Rate'!$I:$I,'11_25_12_01 Acc Rate'!$K:$L,'11_25_12_01 Acc Rate'!$N:$P</definedName>
    <definedName name="Z_B3FBC12D_8E78_40C9_952E_959033F5AB9C_.wvu.Cols" localSheetId="19" hidden="1">'12_02_12_08 Acc Rate'!$C:$G,'12_02_12_08 Acc Rate'!$I:$I,'12_02_12_08 Acc Rate'!$K:$L,'12_02_12_08 Acc Rate'!$N:$P</definedName>
    <definedName name="Z_B3FBC12D_8E78_40C9_952E_959033F5AB9C_.wvu.Cols" localSheetId="21" hidden="1">'12_09_12_15 Acc Rate'!$C:$G,'12_09_12_15 Acc Rate'!$I:$I,'12_09_12_15 Acc Rate'!$K:$L,'12_09_12_15 Acc Rate'!$N:$P</definedName>
    <definedName name="Z_B3FBC12D_8E78_40C9_952E_959033F5AB9C_.wvu.Cols" localSheetId="23" hidden="1">'12_16_12_22 Acc Rate'!$C:$G,'12_16_12_22 Acc Rate'!$I:$I,'12_16_12_22 Acc Rate'!$K:$L,'12_16_12_22 Acc Rate'!$N:$P</definedName>
    <definedName name="Z_B3FBC12D_8E78_40C9_952E_959033F5AB9C_.wvu.Cols" localSheetId="25" hidden="1">'12_23_12_29 Acc Rate'!$C:$G,'12_23_12_29 Acc Rate'!$I:$I,'12_23_12_29 Acc Rate'!$K:$L,'12_23_12_29 Acc Rate'!$N:$P</definedName>
    <definedName name="Z_B3FBC12D_8E78_40C9_952E_959033F5AB9C_.wvu.Cols" localSheetId="28" hidden="1">'Acc Rate Template'!$C:$G,'Acc Rate Template'!$I:$I,'Acc Rate Template'!$K:$L,'Acc Rate Template'!$N:$P</definedName>
    <definedName name="Z_B3FBC12D_8E78_40C9_952E_959033F5AB9C_.wvu.Cols" localSheetId="27" hidden="1">Accuracy!$C:$D</definedName>
    <definedName name="Z_B3FBC12D_8E78_40C9_952E_959033F5AB9C_.wvu.FilterData" localSheetId="27" hidden="1">Accuracy!$B$6:$AR$25</definedName>
    <definedName name="Z_B3FBC12D_8E78_40C9_952E_959033F5AB9C_.wvu.FilterData" localSheetId="30" hidden="1">Directory!$A$1:$O$1</definedName>
    <definedName name="Z_B6BFD36E_90D9_432E_9950_259118ABE4DA_.wvu.Cols" localSheetId="27" hidden="1">Accuracy!$C:$D</definedName>
    <definedName name="Z_B6BFD36E_90D9_432E_9950_259118ABE4DA_.wvu.FilterData" localSheetId="27" hidden="1">Accuracy!$B$6:$AR$25</definedName>
    <definedName name="Z_BF51A5C8_E0F4_42BD_8730_48747CE33447_.wvu.Cols" localSheetId="27" hidden="1">Accuracy!$C:$D</definedName>
    <definedName name="Z_BF51A5C8_E0F4_42BD_8730_48747CE33447_.wvu.FilterData" localSheetId="27" hidden="1">Accuracy!$B$6:$AR$25</definedName>
    <definedName name="Z_D6ABDE1B_6AD8_48CC_AF5D_AD5850E82998_.wvu.Cols" localSheetId="27" hidden="1">Accuracy!$C:$D</definedName>
    <definedName name="Z_D6ABDE1B_6AD8_48CC_AF5D_AD5850E82998_.wvu.FilterData" localSheetId="27" hidden="1">Accuracy!$B$6:$AR$25</definedName>
    <definedName name="Z_DD660912_AA32_422A_8DF2_821F41A801F7_.wvu.Cols" localSheetId="1" hidden="1">'09_30_10_06 Acc Rate'!$C:$G,'09_30_10_06 Acc Rate'!$I:$I,'09_30_10_06 Acc Rate'!$K:$L,'09_30_10_06 Acc Rate'!$N:$O</definedName>
    <definedName name="Z_DD660912_AA32_422A_8DF2_821F41A801F7_.wvu.Cols" localSheetId="3" hidden="1">'10_07_10_13 Acc Rate'!$C:$G,'10_07_10_13 Acc Rate'!$I:$I,'10_07_10_13 Acc Rate'!$K:$L,'10_07_10_13 Acc Rate'!$N:$O</definedName>
    <definedName name="Z_DD660912_AA32_422A_8DF2_821F41A801F7_.wvu.Cols" localSheetId="5" hidden="1">'10_14_10_20 Acc Rate'!$C:$G,'10_14_10_20 Acc Rate'!$I:$I,'10_14_10_20 Acc Rate'!$K:$L,'10_14_10_20 Acc Rate'!$N:$O</definedName>
    <definedName name="Z_DD660912_AA32_422A_8DF2_821F41A801F7_.wvu.Cols" localSheetId="7" hidden="1">'10_21_10_27 Acc Rate'!$C:$G,'10_21_10_27 Acc Rate'!$I:$I,'10_21_10_27 Acc Rate'!$K:$L,'10_21_10_27 Acc Rate'!$N:$O</definedName>
    <definedName name="Z_DD660912_AA32_422A_8DF2_821F41A801F7_.wvu.Cols" localSheetId="9" hidden="1">'10_28_11_03 Acc Rate'!$C:$G,'10_28_11_03 Acc Rate'!$I:$I,'10_28_11_03 Acc Rate'!$K:$L,'10_28_11_03 Acc Rate'!$N:$O</definedName>
    <definedName name="Z_DD660912_AA32_422A_8DF2_821F41A801F7_.wvu.Cols" localSheetId="11" hidden="1">'11_04_11_10 Acc Rate'!$C:$G,'11_04_11_10 Acc Rate'!$I:$I,'11_04_11_10 Acc Rate'!$K:$L,'11_04_11_10 Acc Rate'!$N:$O</definedName>
    <definedName name="Z_DD660912_AA32_422A_8DF2_821F41A801F7_.wvu.Cols" localSheetId="13" hidden="1">'11_11_11_17 Acc Rate'!$C:$G,'11_11_11_17 Acc Rate'!$I:$I,'11_11_11_17 Acc Rate'!$K:$L,'11_11_11_17 Acc Rate'!$N:$O</definedName>
    <definedName name="Z_DD660912_AA32_422A_8DF2_821F41A801F7_.wvu.Cols" localSheetId="15" hidden="1">'11_18_11_24 Acc Rate'!$C:$G,'11_18_11_24 Acc Rate'!$I:$I,'11_18_11_24 Acc Rate'!$K:$L,'11_18_11_24 Acc Rate'!$N:$O</definedName>
    <definedName name="Z_DD660912_AA32_422A_8DF2_821F41A801F7_.wvu.Cols" localSheetId="17" hidden="1">'11_25_12_01 Acc Rate'!$C:$G,'11_25_12_01 Acc Rate'!$I:$I,'11_25_12_01 Acc Rate'!$K:$L,'11_25_12_01 Acc Rate'!$N:$O</definedName>
    <definedName name="Z_DD660912_AA32_422A_8DF2_821F41A801F7_.wvu.Cols" localSheetId="19" hidden="1">'12_02_12_08 Acc Rate'!$C:$G,'12_02_12_08 Acc Rate'!$I:$I,'12_02_12_08 Acc Rate'!$K:$L,'12_02_12_08 Acc Rate'!$N:$O</definedName>
    <definedName name="Z_DD660912_AA32_422A_8DF2_821F41A801F7_.wvu.Cols" localSheetId="21" hidden="1">'12_09_12_15 Acc Rate'!$C:$G,'12_09_12_15 Acc Rate'!$I:$I,'12_09_12_15 Acc Rate'!$K:$L,'12_09_12_15 Acc Rate'!$N:$O</definedName>
    <definedName name="Z_DD660912_AA32_422A_8DF2_821F41A801F7_.wvu.Cols" localSheetId="23" hidden="1">'12_16_12_22 Acc Rate'!$C:$G,'12_16_12_22 Acc Rate'!$I:$I,'12_16_12_22 Acc Rate'!$K:$L,'12_16_12_22 Acc Rate'!$N:$O</definedName>
    <definedName name="Z_DD660912_AA32_422A_8DF2_821F41A801F7_.wvu.Cols" localSheetId="25" hidden="1">'12_23_12_29 Acc Rate'!$C:$G,'12_23_12_29 Acc Rate'!$I:$I,'12_23_12_29 Acc Rate'!$K:$L,'12_23_12_29 Acc Rate'!$N:$O</definedName>
    <definedName name="Z_DD660912_AA32_422A_8DF2_821F41A801F7_.wvu.Cols" localSheetId="28" hidden="1">'Acc Rate Template'!$C:$G,'Acc Rate Template'!$I:$I,'Acc Rate Template'!$K:$L,'Acc Rate Template'!$N:$O</definedName>
    <definedName name="Z_DD660912_AA32_422A_8DF2_821F41A801F7_.wvu.Cols" localSheetId="27" hidden="1">Accuracy!$C:$D</definedName>
    <definedName name="Z_DD660912_AA32_422A_8DF2_821F41A801F7_.wvu.FilterData" localSheetId="27" hidden="1">Accuracy!$B$6:$AR$25</definedName>
    <definedName name="Z_DD660912_AA32_422A_8DF2_821F41A801F7_.wvu.FilterData" localSheetId="30" hidden="1">Directory!$A$1:$K$1</definedName>
    <definedName name="Z_DD6C8357_A7F2_44E6_AC58_30945CFAD161_.wvu.Cols" localSheetId="27" hidden="1">Accuracy!$C:$D</definedName>
    <definedName name="Z_DD6C8357_A7F2_44E6_AC58_30945CFAD161_.wvu.FilterData" localSheetId="27" hidden="1">Accuracy!$B$6:$AR$25</definedName>
    <definedName name="Z_E5720598_E770_4648_A12E_C08FED8489B9_.wvu.Cols" localSheetId="27" hidden="1">Accuracy!$C:$D</definedName>
    <definedName name="Z_E5720598_E770_4648_A12E_C08FED8489B9_.wvu.FilterData" localSheetId="27" hidden="1">Accuracy!$B$6:$AR$25</definedName>
    <definedName name="Z_E8EA09A6_9A5D_41BD_A1B6_DD1E2B4E5703_.wvu.Cols" localSheetId="1" hidden="1">'09_30_10_06 Acc Rate'!$C:$G,'09_30_10_06 Acc Rate'!$I:$I,'09_30_10_06 Acc Rate'!$K:$L,'09_30_10_06 Acc Rate'!$N:$P</definedName>
    <definedName name="Z_E8EA09A6_9A5D_41BD_A1B6_DD1E2B4E5703_.wvu.Cols" localSheetId="3" hidden="1">'10_07_10_13 Acc Rate'!$C:$G,'10_07_10_13 Acc Rate'!$I:$I,'10_07_10_13 Acc Rate'!$K:$L,'10_07_10_13 Acc Rate'!$N:$P</definedName>
    <definedName name="Z_E8EA09A6_9A5D_41BD_A1B6_DD1E2B4E5703_.wvu.Cols" localSheetId="5" hidden="1">'10_14_10_20 Acc Rate'!$C:$G,'10_14_10_20 Acc Rate'!$I:$I,'10_14_10_20 Acc Rate'!$K:$L,'10_14_10_20 Acc Rate'!$N:$P</definedName>
    <definedName name="Z_E8EA09A6_9A5D_41BD_A1B6_DD1E2B4E5703_.wvu.Cols" localSheetId="7" hidden="1">'10_21_10_27 Acc Rate'!$C:$G,'10_21_10_27 Acc Rate'!$I:$I,'10_21_10_27 Acc Rate'!$K:$L,'10_21_10_27 Acc Rate'!$N:$P</definedName>
    <definedName name="Z_E8EA09A6_9A5D_41BD_A1B6_DD1E2B4E5703_.wvu.Cols" localSheetId="9" hidden="1">'10_28_11_03 Acc Rate'!$C:$G,'10_28_11_03 Acc Rate'!$I:$I,'10_28_11_03 Acc Rate'!$K:$L,'10_28_11_03 Acc Rate'!$N:$P</definedName>
    <definedName name="Z_E8EA09A6_9A5D_41BD_A1B6_DD1E2B4E5703_.wvu.Cols" localSheetId="11" hidden="1">'11_04_11_10 Acc Rate'!$C:$G,'11_04_11_10 Acc Rate'!$I:$I,'11_04_11_10 Acc Rate'!$K:$L,'11_04_11_10 Acc Rate'!$N:$P</definedName>
    <definedName name="Z_E8EA09A6_9A5D_41BD_A1B6_DD1E2B4E5703_.wvu.Cols" localSheetId="13" hidden="1">'11_11_11_17 Acc Rate'!$C:$G,'11_11_11_17 Acc Rate'!$I:$I,'11_11_11_17 Acc Rate'!$K:$L,'11_11_11_17 Acc Rate'!$N:$P</definedName>
    <definedName name="Z_E8EA09A6_9A5D_41BD_A1B6_DD1E2B4E5703_.wvu.Cols" localSheetId="15" hidden="1">'11_18_11_24 Acc Rate'!$C:$G,'11_18_11_24 Acc Rate'!$I:$I,'11_18_11_24 Acc Rate'!$K:$L,'11_18_11_24 Acc Rate'!$N:$P</definedName>
    <definedName name="Z_E8EA09A6_9A5D_41BD_A1B6_DD1E2B4E5703_.wvu.Cols" localSheetId="17" hidden="1">'11_25_12_01 Acc Rate'!$C:$G,'11_25_12_01 Acc Rate'!$I:$I,'11_25_12_01 Acc Rate'!$K:$L,'11_25_12_01 Acc Rate'!$N:$P</definedName>
    <definedName name="Z_E8EA09A6_9A5D_41BD_A1B6_DD1E2B4E5703_.wvu.Cols" localSheetId="19" hidden="1">'12_02_12_08 Acc Rate'!$C:$G,'12_02_12_08 Acc Rate'!$I:$I,'12_02_12_08 Acc Rate'!$K:$L,'12_02_12_08 Acc Rate'!$N:$P</definedName>
    <definedName name="Z_E8EA09A6_9A5D_41BD_A1B6_DD1E2B4E5703_.wvu.Cols" localSheetId="21" hidden="1">'12_09_12_15 Acc Rate'!$C:$G,'12_09_12_15 Acc Rate'!$I:$I,'12_09_12_15 Acc Rate'!$K:$L,'12_09_12_15 Acc Rate'!$N:$P</definedName>
    <definedName name="Z_E8EA09A6_9A5D_41BD_A1B6_DD1E2B4E5703_.wvu.Cols" localSheetId="23" hidden="1">'12_16_12_22 Acc Rate'!$C:$G,'12_16_12_22 Acc Rate'!$I:$I,'12_16_12_22 Acc Rate'!$K:$L,'12_16_12_22 Acc Rate'!$N:$P</definedName>
    <definedName name="Z_E8EA09A6_9A5D_41BD_A1B6_DD1E2B4E5703_.wvu.Cols" localSheetId="25" hidden="1">'12_23_12_29 Acc Rate'!$C:$G,'12_23_12_29 Acc Rate'!$I:$I,'12_23_12_29 Acc Rate'!$K:$L,'12_23_12_29 Acc Rate'!$N:$P</definedName>
    <definedName name="Z_E8EA09A6_9A5D_41BD_A1B6_DD1E2B4E5703_.wvu.Cols" localSheetId="28" hidden="1">'Acc Rate Template'!$C:$G,'Acc Rate Template'!$I:$I,'Acc Rate Template'!$K:$L,'Acc Rate Template'!$N:$P</definedName>
    <definedName name="Z_E8EA09A6_9A5D_41BD_A1B6_DD1E2B4E5703_.wvu.Cols" localSheetId="27" hidden="1">Accuracy!$C:$D</definedName>
    <definedName name="Z_E8EA09A6_9A5D_41BD_A1B6_DD1E2B4E5703_.wvu.FilterData" localSheetId="27" hidden="1">Accuracy!$B$6:$AR$25</definedName>
    <definedName name="Z_E8EA09A6_9A5D_41BD_A1B6_DD1E2B4E5703_.wvu.FilterData" localSheetId="30" hidden="1">Directory!$A$1:$O$1</definedName>
    <definedName name="Z_EA578D53_F6DD_4A15_95C8_E7D39C59CE00_.wvu.FilterData" localSheetId="30" hidden="1">Directory!$A$1:$O$1</definedName>
    <definedName name="Z_F567BCB2_6D48_41F2_A191_09CE8F64E918_.wvu.Cols" localSheetId="1" hidden="1">'09_30_10_06 Acc Rate'!$C:$G,'09_30_10_06 Acc Rate'!$I:$I,'09_30_10_06 Acc Rate'!$K:$L,'09_30_10_06 Acc Rate'!$N:$P</definedName>
    <definedName name="Z_F567BCB2_6D48_41F2_A191_09CE8F64E918_.wvu.Cols" localSheetId="3" hidden="1">'10_07_10_13 Acc Rate'!$C:$G,'10_07_10_13 Acc Rate'!$I:$I,'10_07_10_13 Acc Rate'!$K:$L,'10_07_10_13 Acc Rate'!$N:$P</definedName>
    <definedName name="Z_F567BCB2_6D48_41F2_A191_09CE8F64E918_.wvu.Cols" localSheetId="5" hidden="1">'10_14_10_20 Acc Rate'!$C:$G,'10_14_10_20 Acc Rate'!$I:$I,'10_14_10_20 Acc Rate'!$K:$L,'10_14_10_20 Acc Rate'!$N:$P</definedName>
    <definedName name="Z_F567BCB2_6D48_41F2_A191_09CE8F64E918_.wvu.Cols" localSheetId="7" hidden="1">'10_21_10_27 Acc Rate'!$C:$G,'10_21_10_27 Acc Rate'!$I:$I,'10_21_10_27 Acc Rate'!$K:$L,'10_21_10_27 Acc Rate'!$N:$P</definedName>
    <definedName name="Z_F567BCB2_6D48_41F2_A191_09CE8F64E918_.wvu.Cols" localSheetId="9" hidden="1">'10_28_11_03 Acc Rate'!$C:$G,'10_28_11_03 Acc Rate'!$I:$I,'10_28_11_03 Acc Rate'!$K:$L,'10_28_11_03 Acc Rate'!$N:$P</definedName>
    <definedName name="Z_F567BCB2_6D48_41F2_A191_09CE8F64E918_.wvu.Cols" localSheetId="11" hidden="1">'11_04_11_10 Acc Rate'!$C:$G,'11_04_11_10 Acc Rate'!$I:$I,'11_04_11_10 Acc Rate'!$K:$L,'11_04_11_10 Acc Rate'!$N:$P</definedName>
    <definedName name="Z_F567BCB2_6D48_41F2_A191_09CE8F64E918_.wvu.Cols" localSheetId="13" hidden="1">'11_11_11_17 Acc Rate'!$C:$G,'11_11_11_17 Acc Rate'!$I:$I,'11_11_11_17 Acc Rate'!$K:$L,'11_11_11_17 Acc Rate'!$N:$P</definedName>
    <definedName name="Z_F567BCB2_6D48_41F2_A191_09CE8F64E918_.wvu.Cols" localSheetId="15" hidden="1">'11_18_11_24 Acc Rate'!$C:$G,'11_18_11_24 Acc Rate'!$I:$I,'11_18_11_24 Acc Rate'!$K:$L,'11_18_11_24 Acc Rate'!$N:$P</definedName>
    <definedName name="Z_F567BCB2_6D48_41F2_A191_09CE8F64E918_.wvu.Cols" localSheetId="17" hidden="1">'11_25_12_01 Acc Rate'!$C:$G,'11_25_12_01 Acc Rate'!$I:$I,'11_25_12_01 Acc Rate'!$K:$L,'11_25_12_01 Acc Rate'!$N:$P</definedName>
    <definedName name="Z_F567BCB2_6D48_41F2_A191_09CE8F64E918_.wvu.Cols" localSheetId="19" hidden="1">'12_02_12_08 Acc Rate'!$C:$G,'12_02_12_08 Acc Rate'!$I:$I,'12_02_12_08 Acc Rate'!$K:$L,'12_02_12_08 Acc Rate'!$N:$P</definedName>
    <definedName name="Z_F567BCB2_6D48_41F2_A191_09CE8F64E918_.wvu.Cols" localSheetId="21" hidden="1">'12_09_12_15 Acc Rate'!$C:$G,'12_09_12_15 Acc Rate'!$I:$I,'12_09_12_15 Acc Rate'!$K:$L,'12_09_12_15 Acc Rate'!$N:$P</definedName>
    <definedName name="Z_F567BCB2_6D48_41F2_A191_09CE8F64E918_.wvu.Cols" localSheetId="23" hidden="1">'12_16_12_22 Acc Rate'!$C:$G,'12_16_12_22 Acc Rate'!$I:$I,'12_16_12_22 Acc Rate'!$K:$L,'12_16_12_22 Acc Rate'!$N:$P</definedName>
    <definedName name="Z_F567BCB2_6D48_41F2_A191_09CE8F64E918_.wvu.Cols" localSheetId="25" hidden="1">'12_23_12_29 Acc Rate'!$C:$G,'12_23_12_29 Acc Rate'!$I:$I,'12_23_12_29 Acc Rate'!$K:$L,'12_23_12_29 Acc Rate'!$N:$P</definedName>
    <definedName name="Z_F567BCB2_6D48_41F2_A191_09CE8F64E918_.wvu.Cols" localSheetId="28" hidden="1">'Acc Rate Template'!$C:$G,'Acc Rate Template'!$I:$I,'Acc Rate Template'!$K:$L,'Acc Rate Template'!$N:$P</definedName>
    <definedName name="Z_F567BCB2_6D48_41F2_A191_09CE8F64E918_.wvu.Cols" localSheetId="27" hidden="1">Accuracy!$C:$D</definedName>
    <definedName name="Z_F567BCB2_6D48_41F2_A191_09CE8F64E918_.wvu.FilterData" localSheetId="27" hidden="1">Accuracy!$B$6:$AR$25</definedName>
    <definedName name="Z_F567BCB2_6D48_41F2_A191_09CE8F64E918_.wvu.FilterData" localSheetId="30" hidden="1">Directory!$A$1:$O$1</definedName>
    <definedName name="Z_F8CBCBDD_5FE1_4656_8906_81A832D861EF_.wvu.Cols" localSheetId="1" hidden="1">'09_30_10_06 Acc Rate'!$C:$G,'09_30_10_06 Acc Rate'!$I:$I,'09_30_10_06 Acc Rate'!$K:$L,'09_30_10_06 Acc Rate'!$N:$P</definedName>
    <definedName name="Z_F8CBCBDD_5FE1_4656_8906_81A832D861EF_.wvu.Cols" localSheetId="3" hidden="1">'10_07_10_13 Acc Rate'!$C:$G,'10_07_10_13 Acc Rate'!$I:$I,'10_07_10_13 Acc Rate'!$K:$L,'10_07_10_13 Acc Rate'!$N:$P</definedName>
    <definedName name="Z_F8CBCBDD_5FE1_4656_8906_81A832D861EF_.wvu.Cols" localSheetId="5" hidden="1">'10_14_10_20 Acc Rate'!$C:$G,'10_14_10_20 Acc Rate'!$I:$I,'10_14_10_20 Acc Rate'!$K:$L,'10_14_10_20 Acc Rate'!$N:$P</definedName>
    <definedName name="Z_F8CBCBDD_5FE1_4656_8906_81A832D861EF_.wvu.Cols" localSheetId="7" hidden="1">'10_21_10_27 Acc Rate'!$C:$G,'10_21_10_27 Acc Rate'!$I:$I,'10_21_10_27 Acc Rate'!$K:$L,'10_21_10_27 Acc Rate'!$N:$P</definedName>
    <definedName name="Z_F8CBCBDD_5FE1_4656_8906_81A832D861EF_.wvu.Cols" localSheetId="9" hidden="1">'10_28_11_03 Acc Rate'!$C:$G,'10_28_11_03 Acc Rate'!$I:$I,'10_28_11_03 Acc Rate'!$K:$L,'10_28_11_03 Acc Rate'!$N:$P</definedName>
    <definedName name="Z_F8CBCBDD_5FE1_4656_8906_81A832D861EF_.wvu.Cols" localSheetId="11" hidden="1">'11_04_11_10 Acc Rate'!$C:$G,'11_04_11_10 Acc Rate'!$I:$I,'11_04_11_10 Acc Rate'!$K:$L,'11_04_11_10 Acc Rate'!$N:$P</definedName>
    <definedName name="Z_F8CBCBDD_5FE1_4656_8906_81A832D861EF_.wvu.Cols" localSheetId="13" hidden="1">'11_11_11_17 Acc Rate'!$C:$G,'11_11_11_17 Acc Rate'!$I:$I,'11_11_11_17 Acc Rate'!$K:$L,'11_11_11_17 Acc Rate'!$N:$P</definedName>
    <definedName name="Z_F8CBCBDD_5FE1_4656_8906_81A832D861EF_.wvu.Cols" localSheetId="15" hidden="1">'11_18_11_24 Acc Rate'!$C:$G,'11_18_11_24 Acc Rate'!$I:$I,'11_18_11_24 Acc Rate'!$K:$L,'11_18_11_24 Acc Rate'!$N:$P</definedName>
    <definedName name="Z_F8CBCBDD_5FE1_4656_8906_81A832D861EF_.wvu.Cols" localSheetId="17" hidden="1">'11_25_12_01 Acc Rate'!$C:$G,'11_25_12_01 Acc Rate'!$I:$I,'11_25_12_01 Acc Rate'!$K:$L,'11_25_12_01 Acc Rate'!$N:$P</definedName>
    <definedName name="Z_F8CBCBDD_5FE1_4656_8906_81A832D861EF_.wvu.Cols" localSheetId="19" hidden="1">'12_02_12_08 Acc Rate'!$C:$G,'12_02_12_08 Acc Rate'!$I:$I,'12_02_12_08 Acc Rate'!$K:$L,'12_02_12_08 Acc Rate'!$N:$P</definedName>
    <definedName name="Z_F8CBCBDD_5FE1_4656_8906_81A832D861EF_.wvu.Cols" localSheetId="21" hidden="1">'12_09_12_15 Acc Rate'!$C:$G,'12_09_12_15 Acc Rate'!$I:$I,'12_09_12_15 Acc Rate'!$K:$L,'12_09_12_15 Acc Rate'!$N:$P</definedName>
    <definedName name="Z_F8CBCBDD_5FE1_4656_8906_81A832D861EF_.wvu.Cols" localSheetId="23" hidden="1">'12_16_12_22 Acc Rate'!$C:$G,'12_16_12_22 Acc Rate'!$I:$I,'12_16_12_22 Acc Rate'!$K:$L,'12_16_12_22 Acc Rate'!$N:$P</definedName>
    <definedName name="Z_F8CBCBDD_5FE1_4656_8906_81A832D861EF_.wvu.Cols" localSheetId="25" hidden="1">'12_23_12_29 Acc Rate'!$C:$G,'12_23_12_29 Acc Rate'!$I:$I,'12_23_12_29 Acc Rate'!$K:$L,'12_23_12_29 Acc Rate'!$N:$P</definedName>
    <definedName name="Z_F8CBCBDD_5FE1_4656_8906_81A832D861EF_.wvu.Cols" localSheetId="28" hidden="1">'Acc Rate Template'!$C:$G,'Acc Rate Template'!$I:$I,'Acc Rate Template'!$K:$L,'Acc Rate Template'!$N:$P</definedName>
    <definedName name="Z_F8CBCBDD_5FE1_4656_8906_81A832D861EF_.wvu.Cols" localSheetId="27" hidden="1">Accuracy!$C:$D</definedName>
    <definedName name="Z_F8CBCBDD_5FE1_4656_8906_81A832D861EF_.wvu.FilterData" localSheetId="27" hidden="1">Accuracy!$B$6:$AR$25</definedName>
    <definedName name="Z_F8CBCBDD_5FE1_4656_8906_81A832D861EF_.wvu.FilterData" localSheetId="30" hidden="1">Directory!$A$1:$O$1</definedName>
    <definedName name="Z_FC8F795F_6EDF_48AE_B694_9D8875AD4AAF_.wvu.FilterData" localSheetId="30" hidden="1">Directory!$A$1:$K$1</definedName>
  </definedNames>
  <calcPr calcId="191028"/>
  <customWorkbookViews>
    <customWorkbookView name="Emilee Pulsipher - Personal View" guid="{83A2DA31-60F6-4C74-93BD-40FF99C1C7A8}" mergeInterval="0" personalView="1" maximized="1" xWindow="-8" yWindow="-8" windowWidth="1936" windowHeight="1048" activeSheetId="7"/>
    <customWorkbookView name="Emily Jackson - Personal View" guid="{F8CBCBDD-5FE1-4656-8906-81A832D861EF}" mergeInterval="0" personalView="1" maximized="1" xWindow="-8" yWindow="-8" windowWidth="1936" windowHeight="1048" activeSheetId="13"/>
    <customWorkbookView name="Charity Gough - Personal View" guid="{8751A03A-3443-4C38-AE50-B3AE313663B0}" mergeInterval="0" personalView="1" maximized="1" xWindow="-1931" yWindow="-183" windowWidth="1942" windowHeight="1030" activeSheetId="11"/>
    <customWorkbookView name="Kaylee Dedman - Personal View" guid="{F567BCB2-6D48-41F2-A191-09CE8F64E918}" mergeInterval="0" personalView="1" maximized="1" xWindow="-18" yWindow="-18" windowWidth="3876" windowHeight="2052" activeSheetId="7"/>
    <customWorkbookView name="Jacque. Beckstead - Personal View" guid="{ADFAD4B4-1AD9-4570-8307-CE0121173A42}" mergeInterval="0" personalView="1" xWindow="2257" windowWidth="1774" windowHeight="1032" activeSheetId="3"/>
    <customWorkbookView name="Diane Munson - Personal View" guid="{DD6C8357-A7F2-44E6-AC58-30945CFAD161}" mergeInterval="0" personalView="1" maximized="1" xWindow="1912" yWindow="-8" windowWidth="1936" windowHeight="1048" activeSheetId="1"/>
    <customWorkbookView name="Michelle Kruger - Personal View" guid="{E8EA09A6-9A5D-41BD-A1B6-DD1E2B4E5703}" mergeInterval="0" personalView="1" maximized="1" xWindow="-9" yWindow="-9" windowWidth="1938" windowHeight="1038" activeSheetId="15"/>
    <customWorkbookView name="Nicole Fisher - Personal View" guid="{3EE9CC87-2444-446D-B867-08D102D54FBA}" mergeInterval="0" personalView="1" maximized="1" xWindow="-9" yWindow="-9" windowWidth="1938" windowHeight="1038" activeSheetId="11"/>
    <customWorkbookView name="Liz Budd - Personal View" guid="{59FEBC5D-7E48-4444-A38F-E4C647AEA35E}" mergeInterval="0" personalView="1" maximized="1" xWindow="-8" yWindow="-8" windowWidth="1936" windowHeight="1048" activeSheetId="19"/>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U48" i="17" l="1"/>
  <c r="T48" i="17"/>
  <c r="S48" i="17"/>
  <c r="R48" i="17"/>
  <c r="Q48" i="17"/>
  <c r="U46" i="17"/>
  <c r="U45" i="17"/>
  <c r="U44" i="17"/>
  <c r="U43" i="17"/>
  <c r="U42" i="17"/>
  <c r="U41" i="17"/>
  <c r="U40" i="17"/>
  <c r="U39" i="17"/>
  <c r="U38" i="17"/>
  <c r="U37" i="17"/>
  <c r="U36" i="17"/>
  <c r="U35" i="17"/>
  <c r="U34" i="17"/>
  <c r="U33" i="17"/>
  <c r="U32" i="17"/>
  <c r="U31" i="17"/>
  <c r="U30" i="17"/>
  <c r="U29" i="17"/>
  <c r="U28" i="17"/>
  <c r="U27" i="17"/>
  <c r="U26" i="17"/>
  <c r="U25" i="17"/>
  <c r="U24" i="17"/>
  <c r="U23" i="17"/>
  <c r="U22" i="17"/>
  <c r="U21" i="17"/>
  <c r="U20" i="17"/>
  <c r="U19" i="17"/>
  <c r="U18" i="17"/>
  <c r="U17" i="17"/>
  <c r="U16" i="17"/>
  <c r="U15" i="17"/>
  <c r="U14" i="17"/>
  <c r="U13" i="17"/>
  <c r="U12" i="17"/>
  <c r="U11" i="17"/>
  <c r="U10" i="17"/>
  <c r="U9" i="17"/>
  <c r="U8" i="17"/>
  <c r="U7" i="17"/>
  <c r="U6" i="17"/>
  <c r="U5" i="17"/>
  <c r="U4" i="17"/>
  <c r="U3" i="17"/>
  <c r="T3" i="92"/>
  <c r="T4" i="92"/>
  <c r="T5" i="92"/>
  <c r="T6" i="92"/>
  <c r="T7" i="92"/>
  <c r="T8" i="92"/>
  <c r="T9" i="92"/>
  <c r="T10" i="92"/>
  <c r="T11" i="92"/>
  <c r="T12" i="92"/>
  <c r="T13" i="92"/>
  <c r="T14" i="92"/>
  <c r="T15" i="92"/>
  <c r="T16" i="92"/>
  <c r="T17" i="92"/>
  <c r="T18" i="92"/>
  <c r="T19" i="92"/>
  <c r="T20" i="92"/>
  <c r="T21" i="92"/>
  <c r="T22" i="92"/>
  <c r="T23" i="92"/>
  <c r="T24" i="92"/>
  <c r="T25" i="92"/>
  <c r="T26" i="92"/>
  <c r="T27" i="92"/>
  <c r="T28" i="92"/>
  <c r="T29" i="92"/>
  <c r="T30" i="92"/>
  <c r="T31" i="92"/>
  <c r="T32" i="92"/>
  <c r="T33" i="92"/>
  <c r="T34" i="92"/>
  <c r="T35" i="92"/>
  <c r="T36" i="92"/>
  <c r="T37" i="92"/>
  <c r="T38" i="92"/>
  <c r="T39" i="92"/>
  <c r="T40" i="92"/>
  <c r="T41" i="92"/>
  <c r="T42" i="92"/>
  <c r="T43" i="92"/>
  <c r="T44" i="92"/>
  <c r="T45" i="92"/>
  <c r="T46" i="92"/>
  <c r="T47" i="92"/>
  <c r="T48" i="92"/>
  <c r="S3" i="92"/>
  <c r="S4" i="92"/>
  <c r="S5" i="92"/>
  <c r="S6" i="92"/>
  <c r="S7" i="92"/>
  <c r="S8" i="92"/>
  <c r="S9" i="92"/>
  <c r="S10" i="92"/>
  <c r="S11" i="92"/>
  <c r="S12" i="92"/>
  <c r="S13" i="92"/>
  <c r="S14" i="92"/>
  <c r="S15" i="92"/>
  <c r="S16" i="92"/>
  <c r="S17" i="92"/>
  <c r="S18" i="92"/>
  <c r="S19" i="92"/>
  <c r="S20" i="92"/>
  <c r="S21" i="92"/>
  <c r="S22" i="92"/>
  <c r="S23" i="92"/>
  <c r="S24" i="92"/>
  <c r="R24" i="92" s="1"/>
  <c r="S25" i="92"/>
  <c r="R25" i="92" s="1"/>
  <c r="S26" i="92"/>
  <c r="S27" i="92"/>
  <c r="U27" i="92" s="1"/>
  <c r="S28" i="92"/>
  <c r="R28" i="92" s="1"/>
  <c r="S29" i="92"/>
  <c r="R29" i="92" s="1"/>
  <c r="S30" i="92"/>
  <c r="S31" i="92"/>
  <c r="S32" i="92"/>
  <c r="R32" i="92" s="1"/>
  <c r="S33" i="92"/>
  <c r="S34" i="92"/>
  <c r="S35" i="92"/>
  <c r="R35" i="92" s="1"/>
  <c r="S36" i="92"/>
  <c r="S37" i="92"/>
  <c r="S38" i="92"/>
  <c r="U38" i="92" s="1"/>
  <c r="S39" i="92"/>
  <c r="U39" i="92" s="1"/>
  <c r="S40" i="92"/>
  <c r="S41" i="92"/>
  <c r="S42" i="92"/>
  <c r="R42" i="92" s="1"/>
  <c r="S43" i="92"/>
  <c r="R43" i="92" s="1"/>
  <c r="S44" i="92"/>
  <c r="S45" i="92"/>
  <c r="S46" i="92"/>
  <c r="S47" i="92"/>
  <c r="S48" i="92"/>
  <c r="R3" i="92"/>
  <c r="R4" i="92"/>
  <c r="R5" i="92"/>
  <c r="R6" i="92"/>
  <c r="R7" i="92"/>
  <c r="R8" i="92"/>
  <c r="R9" i="92"/>
  <c r="R10" i="92"/>
  <c r="R11" i="92"/>
  <c r="R12" i="92"/>
  <c r="R13" i="92"/>
  <c r="R14" i="92"/>
  <c r="R15" i="92"/>
  <c r="R16" i="92"/>
  <c r="R17" i="92"/>
  <c r="R18" i="92"/>
  <c r="R19" i="92"/>
  <c r="R20" i="92"/>
  <c r="R21" i="92"/>
  <c r="R22" i="92"/>
  <c r="R23" i="92"/>
  <c r="R26" i="92"/>
  <c r="R27" i="92"/>
  <c r="R30" i="92"/>
  <c r="R31" i="92"/>
  <c r="R34" i="92"/>
  <c r="R38" i="92"/>
  <c r="Q49" i="92"/>
  <c r="U34" i="92"/>
  <c r="U31" i="92"/>
  <c r="U30" i="92"/>
  <c r="U28" i="92"/>
  <c r="U26" i="92"/>
  <c r="U25" i="92"/>
  <c r="U24" i="92"/>
  <c r="U23" i="92"/>
  <c r="U22" i="92"/>
  <c r="U21" i="92"/>
  <c r="U20" i="92"/>
  <c r="U19" i="92"/>
  <c r="U18" i="92"/>
  <c r="U17" i="92"/>
  <c r="U16" i="92"/>
  <c r="U15" i="92"/>
  <c r="U14" i="92"/>
  <c r="U13" i="92"/>
  <c r="U12" i="92"/>
  <c r="U11" i="92"/>
  <c r="U10" i="92"/>
  <c r="U9" i="92"/>
  <c r="U8" i="92"/>
  <c r="U7" i="92"/>
  <c r="U6" i="92"/>
  <c r="U5" i="92"/>
  <c r="U4" i="92"/>
  <c r="U3" i="92"/>
  <c r="T3" i="90"/>
  <c r="T4" i="90"/>
  <c r="T5" i="90"/>
  <c r="T6" i="90"/>
  <c r="T7" i="90"/>
  <c r="T8" i="90"/>
  <c r="T9" i="90"/>
  <c r="T10" i="90"/>
  <c r="T11" i="90"/>
  <c r="T12" i="90"/>
  <c r="T13" i="90"/>
  <c r="T14" i="90"/>
  <c r="T15" i="90"/>
  <c r="T16" i="90"/>
  <c r="T17" i="90"/>
  <c r="T18" i="90"/>
  <c r="T19" i="90"/>
  <c r="T20" i="90"/>
  <c r="T21" i="90"/>
  <c r="T22" i="90"/>
  <c r="T23" i="90"/>
  <c r="T24" i="90"/>
  <c r="T25" i="90"/>
  <c r="T26" i="90"/>
  <c r="T27" i="90"/>
  <c r="T28" i="90"/>
  <c r="T29" i="90"/>
  <c r="T30" i="90"/>
  <c r="T31" i="90"/>
  <c r="T32" i="90"/>
  <c r="T33" i="90"/>
  <c r="T34" i="90"/>
  <c r="T35" i="90"/>
  <c r="T36" i="90"/>
  <c r="T37" i="90"/>
  <c r="T38" i="90"/>
  <c r="T39" i="90"/>
  <c r="T40" i="90"/>
  <c r="T41" i="90"/>
  <c r="T42" i="90"/>
  <c r="T43" i="90"/>
  <c r="T44" i="90"/>
  <c r="T45" i="90"/>
  <c r="T46" i="90"/>
  <c r="T47" i="90"/>
  <c r="T48" i="90"/>
  <c r="S3" i="90"/>
  <c r="S4" i="90"/>
  <c r="S5" i="90"/>
  <c r="S6" i="90"/>
  <c r="S7" i="90"/>
  <c r="S8" i="90"/>
  <c r="S9" i="90"/>
  <c r="S10" i="90"/>
  <c r="S11" i="90"/>
  <c r="S12" i="90"/>
  <c r="S13" i="90"/>
  <c r="S14" i="90"/>
  <c r="S15" i="90"/>
  <c r="S16" i="90"/>
  <c r="S17" i="90"/>
  <c r="S18" i="90"/>
  <c r="S19" i="90"/>
  <c r="S20" i="90"/>
  <c r="S21" i="90"/>
  <c r="S22" i="90"/>
  <c r="S23" i="90"/>
  <c r="S24" i="90"/>
  <c r="S25" i="90"/>
  <c r="S26" i="90"/>
  <c r="S27" i="90"/>
  <c r="S28" i="90"/>
  <c r="S29" i="90"/>
  <c r="S30" i="90"/>
  <c r="S31" i="90"/>
  <c r="S32" i="90"/>
  <c r="S33" i="90"/>
  <c r="S34" i="90"/>
  <c r="S35" i="90"/>
  <c r="S36" i="90"/>
  <c r="S37" i="90"/>
  <c r="S38" i="90"/>
  <c r="S39" i="90"/>
  <c r="S40" i="90"/>
  <c r="S41" i="90"/>
  <c r="S42" i="90"/>
  <c r="S43" i="90"/>
  <c r="S44" i="90"/>
  <c r="S45" i="90"/>
  <c r="S46" i="90"/>
  <c r="S47" i="90"/>
  <c r="S48" i="90"/>
  <c r="R3" i="90"/>
  <c r="R4" i="90"/>
  <c r="R5" i="90"/>
  <c r="R6" i="90"/>
  <c r="R7" i="90"/>
  <c r="R8" i="90"/>
  <c r="R9" i="90"/>
  <c r="R10" i="90"/>
  <c r="R11" i="90"/>
  <c r="R12" i="90"/>
  <c r="R13" i="90"/>
  <c r="R14" i="90"/>
  <c r="R15" i="90"/>
  <c r="R16" i="90"/>
  <c r="R17" i="90"/>
  <c r="R18" i="90"/>
  <c r="R19" i="90"/>
  <c r="R20" i="90"/>
  <c r="R21" i="90"/>
  <c r="R22" i="90"/>
  <c r="R23" i="90"/>
  <c r="R24" i="90"/>
  <c r="R25" i="90"/>
  <c r="R26" i="90"/>
  <c r="R27" i="90"/>
  <c r="R28" i="90"/>
  <c r="R29" i="90"/>
  <c r="R30" i="90"/>
  <c r="R31" i="90"/>
  <c r="R32" i="90"/>
  <c r="R33" i="90"/>
  <c r="R34" i="90"/>
  <c r="R35" i="90"/>
  <c r="R36" i="90"/>
  <c r="R37" i="90"/>
  <c r="R38" i="90"/>
  <c r="R39" i="90"/>
  <c r="R40" i="90"/>
  <c r="R41" i="90"/>
  <c r="R42" i="90"/>
  <c r="R43" i="90"/>
  <c r="R44" i="90"/>
  <c r="R45" i="90"/>
  <c r="Q49" i="90"/>
  <c r="U45" i="90"/>
  <c r="U44" i="90"/>
  <c r="U43" i="90"/>
  <c r="U42" i="90"/>
  <c r="U41" i="90"/>
  <c r="U40" i="90"/>
  <c r="U39" i="90"/>
  <c r="U38" i="90"/>
  <c r="U37" i="90"/>
  <c r="U36" i="90"/>
  <c r="U35" i="90"/>
  <c r="U34" i="90"/>
  <c r="U33" i="90"/>
  <c r="U32" i="90"/>
  <c r="U31" i="90"/>
  <c r="U30" i="90"/>
  <c r="U29" i="90"/>
  <c r="U28" i="90"/>
  <c r="U27" i="90"/>
  <c r="U26" i="90"/>
  <c r="U25" i="90"/>
  <c r="U24" i="90"/>
  <c r="U23" i="90"/>
  <c r="U22" i="90"/>
  <c r="U21" i="90"/>
  <c r="U20" i="90"/>
  <c r="U19" i="90"/>
  <c r="U18" i="90"/>
  <c r="U17" i="90"/>
  <c r="U16" i="90"/>
  <c r="U15" i="90"/>
  <c r="U14" i="90"/>
  <c r="U13" i="90"/>
  <c r="U12" i="90"/>
  <c r="U11" i="90"/>
  <c r="U10" i="90"/>
  <c r="U9" i="90"/>
  <c r="U8" i="90"/>
  <c r="U7" i="90"/>
  <c r="U6" i="90"/>
  <c r="U5" i="90"/>
  <c r="U4" i="90"/>
  <c r="U3" i="90"/>
  <c r="T3" i="88"/>
  <c r="T4" i="88"/>
  <c r="T5" i="88"/>
  <c r="T6" i="88"/>
  <c r="T7" i="88"/>
  <c r="T8" i="88"/>
  <c r="T9" i="88"/>
  <c r="T10" i="88"/>
  <c r="T11" i="88"/>
  <c r="T12" i="88"/>
  <c r="T13" i="88"/>
  <c r="T14" i="88"/>
  <c r="T15" i="88"/>
  <c r="T16" i="88"/>
  <c r="T17" i="88"/>
  <c r="T18" i="88"/>
  <c r="T19" i="88"/>
  <c r="T20" i="88"/>
  <c r="T21" i="88"/>
  <c r="T22" i="88"/>
  <c r="T23" i="88"/>
  <c r="T24" i="88"/>
  <c r="T25" i="88"/>
  <c r="T26" i="88"/>
  <c r="T27" i="88"/>
  <c r="T28" i="88"/>
  <c r="T29" i="88"/>
  <c r="T30" i="88"/>
  <c r="T31" i="88"/>
  <c r="T32" i="88"/>
  <c r="T33" i="88"/>
  <c r="T34" i="88"/>
  <c r="T35" i="88"/>
  <c r="T36" i="88"/>
  <c r="T37" i="88"/>
  <c r="T38" i="88"/>
  <c r="T39" i="88"/>
  <c r="T40" i="88"/>
  <c r="T41" i="88"/>
  <c r="T42" i="88"/>
  <c r="T43" i="88"/>
  <c r="T44" i="88"/>
  <c r="T45" i="88"/>
  <c r="T46" i="88"/>
  <c r="T47" i="88"/>
  <c r="T48" i="88"/>
  <c r="S3" i="88"/>
  <c r="S4" i="88"/>
  <c r="S5" i="88"/>
  <c r="S6" i="88"/>
  <c r="S7" i="88"/>
  <c r="S8" i="88"/>
  <c r="S9" i="88"/>
  <c r="S10" i="88"/>
  <c r="S11" i="88"/>
  <c r="S12" i="88"/>
  <c r="S13" i="88"/>
  <c r="S14" i="88"/>
  <c r="S15" i="88"/>
  <c r="S16" i="88"/>
  <c r="S17" i="88"/>
  <c r="S18" i="88"/>
  <c r="S19" i="88"/>
  <c r="S20" i="88"/>
  <c r="S21" i="88"/>
  <c r="S22" i="88"/>
  <c r="S23" i="88"/>
  <c r="S24" i="88"/>
  <c r="S25" i="88"/>
  <c r="S26" i="88"/>
  <c r="S27" i="88"/>
  <c r="S28" i="88"/>
  <c r="S29" i="88"/>
  <c r="S30" i="88"/>
  <c r="S31" i="88"/>
  <c r="S32" i="88"/>
  <c r="S33" i="88"/>
  <c r="S34" i="88"/>
  <c r="S35" i="88"/>
  <c r="S36" i="88"/>
  <c r="S37" i="88"/>
  <c r="S38" i="88"/>
  <c r="R38" i="88" s="1"/>
  <c r="S39" i="88"/>
  <c r="U39" i="88" s="1"/>
  <c r="S40" i="88"/>
  <c r="S41" i="88"/>
  <c r="S42" i="88"/>
  <c r="R42" i="88" s="1"/>
  <c r="S43" i="88"/>
  <c r="S44" i="88"/>
  <c r="S45" i="88"/>
  <c r="S46" i="88"/>
  <c r="S47" i="88"/>
  <c r="U47" i="88" s="1"/>
  <c r="S48" i="88"/>
  <c r="R3" i="88"/>
  <c r="R4" i="88"/>
  <c r="R5" i="88"/>
  <c r="R6" i="88"/>
  <c r="R7" i="88"/>
  <c r="R8" i="88"/>
  <c r="R9" i="88"/>
  <c r="R10" i="88"/>
  <c r="R11" i="88"/>
  <c r="R12" i="88"/>
  <c r="R13" i="88"/>
  <c r="R14" i="88"/>
  <c r="R15" i="88"/>
  <c r="R16" i="88"/>
  <c r="R17" i="88"/>
  <c r="R18" i="88"/>
  <c r="R19" i="88"/>
  <c r="R20" i="88"/>
  <c r="R21" i="88"/>
  <c r="R22" i="88"/>
  <c r="R23" i="88"/>
  <c r="R24" i="88"/>
  <c r="R25" i="88"/>
  <c r="R26" i="88"/>
  <c r="R27" i="88"/>
  <c r="R28" i="88"/>
  <c r="R29" i="88"/>
  <c r="R30" i="88"/>
  <c r="R31" i="88"/>
  <c r="R32" i="88"/>
  <c r="R33" i="88"/>
  <c r="R34" i="88"/>
  <c r="R35" i="88"/>
  <c r="R36" i="88"/>
  <c r="R37" i="88"/>
  <c r="R39" i="88"/>
  <c r="R41" i="88"/>
  <c r="R44" i="88"/>
  <c r="R45" i="88"/>
  <c r="Q49" i="88"/>
  <c r="U45" i="88"/>
  <c r="U44" i="88"/>
  <c r="U42" i="88"/>
  <c r="U41" i="88"/>
  <c r="U38" i="88"/>
  <c r="U37" i="88"/>
  <c r="U36" i="88"/>
  <c r="U35" i="88"/>
  <c r="U34" i="88"/>
  <c r="U33" i="88"/>
  <c r="U32" i="88"/>
  <c r="U31" i="88"/>
  <c r="U30" i="88"/>
  <c r="U29" i="88"/>
  <c r="U28" i="88"/>
  <c r="U27" i="88"/>
  <c r="U26" i="88"/>
  <c r="U25" i="88"/>
  <c r="U24" i="88"/>
  <c r="U23" i="88"/>
  <c r="U22" i="88"/>
  <c r="U21" i="88"/>
  <c r="U20" i="88"/>
  <c r="U19" i="88"/>
  <c r="U18" i="88"/>
  <c r="U17" i="88"/>
  <c r="U16" i="88"/>
  <c r="U15" i="88"/>
  <c r="U14" i="88"/>
  <c r="U13" i="88"/>
  <c r="U12" i="88"/>
  <c r="U11" i="88"/>
  <c r="U10" i="88"/>
  <c r="U9" i="88"/>
  <c r="U8" i="88"/>
  <c r="U7" i="88"/>
  <c r="U6" i="88"/>
  <c r="U5" i="88"/>
  <c r="U4" i="88"/>
  <c r="U3" i="88"/>
  <c r="T3" i="86"/>
  <c r="T4" i="86"/>
  <c r="T5" i="86"/>
  <c r="T6" i="86"/>
  <c r="T7" i="86"/>
  <c r="T8" i="86"/>
  <c r="T9" i="86"/>
  <c r="T10" i="86"/>
  <c r="T11" i="86"/>
  <c r="T12" i="86"/>
  <c r="T13" i="86"/>
  <c r="T14" i="86"/>
  <c r="T15" i="86"/>
  <c r="T16" i="86"/>
  <c r="T17" i="86"/>
  <c r="T18" i="86"/>
  <c r="T19" i="86"/>
  <c r="T20" i="86"/>
  <c r="T21" i="86"/>
  <c r="T22" i="86"/>
  <c r="T23" i="86"/>
  <c r="T24" i="86"/>
  <c r="T25" i="86"/>
  <c r="T26" i="86"/>
  <c r="T27" i="86"/>
  <c r="T28" i="86"/>
  <c r="T29" i="86"/>
  <c r="T30" i="86"/>
  <c r="T31" i="86"/>
  <c r="T32" i="86"/>
  <c r="T33" i="86"/>
  <c r="T34" i="86"/>
  <c r="T35" i="86"/>
  <c r="T36" i="86"/>
  <c r="T37" i="86"/>
  <c r="T38" i="86"/>
  <c r="T39" i="86"/>
  <c r="T40" i="86"/>
  <c r="T41" i="86"/>
  <c r="T42" i="86"/>
  <c r="T43" i="86"/>
  <c r="T44" i="86"/>
  <c r="T45" i="86"/>
  <c r="T46" i="86"/>
  <c r="T47" i="86"/>
  <c r="T48" i="86"/>
  <c r="S3" i="86"/>
  <c r="S4" i="86"/>
  <c r="S5" i="86"/>
  <c r="S6" i="86"/>
  <c r="S7" i="86"/>
  <c r="S8" i="86"/>
  <c r="S9" i="86"/>
  <c r="S10" i="86"/>
  <c r="S11" i="86"/>
  <c r="S12" i="86"/>
  <c r="S13" i="86"/>
  <c r="S14" i="86"/>
  <c r="S15" i="86"/>
  <c r="S16" i="86"/>
  <c r="S17" i="86"/>
  <c r="S18" i="86"/>
  <c r="S19" i="86"/>
  <c r="S20" i="86"/>
  <c r="S21" i="86"/>
  <c r="S22" i="86"/>
  <c r="S23" i="86"/>
  <c r="S24" i="86"/>
  <c r="S25" i="86"/>
  <c r="S26" i="86"/>
  <c r="S27" i="86"/>
  <c r="S28" i="86"/>
  <c r="S29" i="86"/>
  <c r="S30" i="86"/>
  <c r="S31" i="86"/>
  <c r="S32" i="86"/>
  <c r="S33" i="86"/>
  <c r="S34" i="86"/>
  <c r="S35" i="86"/>
  <c r="S36" i="86"/>
  <c r="S37" i="86"/>
  <c r="S38" i="86"/>
  <c r="S39" i="86"/>
  <c r="S40" i="86"/>
  <c r="S41" i="86"/>
  <c r="S42" i="86"/>
  <c r="U42" i="86" s="1"/>
  <c r="S43" i="86"/>
  <c r="R43" i="86" s="1"/>
  <c r="S44" i="86"/>
  <c r="U44" i="86" s="1"/>
  <c r="S45" i="86"/>
  <c r="U45" i="86" s="1"/>
  <c r="S46" i="86"/>
  <c r="S47" i="86"/>
  <c r="S48" i="86"/>
  <c r="R48" i="86" s="1"/>
  <c r="R3" i="86"/>
  <c r="R4" i="86"/>
  <c r="R5" i="86"/>
  <c r="R6" i="86"/>
  <c r="R7" i="86"/>
  <c r="R8" i="86"/>
  <c r="R9" i="86"/>
  <c r="R10" i="86"/>
  <c r="R11" i="86"/>
  <c r="R12" i="86"/>
  <c r="R13" i="86"/>
  <c r="R14" i="86"/>
  <c r="R15" i="86"/>
  <c r="R16" i="86"/>
  <c r="R17" i="86"/>
  <c r="R18" i="86"/>
  <c r="R19" i="86"/>
  <c r="R20" i="86"/>
  <c r="R21" i="86"/>
  <c r="R22" i="86"/>
  <c r="R23" i="86"/>
  <c r="R24" i="86"/>
  <c r="R25" i="86"/>
  <c r="R26" i="86"/>
  <c r="R27" i="86"/>
  <c r="R28" i="86"/>
  <c r="R29" i="86"/>
  <c r="R30" i="86"/>
  <c r="R31" i="86"/>
  <c r="R32" i="86"/>
  <c r="R33" i="86"/>
  <c r="R34" i="86"/>
  <c r="R35" i="86"/>
  <c r="R36" i="86"/>
  <c r="R37" i="86"/>
  <c r="R38" i="86"/>
  <c r="R39" i="86"/>
  <c r="R40" i="86"/>
  <c r="R41" i="86"/>
  <c r="R42" i="86"/>
  <c r="R44" i="86"/>
  <c r="R45" i="86"/>
  <c r="Q49" i="86"/>
  <c r="U43" i="86"/>
  <c r="U41" i="86"/>
  <c r="U40" i="86"/>
  <c r="U39" i="86"/>
  <c r="U38" i="86"/>
  <c r="U37" i="86"/>
  <c r="U36" i="86"/>
  <c r="U35" i="86"/>
  <c r="U34" i="86"/>
  <c r="U33" i="86"/>
  <c r="U32" i="86"/>
  <c r="U31" i="86"/>
  <c r="U30" i="86"/>
  <c r="U29" i="86"/>
  <c r="U28" i="86"/>
  <c r="U27" i="86"/>
  <c r="U26" i="86"/>
  <c r="U25" i="86"/>
  <c r="U24" i="86"/>
  <c r="U23" i="86"/>
  <c r="U22" i="86"/>
  <c r="U21" i="86"/>
  <c r="U20" i="86"/>
  <c r="U19" i="86"/>
  <c r="U18" i="86"/>
  <c r="U17" i="86"/>
  <c r="U16" i="86"/>
  <c r="U15" i="86"/>
  <c r="U14" i="86"/>
  <c r="U13" i="86"/>
  <c r="U12" i="86"/>
  <c r="U11" i="86"/>
  <c r="U10" i="86"/>
  <c r="U9" i="86"/>
  <c r="U8" i="86"/>
  <c r="U7" i="86"/>
  <c r="U6" i="86"/>
  <c r="U5" i="86"/>
  <c r="U4" i="86"/>
  <c r="U3" i="86"/>
  <c r="T3" i="84"/>
  <c r="T4" i="84"/>
  <c r="T5" i="84"/>
  <c r="T6" i="84"/>
  <c r="T7" i="84"/>
  <c r="T8" i="84"/>
  <c r="T9" i="84"/>
  <c r="T10" i="84"/>
  <c r="T11" i="84"/>
  <c r="T12" i="84"/>
  <c r="T13" i="84"/>
  <c r="T14" i="84"/>
  <c r="T15" i="84"/>
  <c r="T16" i="84"/>
  <c r="T17" i="84"/>
  <c r="T18" i="84"/>
  <c r="T19" i="84"/>
  <c r="T20" i="84"/>
  <c r="T21" i="84"/>
  <c r="T22" i="84"/>
  <c r="T23" i="84"/>
  <c r="T24" i="84"/>
  <c r="T25" i="84"/>
  <c r="T26" i="84"/>
  <c r="T27" i="84"/>
  <c r="T28" i="84"/>
  <c r="T29" i="84"/>
  <c r="T30" i="84"/>
  <c r="T31" i="84"/>
  <c r="T32" i="84"/>
  <c r="T33" i="84"/>
  <c r="T34" i="84"/>
  <c r="T35" i="84"/>
  <c r="T36" i="84"/>
  <c r="T37" i="84"/>
  <c r="T38" i="84"/>
  <c r="T39" i="84"/>
  <c r="T40" i="84"/>
  <c r="T41" i="84"/>
  <c r="T42" i="84"/>
  <c r="U42" i="84" s="1"/>
  <c r="T43" i="84"/>
  <c r="T44" i="84"/>
  <c r="T45" i="84"/>
  <c r="T46" i="84"/>
  <c r="T47" i="84"/>
  <c r="T48" i="84"/>
  <c r="S3" i="84"/>
  <c r="S4" i="84"/>
  <c r="S5" i="84"/>
  <c r="U5" i="84" s="1"/>
  <c r="S6" i="84"/>
  <c r="S7" i="84"/>
  <c r="S8" i="84"/>
  <c r="S9" i="84"/>
  <c r="U9" i="84" s="1"/>
  <c r="S10" i="84"/>
  <c r="S11" i="84"/>
  <c r="S12" i="84"/>
  <c r="S13" i="84"/>
  <c r="U13" i="84" s="1"/>
  <c r="S14" i="84"/>
  <c r="S15" i="84"/>
  <c r="S16" i="84"/>
  <c r="S17" i="84"/>
  <c r="U17" i="84" s="1"/>
  <c r="S18" i="84"/>
  <c r="S19" i="84"/>
  <c r="S20" i="84"/>
  <c r="S21" i="84"/>
  <c r="U21" i="84" s="1"/>
  <c r="S22" i="84"/>
  <c r="S23" i="84"/>
  <c r="S24" i="84"/>
  <c r="S25" i="84"/>
  <c r="U25" i="84" s="1"/>
  <c r="S26" i="84"/>
  <c r="S27" i="84"/>
  <c r="S28" i="84"/>
  <c r="S29" i="84"/>
  <c r="U29" i="84" s="1"/>
  <c r="S30" i="84"/>
  <c r="S31" i="84"/>
  <c r="S32" i="84"/>
  <c r="S33" i="84"/>
  <c r="S34" i="84"/>
  <c r="S35" i="84"/>
  <c r="S36" i="84"/>
  <c r="S37" i="84"/>
  <c r="S38" i="84"/>
  <c r="S39" i="84"/>
  <c r="S40" i="84"/>
  <c r="S41" i="84"/>
  <c r="S42" i="84"/>
  <c r="S43" i="84"/>
  <c r="S44" i="84"/>
  <c r="S45" i="84"/>
  <c r="S46" i="84"/>
  <c r="S47" i="84"/>
  <c r="S48" i="84"/>
  <c r="R3" i="84"/>
  <c r="R4" i="84"/>
  <c r="R6" i="84"/>
  <c r="R7" i="84"/>
  <c r="R8" i="84"/>
  <c r="R10" i="84"/>
  <c r="R11" i="84"/>
  <c r="R12" i="84"/>
  <c r="R14" i="84"/>
  <c r="R15" i="84"/>
  <c r="R16" i="84"/>
  <c r="R18" i="84"/>
  <c r="R19" i="84"/>
  <c r="R20" i="84"/>
  <c r="R22" i="84"/>
  <c r="R23" i="84"/>
  <c r="R26" i="84"/>
  <c r="R27" i="84"/>
  <c r="R30" i="84"/>
  <c r="R31" i="84"/>
  <c r="R32" i="84"/>
  <c r="R34" i="84"/>
  <c r="R35" i="84"/>
  <c r="R36" i="84"/>
  <c r="R38" i="84"/>
  <c r="R39" i="84"/>
  <c r="R43" i="84"/>
  <c r="Q49" i="84"/>
  <c r="U39" i="84"/>
  <c r="U38" i="84"/>
  <c r="U35" i="84"/>
  <c r="U34" i="84"/>
  <c r="U32" i="84"/>
  <c r="U31" i="84"/>
  <c r="U30" i="84"/>
  <c r="U27" i="84"/>
  <c r="U26" i="84"/>
  <c r="U23" i="84"/>
  <c r="U22" i="84"/>
  <c r="U20" i="84"/>
  <c r="U19" i="84"/>
  <c r="U18" i="84"/>
  <c r="U16" i="84"/>
  <c r="U15" i="84"/>
  <c r="U14" i="84"/>
  <c r="U12" i="84"/>
  <c r="U11" i="84"/>
  <c r="U10" i="84"/>
  <c r="U8" i="84"/>
  <c r="U7" i="84"/>
  <c r="U6" i="84"/>
  <c r="U4" i="84"/>
  <c r="U3" i="84"/>
  <c r="T3" i="82"/>
  <c r="T4" i="82"/>
  <c r="T5" i="82"/>
  <c r="T6" i="82"/>
  <c r="T7" i="82"/>
  <c r="T8" i="82"/>
  <c r="T9" i="82"/>
  <c r="T10" i="82"/>
  <c r="T11" i="82"/>
  <c r="T12" i="82"/>
  <c r="T13" i="82"/>
  <c r="T14" i="82"/>
  <c r="T15" i="82"/>
  <c r="T16" i="82"/>
  <c r="T17" i="82"/>
  <c r="T18" i="82"/>
  <c r="T19" i="82"/>
  <c r="T20" i="82"/>
  <c r="T21" i="82"/>
  <c r="T22" i="82"/>
  <c r="T23" i="82"/>
  <c r="T24" i="82"/>
  <c r="T25" i="82"/>
  <c r="T26" i="82"/>
  <c r="T27" i="82"/>
  <c r="T28" i="82"/>
  <c r="R28" i="82" s="1"/>
  <c r="T29" i="82"/>
  <c r="T30" i="82"/>
  <c r="T31" i="82"/>
  <c r="T32" i="82"/>
  <c r="T33" i="82"/>
  <c r="T34" i="82"/>
  <c r="T35" i="82"/>
  <c r="U35" i="82" s="1"/>
  <c r="T36" i="82"/>
  <c r="T37" i="82"/>
  <c r="T38" i="82"/>
  <c r="T39" i="82"/>
  <c r="T40" i="82"/>
  <c r="T41" i="82"/>
  <c r="T42" i="82"/>
  <c r="T43" i="82"/>
  <c r="T44" i="82"/>
  <c r="T45" i="82"/>
  <c r="T46" i="82"/>
  <c r="T47" i="82"/>
  <c r="T48" i="82"/>
  <c r="S3" i="82"/>
  <c r="S4" i="82"/>
  <c r="S5" i="82"/>
  <c r="S6" i="82"/>
  <c r="U6" i="82" s="1"/>
  <c r="S7" i="82"/>
  <c r="S8" i="82"/>
  <c r="U8" i="82" s="1"/>
  <c r="S9" i="82"/>
  <c r="S10" i="82"/>
  <c r="U10" i="82" s="1"/>
  <c r="S11" i="82"/>
  <c r="S12" i="82"/>
  <c r="U12" i="82" s="1"/>
  <c r="S13" i="82"/>
  <c r="S14" i="82"/>
  <c r="U14" i="82" s="1"/>
  <c r="S15" i="82"/>
  <c r="S16" i="82"/>
  <c r="U16" i="82" s="1"/>
  <c r="S17" i="82"/>
  <c r="S18" i="82"/>
  <c r="U18" i="82" s="1"/>
  <c r="S19" i="82"/>
  <c r="S20" i="82"/>
  <c r="U20" i="82" s="1"/>
  <c r="S21" i="82"/>
  <c r="S22" i="82"/>
  <c r="U22" i="82" s="1"/>
  <c r="S23" i="82"/>
  <c r="S24" i="82"/>
  <c r="U24" i="82" s="1"/>
  <c r="S25" i="82"/>
  <c r="S26" i="82"/>
  <c r="U26" i="82" s="1"/>
  <c r="S27" i="82"/>
  <c r="S28" i="82"/>
  <c r="S29" i="82"/>
  <c r="S30" i="82"/>
  <c r="U30" i="82" s="1"/>
  <c r="S31" i="82"/>
  <c r="S32" i="82"/>
  <c r="S33" i="82"/>
  <c r="S34" i="82"/>
  <c r="S35" i="82"/>
  <c r="S36" i="82"/>
  <c r="S37" i="82"/>
  <c r="S38" i="82"/>
  <c r="S39" i="82"/>
  <c r="S40" i="82"/>
  <c r="S41" i="82"/>
  <c r="S42" i="82"/>
  <c r="S43" i="82"/>
  <c r="S44" i="82"/>
  <c r="S45" i="82"/>
  <c r="S46" i="82"/>
  <c r="S47" i="82"/>
  <c r="S48" i="82"/>
  <c r="R3" i="82"/>
  <c r="R5" i="82"/>
  <c r="R7" i="82"/>
  <c r="R8" i="82"/>
  <c r="R9" i="82"/>
  <c r="R10" i="82"/>
  <c r="R11" i="82"/>
  <c r="R12" i="82"/>
  <c r="R13" i="82"/>
  <c r="R15" i="82"/>
  <c r="R16" i="82"/>
  <c r="R17" i="82"/>
  <c r="R19" i="82"/>
  <c r="R20" i="82"/>
  <c r="R21" i="82"/>
  <c r="R23" i="82"/>
  <c r="R24" i="82"/>
  <c r="R25" i="82"/>
  <c r="R27" i="82"/>
  <c r="R29" i="82"/>
  <c r="R31" i="82"/>
  <c r="R33" i="82"/>
  <c r="Q49" i="82"/>
  <c r="U39" i="82"/>
  <c r="U33" i="82"/>
  <c r="U31" i="82"/>
  <c r="U29" i="82"/>
  <c r="U27" i="82"/>
  <c r="U25" i="82"/>
  <c r="U23" i="82"/>
  <c r="U21" i="82"/>
  <c r="U19" i="82"/>
  <c r="U17" i="82"/>
  <c r="U15" i="82"/>
  <c r="U13" i="82"/>
  <c r="U11" i="82"/>
  <c r="U9" i="82"/>
  <c r="U7" i="82"/>
  <c r="U5" i="82"/>
  <c r="U3" i="82"/>
  <c r="T3" i="80"/>
  <c r="T4" i="80"/>
  <c r="T5" i="80"/>
  <c r="T6" i="80"/>
  <c r="T7" i="80"/>
  <c r="T8" i="80"/>
  <c r="T9" i="80"/>
  <c r="T10" i="80"/>
  <c r="T11" i="80"/>
  <c r="T12" i="80"/>
  <c r="T13" i="80"/>
  <c r="T14" i="80"/>
  <c r="T15" i="80"/>
  <c r="T16" i="80"/>
  <c r="T17" i="80"/>
  <c r="T18" i="80"/>
  <c r="T19" i="80"/>
  <c r="T20" i="80"/>
  <c r="T21" i="80"/>
  <c r="T22" i="80"/>
  <c r="T23" i="80"/>
  <c r="T24" i="80"/>
  <c r="T25" i="80"/>
  <c r="T26" i="80"/>
  <c r="T27" i="80"/>
  <c r="T28" i="80"/>
  <c r="T29" i="80"/>
  <c r="T30" i="80"/>
  <c r="T31" i="80"/>
  <c r="T32" i="80"/>
  <c r="T33" i="80"/>
  <c r="T34" i="80"/>
  <c r="T35" i="80"/>
  <c r="T36" i="80"/>
  <c r="T37" i="80"/>
  <c r="T38" i="80"/>
  <c r="T39" i="80"/>
  <c r="T40" i="80"/>
  <c r="T41" i="80"/>
  <c r="T42" i="80"/>
  <c r="T43" i="80"/>
  <c r="T44" i="80"/>
  <c r="T45" i="80"/>
  <c r="T46" i="80"/>
  <c r="T47" i="80"/>
  <c r="T48" i="80"/>
  <c r="S3" i="80"/>
  <c r="S4" i="80"/>
  <c r="S5" i="80"/>
  <c r="R5" i="80" s="1"/>
  <c r="S6" i="80"/>
  <c r="R6" i="80" s="1"/>
  <c r="S7" i="80"/>
  <c r="S8" i="80"/>
  <c r="S9" i="80"/>
  <c r="R9" i="80" s="1"/>
  <c r="S10" i="80"/>
  <c r="U10" i="80" s="1"/>
  <c r="S11" i="80"/>
  <c r="S12" i="80"/>
  <c r="S13" i="80"/>
  <c r="R13" i="80" s="1"/>
  <c r="S14" i="80"/>
  <c r="R14" i="80" s="1"/>
  <c r="S15" i="80"/>
  <c r="S16" i="80"/>
  <c r="S17" i="80"/>
  <c r="R17" i="80" s="1"/>
  <c r="S18" i="80"/>
  <c r="U18" i="80" s="1"/>
  <c r="S19" i="80"/>
  <c r="S20" i="80"/>
  <c r="S21" i="80"/>
  <c r="R21" i="80" s="1"/>
  <c r="S22" i="80"/>
  <c r="R22" i="80" s="1"/>
  <c r="S23" i="80"/>
  <c r="S24" i="80"/>
  <c r="S25" i="80"/>
  <c r="R25" i="80" s="1"/>
  <c r="S26" i="80"/>
  <c r="U26" i="80" s="1"/>
  <c r="S27" i="80"/>
  <c r="S28" i="80"/>
  <c r="S29" i="80"/>
  <c r="R29" i="80" s="1"/>
  <c r="S30" i="80"/>
  <c r="R30" i="80" s="1"/>
  <c r="S31" i="80"/>
  <c r="S32" i="80"/>
  <c r="S33" i="80"/>
  <c r="R33" i="80" s="1"/>
  <c r="S34" i="80"/>
  <c r="U34" i="80" s="1"/>
  <c r="S35" i="80"/>
  <c r="S36" i="80"/>
  <c r="S37" i="80"/>
  <c r="S38" i="80"/>
  <c r="R38" i="80" s="1"/>
  <c r="S39" i="80"/>
  <c r="S40" i="80"/>
  <c r="S41" i="80"/>
  <c r="S42" i="80"/>
  <c r="S43" i="80"/>
  <c r="S44" i="80"/>
  <c r="S45" i="80"/>
  <c r="S46" i="80"/>
  <c r="S47" i="80"/>
  <c r="S48" i="80"/>
  <c r="R7" i="80"/>
  <c r="R8" i="80"/>
  <c r="R11" i="80"/>
  <c r="R12" i="80"/>
  <c r="R15" i="80"/>
  <c r="R16" i="80"/>
  <c r="R19" i="80"/>
  <c r="R20" i="80"/>
  <c r="R23" i="80"/>
  <c r="R24" i="80"/>
  <c r="R27" i="80"/>
  <c r="R28" i="80"/>
  <c r="R31" i="80"/>
  <c r="R32" i="80"/>
  <c r="R40" i="80"/>
  <c r="Q49" i="80"/>
  <c r="U37" i="80"/>
  <c r="U33" i="80"/>
  <c r="U29" i="80"/>
  <c r="U25" i="80"/>
  <c r="U21" i="80"/>
  <c r="U17" i="80"/>
  <c r="U13" i="80"/>
  <c r="U9" i="80"/>
  <c r="U5" i="80"/>
  <c r="U35" i="92" l="1"/>
  <c r="U29" i="92"/>
  <c r="R40" i="92"/>
  <c r="R36" i="92"/>
  <c r="U37" i="92"/>
  <c r="U33" i="92"/>
  <c r="U42" i="92"/>
  <c r="R33" i="92"/>
  <c r="U45" i="92"/>
  <c r="U41" i="92"/>
  <c r="R37" i="92"/>
  <c r="U44" i="92"/>
  <c r="U43" i="92"/>
  <c r="R39" i="92"/>
  <c r="S49" i="92"/>
  <c r="R41" i="92"/>
  <c r="U32" i="92"/>
  <c r="U36" i="92"/>
  <c r="U40" i="92"/>
  <c r="R45" i="92"/>
  <c r="R48" i="92"/>
  <c r="R44" i="92"/>
  <c r="R47" i="92"/>
  <c r="R46" i="92"/>
  <c r="U47" i="92"/>
  <c r="T49" i="92"/>
  <c r="U46" i="92"/>
  <c r="U49" i="92"/>
  <c r="T49" i="90"/>
  <c r="S49" i="90"/>
  <c r="U47" i="90"/>
  <c r="R47" i="90"/>
  <c r="R48" i="90"/>
  <c r="U46" i="90"/>
  <c r="U49" i="90"/>
  <c r="R46" i="90"/>
  <c r="S49" i="88"/>
  <c r="R47" i="88"/>
  <c r="R48" i="88"/>
  <c r="R43" i="88"/>
  <c r="R40" i="88"/>
  <c r="T49" i="88"/>
  <c r="U40" i="88"/>
  <c r="U43" i="88"/>
  <c r="U46" i="88"/>
  <c r="U49" i="88"/>
  <c r="R46" i="88"/>
  <c r="U47" i="86"/>
  <c r="T49" i="86"/>
  <c r="R46" i="86"/>
  <c r="U46" i="86"/>
  <c r="R47" i="86"/>
  <c r="R42" i="84"/>
  <c r="R47" i="84"/>
  <c r="R46" i="84"/>
  <c r="U28" i="84"/>
  <c r="R24" i="84"/>
  <c r="U43" i="84"/>
  <c r="U24" i="84"/>
  <c r="R28" i="84"/>
  <c r="U41" i="84"/>
  <c r="U37" i="84"/>
  <c r="U33" i="84"/>
  <c r="R44" i="84"/>
  <c r="R40" i="84"/>
  <c r="U36" i="84"/>
  <c r="R48" i="84"/>
  <c r="U44" i="84"/>
  <c r="U40" i="84"/>
  <c r="T49" i="84"/>
  <c r="U45" i="84"/>
  <c r="R35" i="82"/>
  <c r="R40" i="82"/>
  <c r="U36" i="82"/>
  <c r="U32" i="82"/>
  <c r="U28" i="82"/>
  <c r="U43" i="82"/>
  <c r="U47" i="84"/>
  <c r="U46" i="84"/>
  <c r="U49" i="84"/>
  <c r="R43" i="82"/>
  <c r="R32" i="82"/>
  <c r="R36" i="82"/>
  <c r="U38" i="82"/>
  <c r="U34" i="82"/>
  <c r="R45" i="82"/>
  <c r="U41" i="82"/>
  <c r="U37" i="82"/>
  <c r="R48" i="82"/>
  <c r="R44" i="82"/>
  <c r="U47" i="82"/>
  <c r="R39" i="82"/>
  <c r="R37" i="82"/>
  <c r="U46" i="82"/>
  <c r="U42" i="82"/>
  <c r="R41" i="82"/>
  <c r="U45" i="82"/>
  <c r="R47" i="82"/>
  <c r="U49" i="82"/>
  <c r="U44" i="82"/>
  <c r="U40" i="82"/>
  <c r="U41" i="80"/>
  <c r="R41" i="80"/>
  <c r="R37" i="80"/>
  <c r="R47" i="80"/>
  <c r="R43" i="80"/>
  <c r="R39" i="80"/>
  <c r="R35" i="80"/>
  <c r="U45" i="80"/>
  <c r="R44" i="80"/>
  <c r="R36" i="80"/>
  <c r="R46" i="80"/>
  <c r="U42" i="80"/>
  <c r="R45" i="80"/>
  <c r="S49" i="86"/>
  <c r="U49" i="86"/>
  <c r="S49" i="84"/>
  <c r="R45" i="84"/>
  <c r="R41" i="84"/>
  <c r="R37" i="84"/>
  <c r="R33" i="84"/>
  <c r="R29" i="84"/>
  <c r="R25" i="84"/>
  <c r="R21" i="84"/>
  <c r="R17" i="84"/>
  <c r="R13" i="84"/>
  <c r="R9" i="84"/>
  <c r="R5" i="84"/>
  <c r="T49" i="80"/>
  <c r="R48" i="80"/>
  <c r="S49" i="82"/>
  <c r="R6" i="82"/>
  <c r="R4" i="82"/>
  <c r="U49" i="80"/>
  <c r="U47" i="80"/>
  <c r="U44" i="80"/>
  <c r="U43" i="80"/>
  <c r="U40" i="80"/>
  <c r="U39" i="80"/>
  <c r="U36" i="80"/>
  <c r="U35" i="80"/>
  <c r="U32" i="80"/>
  <c r="U31" i="80"/>
  <c r="U28" i="80"/>
  <c r="U27" i="80"/>
  <c r="U24" i="80"/>
  <c r="U23" i="80"/>
  <c r="U20" i="80"/>
  <c r="U19" i="80"/>
  <c r="U16" i="80"/>
  <c r="U15" i="80"/>
  <c r="U12" i="80"/>
  <c r="U11" i="80"/>
  <c r="U8" i="80"/>
  <c r="U7" i="80"/>
  <c r="U4" i="80"/>
  <c r="T49" i="82"/>
  <c r="R46" i="82"/>
  <c r="R42" i="82"/>
  <c r="R38" i="82"/>
  <c r="R34" i="82"/>
  <c r="R30" i="82"/>
  <c r="R26" i="82"/>
  <c r="R22" i="82"/>
  <c r="R18" i="82"/>
  <c r="R14" i="82"/>
  <c r="U4" i="82"/>
  <c r="U6" i="80"/>
  <c r="U14" i="80"/>
  <c r="U22" i="80"/>
  <c r="U30" i="80"/>
  <c r="U38" i="80"/>
  <c r="U46" i="80"/>
  <c r="S49" i="80"/>
  <c r="R3" i="80"/>
  <c r="U3" i="80"/>
  <c r="R42" i="80"/>
  <c r="R34" i="80"/>
  <c r="R26" i="80"/>
  <c r="R18" i="80"/>
  <c r="R10" i="80"/>
  <c r="R4" i="80"/>
  <c r="T3" i="66"/>
  <c r="T4" i="66"/>
  <c r="T5" i="66"/>
  <c r="T6" i="66"/>
  <c r="T7" i="66"/>
  <c r="T8" i="66"/>
  <c r="T9" i="66"/>
  <c r="T10" i="66"/>
  <c r="T11" i="66"/>
  <c r="T12" i="66"/>
  <c r="T13" i="66"/>
  <c r="T14" i="66"/>
  <c r="T15" i="66"/>
  <c r="T16" i="66"/>
  <c r="T17" i="66"/>
  <c r="T18" i="66"/>
  <c r="T19" i="66"/>
  <c r="T20" i="66"/>
  <c r="T21" i="66"/>
  <c r="T22" i="66"/>
  <c r="T23" i="66"/>
  <c r="T24" i="66"/>
  <c r="T25" i="66"/>
  <c r="T26" i="66"/>
  <c r="T27" i="66"/>
  <c r="T28" i="66"/>
  <c r="T29" i="66"/>
  <c r="T30" i="66"/>
  <c r="T31" i="66"/>
  <c r="T32" i="66"/>
  <c r="T33" i="66"/>
  <c r="T34" i="66"/>
  <c r="T35" i="66"/>
  <c r="T36" i="66"/>
  <c r="T37" i="66"/>
  <c r="T38" i="66"/>
  <c r="T39" i="66"/>
  <c r="T40" i="66"/>
  <c r="T41" i="66"/>
  <c r="T42" i="66"/>
  <c r="T43" i="66"/>
  <c r="T44" i="66"/>
  <c r="T45" i="66"/>
  <c r="T46" i="66"/>
  <c r="T47" i="66"/>
  <c r="T48" i="66"/>
  <c r="T49" i="66"/>
  <c r="T50" i="66"/>
  <c r="S3" i="66"/>
  <c r="S4" i="66"/>
  <c r="S5" i="66"/>
  <c r="R5" i="66" s="1"/>
  <c r="S6" i="66"/>
  <c r="U6" i="66" s="1"/>
  <c r="S7" i="66"/>
  <c r="S8" i="66"/>
  <c r="R8" i="66" s="1"/>
  <c r="S9" i="66"/>
  <c r="R9" i="66" s="1"/>
  <c r="S10" i="66"/>
  <c r="U10" i="66" s="1"/>
  <c r="S11" i="66"/>
  <c r="S12" i="66"/>
  <c r="U12" i="66" s="1"/>
  <c r="S13" i="66"/>
  <c r="R13" i="66" s="1"/>
  <c r="S14" i="66"/>
  <c r="U14" i="66" s="1"/>
  <c r="S15" i="66"/>
  <c r="S16" i="66"/>
  <c r="U16" i="66" s="1"/>
  <c r="S17" i="66"/>
  <c r="R17" i="66" s="1"/>
  <c r="S18" i="66"/>
  <c r="U18" i="66" s="1"/>
  <c r="S19" i="66"/>
  <c r="R19" i="66" s="1"/>
  <c r="S20" i="66"/>
  <c r="U20" i="66" s="1"/>
  <c r="S21" i="66"/>
  <c r="U21" i="66" s="1"/>
  <c r="S22" i="66"/>
  <c r="U22" i="66" s="1"/>
  <c r="S23" i="66"/>
  <c r="R23" i="66" s="1"/>
  <c r="S24" i="66"/>
  <c r="U24" i="66" s="1"/>
  <c r="S25" i="66"/>
  <c r="U25" i="66" s="1"/>
  <c r="S26" i="66"/>
  <c r="U26" i="66" s="1"/>
  <c r="S27" i="66"/>
  <c r="R27" i="66" s="1"/>
  <c r="S28" i="66"/>
  <c r="R28" i="66" s="1"/>
  <c r="S29" i="66"/>
  <c r="U29" i="66" s="1"/>
  <c r="S30" i="66"/>
  <c r="U30" i="66" s="1"/>
  <c r="S31" i="66"/>
  <c r="R31" i="66" s="1"/>
  <c r="S32" i="66"/>
  <c r="R32" i="66" s="1"/>
  <c r="S33" i="66"/>
  <c r="U33" i="66" s="1"/>
  <c r="S34" i="66"/>
  <c r="U34" i="66" s="1"/>
  <c r="S35" i="66"/>
  <c r="R35" i="66" s="1"/>
  <c r="S36" i="66"/>
  <c r="U36" i="66" s="1"/>
  <c r="S37" i="66"/>
  <c r="U37" i="66" s="1"/>
  <c r="S38" i="66"/>
  <c r="U38" i="66" s="1"/>
  <c r="S39" i="66"/>
  <c r="R39" i="66" s="1"/>
  <c r="S40" i="66"/>
  <c r="R40" i="66" s="1"/>
  <c r="S41" i="66"/>
  <c r="U41" i="66" s="1"/>
  <c r="S42" i="66"/>
  <c r="U42" i="66" s="1"/>
  <c r="S43" i="66"/>
  <c r="R43" i="66" s="1"/>
  <c r="S44" i="66"/>
  <c r="U44" i="66" s="1"/>
  <c r="S45" i="66"/>
  <c r="R45" i="66" s="1"/>
  <c r="S46" i="66"/>
  <c r="U46" i="66" s="1"/>
  <c r="S47" i="66"/>
  <c r="R47" i="66" s="1"/>
  <c r="S48" i="66"/>
  <c r="S49" i="66"/>
  <c r="S50" i="66"/>
  <c r="R3" i="66"/>
  <c r="R7" i="66"/>
  <c r="R11" i="66"/>
  <c r="R15" i="66"/>
  <c r="R25" i="66"/>
  <c r="R26" i="66"/>
  <c r="Q51" i="66"/>
  <c r="U35" i="66"/>
  <c r="U27" i="66"/>
  <c r="U19" i="66"/>
  <c r="U15" i="66"/>
  <c r="U11" i="66"/>
  <c r="U7" i="66"/>
  <c r="U3" i="66"/>
  <c r="R49" i="92" l="1"/>
  <c r="R49" i="90"/>
  <c r="R49" i="88"/>
  <c r="R49" i="86"/>
  <c r="R49" i="84"/>
  <c r="R49" i="82"/>
  <c r="U51" i="66"/>
  <c r="U49" i="66"/>
  <c r="R49" i="80"/>
  <c r="R4" i="66"/>
  <c r="U8" i="66"/>
  <c r="U40" i="66"/>
  <c r="R16" i="66"/>
  <c r="R33" i="66"/>
  <c r="R21" i="66"/>
  <c r="U13" i="66"/>
  <c r="U28" i="66"/>
  <c r="U32" i="66"/>
  <c r="R41" i="66"/>
  <c r="R24" i="66"/>
  <c r="R12" i="66"/>
  <c r="U48" i="66"/>
  <c r="R20" i="66"/>
  <c r="R48" i="66"/>
  <c r="U23" i="66"/>
  <c r="U9" i="66"/>
  <c r="U43" i="66"/>
  <c r="U39" i="66"/>
  <c r="R49" i="66"/>
  <c r="U45" i="66"/>
  <c r="U5" i="66"/>
  <c r="R37" i="66"/>
  <c r="T51" i="66"/>
  <c r="R29" i="66"/>
  <c r="R18" i="66"/>
  <c r="R14" i="66"/>
  <c r="R10" i="66"/>
  <c r="U17" i="66"/>
  <c r="R44" i="66"/>
  <c r="R36" i="66"/>
  <c r="R22" i="66"/>
  <c r="U31" i="66"/>
  <c r="U47" i="66"/>
  <c r="R30" i="66"/>
  <c r="R50" i="66"/>
  <c r="R46" i="66"/>
  <c r="R42" i="66"/>
  <c r="R38" i="66"/>
  <c r="R34" i="66"/>
  <c r="S51" i="66"/>
  <c r="R6" i="66"/>
  <c r="U4" i="66"/>
  <c r="T3" i="64"/>
  <c r="T4" i="64"/>
  <c r="T5" i="64"/>
  <c r="T6" i="64"/>
  <c r="T7" i="64"/>
  <c r="T8" i="64"/>
  <c r="T9" i="64"/>
  <c r="T10" i="64"/>
  <c r="T11" i="64"/>
  <c r="T12" i="64"/>
  <c r="T13" i="64"/>
  <c r="T14" i="64"/>
  <c r="T15" i="64"/>
  <c r="T16" i="64"/>
  <c r="T17" i="64"/>
  <c r="T18" i="64"/>
  <c r="T19" i="64"/>
  <c r="T20" i="64"/>
  <c r="T21" i="64"/>
  <c r="T22" i="64"/>
  <c r="T23" i="64"/>
  <c r="T24" i="64"/>
  <c r="T25" i="64"/>
  <c r="T26" i="64"/>
  <c r="T27" i="64"/>
  <c r="T28" i="64"/>
  <c r="T29" i="64"/>
  <c r="T30" i="64"/>
  <c r="T31" i="64"/>
  <c r="T32" i="64"/>
  <c r="T33" i="64"/>
  <c r="T34" i="64"/>
  <c r="T35" i="64"/>
  <c r="T36" i="64"/>
  <c r="T37" i="64"/>
  <c r="T38" i="64"/>
  <c r="T39" i="64"/>
  <c r="T40" i="64"/>
  <c r="T41" i="64"/>
  <c r="T42" i="64"/>
  <c r="T43" i="64"/>
  <c r="T44" i="64"/>
  <c r="T45" i="64"/>
  <c r="T46" i="64"/>
  <c r="T47" i="64"/>
  <c r="T48" i="64"/>
  <c r="T49" i="64"/>
  <c r="T50" i="64"/>
  <c r="S3" i="64"/>
  <c r="U3" i="64" s="1"/>
  <c r="S4" i="64"/>
  <c r="U4" i="64" s="1"/>
  <c r="S5" i="64"/>
  <c r="R5" i="64" s="1"/>
  <c r="S6" i="64"/>
  <c r="U6" i="64" s="1"/>
  <c r="S7" i="64"/>
  <c r="R7" i="64" s="1"/>
  <c r="S8" i="64"/>
  <c r="R8" i="64" s="1"/>
  <c r="S9" i="64"/>
  <c r="U9" i="64" s="1"/>
  <c r="S10" i="64"/>
  <c r="U10" i="64" s="1"/>
  <c r="S11" i="64"/>
  <c r="R11" i="64" s="1"/>
  <c r="S12" i="64"/>
  <c r="U12" i="64" s="1"/>
  <c r="S13" i="64"/>
  <c r="U13" i="64" s="1"/>
  <c r="S14" i="64"/>
  <c r="U14" i="64" s="1"/>
  <c r="S15" i="64"/>
  <c r="R15" i="64" s="1"/>
  <c r="S16" i="64"/>
  <c r="U16" i="64" s="1"/>
  <c r="S17" i="64"/>
  <c r="U17" i="64" s="1"/>
  <c r="S18" i="64"/>
  <c r="U18" i="64" s="1"/>
  <c r="S19" i="64"/>
  <c r="U19" i="64" s="1"/>
  <c r="S20" i="64"/>
  <c r="U20" i="64" s="1"/>
  <c r="S21" i="64"/>
  <c r="U21" i="64" s="1"/>
  <c r="S22" i="64"/>
  <c r="U22" i="64" s="1"/>
  <c r="S23" i="64"/>
  <c r="R23" i="64" s="1"/>
  <c r="S24" i="64"/>
  <c r="R24" i="64" s="1"/>
  <c r="S25" i="64"/>
  <c r="U25" i="64" s="1"/>
  <c r="S26" i="64"/>
  <c r="U26" i="64" s="1"/>
  <c r="S27" i="64"/>
  <c r="U27" i="64" s="1"/>
  <c r="S28" i="64"/>
  <c r="R28" i="64" s="1"/>
  <c r="S29" i="64"/>
  <c r="U29" i="64" s="1"/>
  <c r="S30" i="64"/>
  <c r="U30" i="64" s="1"/>
  <c r="S31" i="64"/>
  <c r="R31" i="64" s="1"/>
  <c r="S32" i="64"/>
  <c r="U32" i="64" s="1"/>
  <c r="S33" i="64"/>
  <c r="U33" i="64" s="1"/>
  <c r="S34" i="64"/>
  <c r="U34" i="64" s="1"/>
  <c r="S35" i="64"/>
  <c r="R35" i="64" s="1"/>
  <c r="S36" i="64"/>
  <c r="R36" i="64" s="1"/>
  <c r="S37" i="64"/>
  <c r="U37" i="64" s="1"/>
  <c r="S38" i="64"/>
  <c r="U38" i="64" s="1"/>
  <c r="S39" i="64"/>
  <c r="R39" i="64" s="1"/>
  <c r="S40" i="64"/>
  <c r="U40" i="64" s="1"/>
  <c r="S41" i="64"/>
  <c r="U41" i="64" s="1"/>
  <c r="S42" i="64"/>
  <c r="U42" i="64" s="1"/>
  <c r="S43" i="64"/>
  <c r="S44" i="64"/>
  <c r="S45" i="64"/>
  <c r="S46" i="64"/>
  <c r="U46" i="64" s="1"/>
  <c r="S47" i="64"/>
  <c r="S48" i="64"/>
  <c r="S49" i="64"/>
  <c r="U49" i="64" s="1"/>
  <c r="S50" i="64"/>
  <c r="R3" i="64"/>
  <c r="R4" i="64"/>
  <c r="R12" i="64"/>
  <c r="Q51" i="64"/>
  <c r="U11" i="64"/>
  <c r="T3" i="62"/>
  <c r="T4" i="62"/>
  <c r="T5" i="62"/>
  <c r="T6" i="62"/>
  <c r="T7" i="62"/>
  <c r="T8" i="62"/>
  <c r="T9" i="62"/>
  <c r="T10" i="62"/>
  <c r="T11" i="62"/>
  <c r="T12" i="62"/>
  <c r="T13" i="62"/>
  <c r="T14" i="62"/>
  <c r="T15" i="62"/>
  <c r="T16" i="62"/>
  <c r="T17" i="62"/>
  <c r="T18" i="62"/>
  <c r="T19" i="62"/>
  <c r="T20" i="62"/>
  <c r="T21" i="62"/>
  <c r="T22" i="62"/>
  <c r="T23" i="62"/>
  <c r="T24" i="62"/>
  <c r="T25" i="62"/>
  <c r="T26" i="62"/>
  <c r="T27" i="62"/>
  <c r="T28" i="62"/>
  <c r="T29" i="62"/>
  <c r="T30" i="62"/>
  <c r="T31" i="62"/>
  <c r="T32" i="62"/>
  <c r="T33" i="62"/>
  <c r="T34" i="62"/>
  <c r="T35" i="62"/>
  <c r="T36" i="62"/>
  <c r="T37" i="62"/>
  <c r="T38" i="62"/>
  <c r="T39" i="62"/>
  <c r="T40" i="62"/>
  <c r="T41" i="62"/>
  <c r="T42" i="62"/>
  <c r="T43" i="62"/>
  <c r="T44" i="62"/>
  <c r="T45" i="62"/>
  <c r="T46" i="62"/>
  <c r="T47" i="62"/>
  <c r="S3" i="62"/>
  <c r="S4" i="62"/>
  <c r="S5" i="62"/>
  <c r="S6" i="62"/>
  <c r="S7" i="62"/>
  <c r="S8" i="62"/>
  <c r="U8" i="62" s="1"/>
  <c r="S9" i="62"/>
  <c r="S10" i="62"/>
  <c r="S11" i="62"/>
  <c r="S12" i="62"/>
  <c r="U12" i="62" s="1"/>
  <c r="S13" i="62"/>
  <c r="S14" i="62"/>
  <c r="S15" i="62"/>
  <c r="S16" i="62"/>
  <c r="S17" i="62"/>
  <c r="S18" i="62"/>
  <c r="S19" i="62"/>
  <c r="S20" i="62"/>
  <c r="S21" i="62"/>
  <c r="S22" i="62"/>
  <c r="S23" i="62"/>
  <c r="S24" i="62"/>
  <c r="S25" i="62"/>
  <c r="S26" i="62"/>
  <c r="S27" i="62"/>
  <c r="S28" i="62"/>
  <c r="R28" i="62" s="1"/>
  <c r="S29" i="62"/>
  <c r="S30" i="62"/>
  <c r="S31" i="62"/>
  <c r="S32" i="62"/>
  <c r="U32" i="62" s="1"/>
  <c r="S33" i="62"/>
  <c r="S34" i="62"/>
  <c r="S35" i="62"/>
  <c r="U35" i="62" s="1"/>
  <c r="S36" i="62"/>
  <c r="S37" i="62"/>
  <c r="S38" i="62"/>
  <c r="S39" i="62"/>
  <c r="R39" i="62" s="1"/>
  <c r="S40" i="62"/>
  <c r="S41" i="62"/>
  <c r="S42" i="62"/>
  <c r="S43" i="62"/>
  <c r="U43" i="62" s="1"/>
  <c r="S44" i="62"/>
  <c r="S45" i="62"/>
  <c r="S46" i="62"/>
  <c r="S47" i="62"/>
  <c r="R15" i="62"/>
  <c r="Q48" i="62"/>
  <c r="U27" i="62"/>
  <c r="T3" i="60"/>
  <c r="T4" i="60"/>
  <c r="T5" i="60"/>
  <c r="T6" i="60"/>
  <c r="T7" i="60"/>
  <c r="T8" i="60"/>
  <c r="T9" i="60"/>
  <c r="T10" i="60"/>
  <c r="T11" i="60"/>
  <c r="T12" i="60"/>
  <c r="T13" i="60"/>
  <c r="T14" i="60"/>
  <c r="T15" i="60"/>
  <c r="T16" i="60"/>
  <c r="T17" i="60"/>
  <c r="T18" i="60"/>
  <c r="T19" i="60"/>
  <c r="T20" i="60"/>
  <c r="T21" i="60"/>
  <c r="T22" i="60"/>
  <c r="T23" i="60"/>
  <c r="T24" i="60"/>
  <c r="T25" i="60"/>
  <c r="T26" i="60"/>
  <c r="T27" i="60"/>
  <c r="T28" i="60"/>
  <c r="T29" i="60"/>
  <c r="T30" i="60"/>
  <c r="T31" i="60"/>
  <c r="T32" i="60"/>
  <c r="T33" i="60"/>
  <c r="T34" i="60"/>
  <c r="T35" i="60"/>
  <c r="T36" i="60"/>
  <c r="T37" i="60"/>
  <c r="T38" i="60"/>
  <c r="T39" i="60"/>
  <c r="T40" i="60"/>
  <c r="T41" i="60"/>
  <c r="T42" i="60"/>
  <c r="T43" i="60"/>
  <c r="T44" i="60"/>
  <c r="T45" i="60"/>
  <c r="T46" i="60"/>
  <c r="T47" i="60"/>
  <c r="S3" i="60"/>
  <c r="R3" i="60" s="1"/>
  <c r="S4" i="60"/>
  <c r="U4" i="60" s="1"/>
  <c r="S5" i="60"/>
  <c r="S6" i="60"/>
  <c r="U6" i="60" s="1"/>
  <c r="S7" i="60"/>
  <c r="R7" i="60" s="1"/>
  <c r="S8" i="60"/>
  <c r="R8" i="60" s="1"/>
  <c r="S9" i="60"/>
  <c r="S10" i="60"/>
  <c r="U10" i="60" s="1"/>
  <c r="S11" i="60"/>
  <c r="R11" i="60" s="1"/>
  <c r="S12" i="60"/>
  <c r="R12" i="60" s="1"/>
  <c r="S13" i="60"/>
  <c r="S14" i="60"/>
  <c r="U14" i="60" s="1"/>
  <c r="S15" i="60"/>
  <c r="R15" i="60" s="1"/>
  <c r="S16" i="60"/>
  <c r="U16" i="60" s="1"/>
  <c r="S17" i="60"/>
  <c r="S18" i="60"/>
  <c r="R18" i="60" s="1"/>
  <c r="S19" i="60"/>
  <c r="R19" i="60" s="1"/>
  <c r="S20" i="60"/>
  <c r="U20" i="60" s="1"/>
  <c r="S21" i="60"/>
  <c r="S22" i="60"/>
  <c r="S23" i="60"/>
  <c r="R23" i="60" s="1"/>
  <c r="S24" i="60"/>
  <c r="U24" i="60" s="1"/>
  <c r="S25" i="60"/>
  <c r="S26" i="60"/>
  <c r="S27" i="60"/>
  <c r="R27" i="60" s="1"/>
  <c r="S28" i="60"/>
  <c r="U28" i="60" s="1"/>
  <c r="S29" i="60"/>
  <c r="S30" i="60"/>
  <c r="S31" i="60"/>
  <c r="R31" i="60" s="1"/>
  <c r="S32" i="60"/>
  <c r="R32" i="60" s="1"/>
  <c r="S33" i="60"/>
  <c r="S34" i="60"/>
  <c r="S35" i="60"/>
  <c r="S36" i="60"/>
  <c r="U36" i="60" s="1"/>
  <c r="S37" i="60"/>
  <c r="S38" i="60"/>
  <c r="S39" i="60"/>
  <c r="S40" i="60"/>
  <c r="U40" i="60" s="1"/>
  <c r="S41" i="60"/>
  <c r="S42" i="60"/>
  <c r="S43" i="60"/>
  <c r="S44" i="60"/>
  <c r="S45" i="60"/>
  <c r="S46" i="60"/>
  <c r="S47" i="60"/>
  <c r="R4" i="60"/>
  <c r="R10" i="60"/>
  <c r="Q48" i="60"/>
  <c r="U39" i="60"/>
  <c r="T47" i="56"/>
  <c r="S47" i="56"/>
  <c r="T46" i="56"/>
  <c r="S46" i="56"/>
  <c r="T45" i="56"/>
  <c r="S45" i="56"/>
  <c r="T44" i="56"/>
  <c r="S44" i="56"/>
  <c r="T43" i="56"/>
  <c r="S43" i="56"/>
  <c r="T42" i="56"/>
  <c r="S42" i="56"/>
  <c r="T41" i="56"/>
  <c r="S41" i="56"/>
  <c r="T40" i="56"/>
  <c r="S40" i="56"/>
  <c r="T39" i="56"/>
  <c r="S39" i="56"/>
  <c r="T38" i="56"/>
  <c r="S38" i="56"/>
  <c r="T37" i="56"/>
  <c r="S37" i="56"/>
  <c r="T36" i="56"/>
  <c r="S36" i="56"/>
  <c r="T35" i="56"/>
  <c r="S35" i="56"/>
  <c r="T34" i="56"/>
  <c r="S34" i="56"/>
  <c r="T33" i="56"/>
  <c r="S33" i="56"/>
  <c r="T32" i="56"/>
  <c r="S32" i="56"/>
  <c r="T31" i="56"/>
  <c r="S31" i="56"/>
  <c r="T30" i="56"/>
  <c r="S30" i="56"/>
  <c r="T29" i="56"/>
  <c r="S29" i="56"/>
  <c r="T28" i="56"/>
  <c r="S28" i="56"/>
  <c r="T27" i="56"/>
  <c r="S27" i="56"/>
  <c r="T26" i="56"/>
  <c r="S26" i="56"/>
  <c r="T25" i="56"/>
  <c r="S25" i="56"/>
  <c r="T24" i="56"/>
  <c r="S24" i="56"/>
  <c r="T23" i="56"/>
  <c r="S23" i="56"/>
  <c r="T22" i="56"/>
  <c r="S22" i="56"/>
  <c r="T21" i="56"/>
  <c r="S21" i="56"/>
  <c r="T20" i="56"/>
  <c r="S20" i="56"/>
  <c r="T19" i="56"/>
  <c r="S19" i="56"/>
  <c r="T18" i="56"/>
  <c r="S18" i="56"/>
  <c r="T17" i="56"/>
  <c r="S17" i="56"/>
  <c r="T16" i="56"/>
  <c r="S16" i="56"/>
  <c r="T15" i="56"/>
  <c r="S15" i="56"/>
  <c r="T14" i="56"/>
  <c r="S14" i="56"/>
  <c r="T13" i="56"/>
  <c r="S13" i="56"/>
  <c r="T12" i="56"/>
  <c r="S12" i="56"/>
  <c r="T11" i="56"/>
  <c r="S11" i="56"/>
  <c r="T10" i="56"/>
  <c r="S10" i="56"/>
  <c r="T9" i="56"/>
  <c r="S9" i="56"/>
  <c r="T8" i="56"/>
  <c r="S8" i="56"/>
  <c r="T7" i="56"/>
  <c r="S7" i="56"/>
  <c r="T6" i="56"/>
  <c r="S6" i="56"/>
  <c r="T5" i="56"/>
  <c r="S5" i="56"/>
  <c r="T4" i="56"/>
  <c r="S4" i="56"/>
  <c r="T3" i="56"/>
  <c r="S3" i="56"/>
  <c r="T47" i="58"/>
  <c r="S47" i="58"/>
  <c r="T46" i="58"/>
  <c r="S46" i="58"/>
  <c r="T45" i="58"/>
  <c r="S45" i="58"/>
  <c r="T44" i="58"/>
  <c r="S44" i="58"/>
  <c r="T43" i="58"/>
  <c r="S43" i="58"/>
  <c r="T42" i="58"/>
  <c r="S42" i="58"/>
  <c r="T41" i="58"/>
  <c r="S41" i="58"/>
  <c r="T40" i="58"/>
  <c r="S40" i="58"/>
  <c r="T39" i="58"/>
  <c r="S39" i="58"/>
  <c r="T38" i="58"/>
  <c r="S38" i="58"/>
  <c r="T37" i="58"/>
  <c r="S37" i="58"/>
  <c r="T36" i="58"/>
  <c r="S36" i="58"/>
  <c r="T35" i="58"/>
  <c r="S35" i="58"/>
  <c r="T34" i="58"/>
  <c r="S34" i="58"/>
  <c r="T33" i="58"/>
  <c r="S33" i="58"/>
  <c r="T32" i="58"/>
  <c r="S32" i="58"/>
  <c r="T31" i="58"/>
  <c r="S31" i="58"/>
  <c r="T30" i="58"/>
  <c r="S30" i="58"/>
  <c r="T29" i="58"/>
  <c r="S29" i="58"/>
  <c r="T28" i="58"/>
  <c r="S28" i="58"/>
  <c r="T27" i="58"/>
  <c r="S27" i="58"/>
  <c r="T26" i="58"/>
  <c r="S26" i="58"/>
  <c r="T25" i="58"/>
  <c r="S25" i="58"/>
  <c r="T24" i="58"/>
  <c r="S24" i="58"/>
  <c r="T23" i="58"/>
  <c r="S23" i="58"/>
  <c r="T22" i="58"/>
  <c r="S22" i="58"/>
  <c r="T21" i="58"/>
  <c r="S21" i="58"/>
  <c r="T20" i="58"/>
  <c r="S20" i="58"/>
  <c r="T19" i="58"/>
  <c r="S19" i="58"/>
  <c r="T18" i="58"/>
  <c r="S18" i="58"/>
  <c r="T17" i="58"/>
  <c r="S17" i="58"/>
  <c r="T16" i="58"/>
  <c r="S16" i="58"/>
  <c r="T15" i="58"/>
  <c r="S15" i="58"/>
  <c r="T14" i="58"/>
  <c r="S14" i="58"/>
  <c r="T13" i="58"/>
  <c r="S13" i="58"/>
  <c r="T12" i="58"/>
  <c r="S12" i="58"/>
  <c r="T11" i="58"/>
  <c r="S11" i="58"/>
  <c r="T10" i="58"/>
  <c r="S10" i="58"/>
  <c r="T9" i="58"/>
  <c r="S9" i="58"/>
  <c r="T8" i="58"/>
  <c r="S8" i="58"/>
  <c r="T7" i="58"/>
  <c r="S7" i="58"/>
  <c r="T6" i="58"/>
  <c r="S6" i="58"/>
  <c r="T5" i="58"/>
  <c r="S5" i="58"/>
  <c r="T4" i="58"/>
  <c r="S4" i="58"/>
  <c r="T3" i="58"/>
  <c r="S3" i="58"/>
  <c r="Q48" i="58"/>
  <c r="Q48" i="56"/>
  <c r="R47" i="62" l="1"/>
  <c r="U47" i="64"/>
  <c r="U43" i="64"/>
  <c r="R44" i="64"/>
  <c r="U36" i="64"/>
  <c r="R16" i="64"/>
  <c r="R32" i="64"/>
  <c r="U24" i="64"/>
  <c r="U28" i="64"/>
  <c r="R26" i="64"/>
  <c r="R22" i="62"/>
  <c r="U3" i="62"/>
  <c r="U34" i="62"/>
  <c r="R23" i="62"/>
  <c r="U19" i="62"/>
  <c r="R7" i="62"/>
  <c r="R51" i="66"/>
  <c r="U31" i="64"/>
  <c r="R20" i="64"/>
  <c r="U8" i="64"/>
  <c r="R27" i="64"/>
  <c r="R19" i="64"/>
  <c r="U23" i="64"/>
  <c r="U7" i="64"/>
  <c r="U15" i="64"/>
  <c r="R47" i="64"/>
  <c r="U39" i="64"/>
  <c r="R46" i="62"/>
  <c r="R42" i="62"/>
  <c r="R38" i="62"/>
  <c r="R34" i="62"/>
  <c r="R30" i="62"/>
  <c r="U26" i="62"/>
  <c r="U22" i="62"/>
  <c r="U18" i="62"/>
  <c r="R14" i="62"/>
  <c r="R10" i="62"/>
  <c r="U6" i="62"/>
  <c r="R6" i="60"/>
  <c r="R44" i="60"/>
  <c r="U42" i="58"/>
  <c r="R7" i="58"/>
  <c r="R13" i="58"/>
  <c r="R35" i="62"/>
  <c r="U45" i="64"/>
  <c r="R43" i="64"/>
  <c r="R18" i="64"/>
  <c r="R10" i="64"/>
  <c r="R6" i="64"/>
  <c r="U35" i="64"/>
  <c r="R17" i="64"/>
  <c r="R13" i="64"/>
  <c r="R9" i="64"/>
  <c r="U48" i="64"/>
  <c r="U44" i="64"/>
  <c r="R40" i="64"/>
  <c r="R22" i="64"/>
  <c r="R14" i="64"/>
  <c r="R33" i="64"/>
  <c r="R21" i="64"/>
  <c r="U51" i="64"/>
  <c r="R48" i="64"/>
  <c r="R30" i="64"/>
  <c r="T51" i="64"/>
  <c r="R50" i="64"/>
  <c r="R46" i="64"/>
  <c r="R42" i="64"/>
  <c r="R38" i="64"/>
  <c r="R34" i="64"/>
  <c r="R29" i="64"/>
  <c r="R25" i="64"/>
  <c r="R49" i="64"/>
  <c r="R45" i="64"/>
  <c r="R41" i="64"/>
  <c r="R37" i="64"/>
  <c r="T48" i="62"/>
  <c r="U14" i="62"/>
  <c r="U42" i="62"/>
  <c r="U16" i="62"/>
  <c r="R12" i="62"/>
  <c r="U4" i="62"/>
  <c r="R31" i="62"/>
  <c r="R27" i="62"/>
  <c r="U23" i="62"/>
  <c r="R19" i="62"/>
  <c r="U15" i="62"/>
  <c r="R11" i="62"/>
  <c r="R3" i="62"/>
  <c r="U7" i="62"/>
  <c r="U39" i="62"/>
  <c r="R43" i="62"/>
  <c r="U44" i="62"/>
  <c r="R40" i="62"/>
  <c r="U36" i="62"/>
  <c r="R32" i="62"/>
  <c r="U28" i="62"/>
  <c r="R24" i="62"/>
  <c r="U20" i="62"/>
  <c r="R16" i="62"/>
  <c r="R8" i="62"/>
  <c r="R4" i="62"/>
  <c r="R26" i="60"/>
  <c r="R22" i="60"/>
  <c r="R14" i="60"/>
  <c r="R47" i="60"/>
  <c r="R43" i="60"/>
  <c r="R39" i="60"/>
  <c r="R35" i="60"/>
  <c r="R34" i="60"/>
  <c r="R30" i="60"/>
  <c r="U35" i="60"/>
  <c r="R5" i="58"/>
  <c r="R11" i="58"/>
  <c r="R17" i="58"/>
  <c r="R23" i="58"/>
  <c r="R19" i="58"/>
  <c r="R9" i="58"/>
  <c r="R15" i="58"/>
  <c r="R21" i="58"/>
  <c r="R25" i="58"/>
  <c r="U27" i="58"/>
  <c r="R29" i="58"/>
  <c r="U31" i="58"/>
  <c r="R33" i="58"/>
  <c r="R34" i="58"/>
  <c r="R35" i="58"/>
  <c r="U36" i="58"/>
  <c r="R37" i="58"/>
  <c r="U38" i="58"/>
  <c r="S51" i="64"/>
  <c r="U5" i="64"/>
  <c r="U3" i="60"/>
  <c r="U27" i="60"/>
  <c r="U12" i="60"/>
  <c r="R28" i="60"/>
  <c r="U7" i="60"/>
  <c r="U19" i="60"/>
  <c r="R40" i="60"/>
  <c r="R20" i="60"/>
  <c r="U8" i="60"/>
  <c r="R36" i="60"/>
  <c r="U15" i="60"/>
  <c r="U23" i="60"/>
  <c r="U31" i="60"/>
  <c r="R24" i="60"/>
  <c r="R16" i="60"/>
  <c r="U11" i="60"/>
  <c r="U32" i="60"/>
  <c r="U48" i="60"/>
  <c r="R45" i="60"/>
  <c r="R41" i="60"/>
  <c r="R37" i="60"/>
  <c r="R33" i="60"/>
  <c r="R29" i="60"/>
  <c r="R25" i="60"/>
  <c r="R21" i="60"/>
  <c r="R17" i="60"/>
  <c r="R13" i="60"/>
  <c r="R9" i="60"/>
  <c r="R5" i="60"/>
  <c r="U35" i="58"/>
  <c r="U39" i="58"/>
  <c r="R41" i="58"/>
  <c r="R43" i="58"/>
  <c r="R45" i="58"/>
  <c r="U48" i="58"/>
  <c r="U10" i="62"/>
  <c r="U30" i="62"/>
  <c r="U48" i="62"/>
  <c r="R6" i="62"/>
  <c r="U11" i="62"/>
  <c r="U31" i="62"/>
  <c r="U38" i="62"/>
  <c r="U46" i="62"/>
  <c r="R26" i="62"/>
  <c r="R18" i="62"/>
  <c r="U13" i="62"/>
  <c r="U9" i="62"/>
  <c r="U5" i="62"/>
  <c r="R44" i="62"/>
  <c r="U24" i="62"/>
  <c r="U40" i="62"/>
  <c r="R36" i="62"/>
  <c r="R20" i="62"/>
  <c r="R5" i="62"/>
  <c r="R45" i="62"/>
  <c r="R41" i="62"/>
  <c r="R37" i="62"/>
  <c r="R33" i="62"/>
  <c r="R29" i="62"/>
  <c r="R25" i="62"/>
  <c r="R21" i="62"/>
  <c r="R17" i="62"/>
  <c r="R13" i="62"/>
  <c r="R9" i="62"/>
  <c r="U17" i="62"/>
  <c r="U21" i="62"/>
  <c r="U25" i="62"/>
  <c r="U29" i="62"/>
  <c r="U33" i="62"/>
  <c r="U37" i="62"/>
  <c r="U41" i="62"/>
  <c r="U45" i="62"/>
  <c r="S48" i="62"/>
  <c r="U44" i="60"/>
  <c r="U42" i="60"/>
  <c r="U38" i="60"/>
  <c r="U34" i="60"/>
  <c r="U30" i="60"/>
  <c r="U26" i="60"/>
  <c r="U22" i="60"/>
  <c r="U18" i="60"/>
  <c r="U46" i="60"/>
  <c r="T48" i="60"/>
  <c r="U43" i="60"/>
  <c r="U4" i="58"/>
  <c r="R6" i="58"/>
  <c r="R8" i="58"/>
  <c r="R10" i="58"/>
  <c r="U12" i="58"/>
  <c r="U14" i="58"/>
  <c r="R16" i="58"/>
  <c r="U18" i="58"/>
  <c r="R20" i="58"/>
  <c r="R22" i="58"/>
  <c r="U24" i="58"/>
  <c r="R26" i="58"/>
  <c r="U28" i="58"/>
  <c r="R30" i="58"/>
  <c r="R32" i="58"/>
  <c r="U34" i="58"/>
  <c r="R36" i="58"/>
  <c r="R38" i="58"/>
  <c r="R40" i="58"/>
  <c r="R44" i="58"/>
  <c r="U46" i="58"/>
  <c r="R31" i="58"/>
  <c r="R14" i="58"/>
  <c r="U23" i="58"/>
  <c r="U11" i="58"/>
  <c r="R5" i="56"/>
  <c r="U9" i="56"/>
  <c r="U11" i="56"/>
  <c r="R13" i="56"/>
  <c r="U15" i="56"/>
  <c r="R17" i="56"/>
  <c r="U19" i="56"/>
  <c r="R21" i="56"/>
  <c r="U23" i="56"/>
  <c r="R25" i="56"/>
  <c r="U27" i="56"/>
  <c r="R29" i="56"/>
  <c r="U31" i="56"/>
  <c r="R33" i="56"/>
  <c r="U35" i="56"/>
  <c r="R37" i="56"/>
  <c r="R39" i="56"/>
  <c r="R41" i="56"/>
  <c r="U43" i="56"/>
  <c r="R45" i="56"/>
  <c r="U45" i="56"/>
  <c r="R23" i="56"/>
  <c r="U29" i="56"/>
  <c r="R9" i="56"/>
  <c r="R27" i="58"/>
  <c r="R39" i="58"/>
  <c r="R47" i="58"/>
  <c r="U30" i="58"/>
  <c r="U19" i="58"/>
  <c r="U44" i="58"/>
  <c r="R24" i="58"/>
  <c r="U34" i="56"/>
  <c r="R38" i="56"/>
  <c r="R32" i="56"/>
  <c r="R36" i="56"/>
  <c r="R40" i="56"/>
  <c r="R42" i="56"/>
  <c r="U13" i="56"/>
  <c r="U9" i="60"/>
  <c r="S48" i="60"/>
  <c r="U5" i="60"/>
  <c r="U13" i="60"/>
  <c r="U17" i="60"/>
  <c r="U21" i="60"/>
  <c r="U25" i="60"/>
  <c r="U29" i="60"/>
  <c r="U33" i="60"/>
  <c r="U37" i="60"/>
  <c r="U41" i="60"/>
  <c r="U45" i="60"/>
  <c r="R46" i="60"/>
  <c r="R42" i="60"/>
  <c r="R38" i="60"/>
  <c r="U15" i="58"/>
  <c r="U40" i="58"/>
  <c r="R3" i="58"/>
  <c r="R44" i="56"/>
  <c r="R46" i="56"/>
  <c r="U7" i="56"/>
  <c r="U39" i="56"/>
  <c r="U48" i="56"/>
  <c r="R10" i="56"/>
  <c r="U41" i="56"/>
  <c r="R35" i="56"/>
  <c r="R6" i="56"/>
  <c r="U8" i="56"/>
  <c r="U10" i="56"/>
  <c r="R12" i="56"/>
  <c r="R14" i="56"/>
  <c r="R16" i="56"/>
  <c r="R18" i="56"/>
  <c r="R20" i="56"/>
  <c r="R22" i="56"/>
  <c r="R24" i="56"/>
  <c r="R26" i="56"/>
  <c r="R28" i="56"/>
  <c r="R30" i="56"/>
  <c r="U25" i="56"/>
  <c r="R19" i="56"/>
  <c r="R28" i="58"/>
  <c r="R12" i="58"/>
  <c r="U10" i="58"/>
  <c r="U20" i="58"/>
  <c r="U26" i="58"/>
  <c r="U16" i="58"/>
  <c r="U22" i="58"/>
  <c r="U32" i="58"/>
  <c r="R18" i="58"/>
  <c r="U17" i="56"/>
  <c r="U33" i="56"/>
  <c r="R15" i="56"/>
  <c r="R31" i="56"/>
  <c r="U21" i="56"/>
  <c r="U37" i="56"/>
  <c r="R43" i="56"/>
  <c r="R27" i="56"/>
  <c r="R11" i="56"/>
  <c r="R34" i="56"/>
  <c r="U5" i="56"/>
  <c r="R47" i="56"/>
  <c r="U14" i="56"/>
  <c r="U18" i="56"/>
  <c r="U22" i="56"/>
  <c r="U26" i="56"/>
  <c r="U30" i="56"/>
  <c r="U38" i="56"/>
  <c r="U42" i="56"/>
  <c r="U46" i="56"/>
  <c r="S48" i="56"/>
  <c r="R7" i="56"/>
  <c r="T48" i="56"/>
  <c r="U12" i="56"/>
  <c r="U16" i="56"/>
  <c r="U20" i="56"/>
  <c r="U24" i="56"/>
  <c r="U28" i="56"/>
  <c r="U32" i="56"/>
  <c r="U36" i="56"/>
  <c r="U40" i="56"/>
  <c r="U44" i="56"/>
  <c r="U4" i="56"/>
  <c r="U6" i="56"/>
  <c r="R8" i="56"/>
  <c r="R4" i="56"/>
  <c r="U3" i="56"/>
  <c r="R3" i="56"/>
  <c r="U6" i="58"/>
  <c r="U43" i="58"/>
  <c r="R42" i="58"/>
  <c r="R46" i="58"/>
  <c r="U7" i="58"/>
  <c r="R4" i="58"/>
  <c r="T48" i="58"/>
  <c r="U3" i="58"/>
  <c r="U8" i="58"/>
  <c r="U5" i="58"/>
  <c r="U9" i="58"/>
  <c r="U13" i="58"/>
  <c r="U17" i="58"/>
  <c r="U21" i="58"/>
  <c r="U25" i="58"/>
  <c r="U29" i="58"/>
  <c r="U33" i="58"/>
  <c r="U37" i="58"/>
  <c r="U41" i="58"/>
  <c r="U45" i="58"/>
  <c r="S48" i="58"/>
  <c r="R51" i="64" l="1"/>
  <c r="R48" i="62"/>
  <c r="R48" i="60"/>
  <c r="R48" i="56"/>
  <c r="R48" i="58"/>
  <c r="AT13" i="15"/>
  <c r="Z20" i="16"/>
  <c r="Y48" i="16"/>
  <c r="AV16" i="15"/>
  <c r="J16" i="15"/>
  <c r="AM28" i="16"/>
  <c r="AD16" i="16"/>
  <c r="AQ52" i="16"/>
  <c r="AR12" i="16"/>
  <c r="AM14" i="16"/>
  <c r="AH25" i="16"/>
  <c r="AL18" i="16"/>
  <c r="AD40" i="16"/>
  <c r="Y33" i="16"/>
  <c r="AM17" i="16"/>
  <c r="AG12" i="16"/>
  <c r="AH17" i="15"/>
  <c r="AO34" i="16"/>
  <c r="Z12" i="15"/>
  <c r="AC47" i="16"/>
  <c r="AB14" i="16"/>
  <c r="AO23" i="16"/>
  <c r="Z14" i="16"/>
  <c r="AC11" i="15"/>
  <c r="AL49" i="16"/>
  <c r="AH40" i="16"/>
  <c r="AI16" i="16"/>
  <c r="S21" i="16"/>
  <c r="AH8" i="16"/>
  <c r="AL44" i="16"/>
  <c r="AF15" i="15"/>
  <c r="AA14" i="16"/>
  <c r="Z32" i="16"/>
  <c r="BC14" i="15"/>
  <c r="AJ23" i="16"/>
  <c r="AR15" i="15"/>
  <c r="AL30" i="16"/>
  <c r="Z25" i="16"/>
  <c r="E13" i="15"/>
  <c r="AI35" i="16"/>
  <c r="AM21" i="16"/>
  <c r="X15" i="15"/>
  <c r="V26" i="16"/>
  <c r="U49" i="16"/>
  <c r="S31" i="16"/>
  <c r="AI11" i="16"/>
  <c r="AM11" i="15"/>
  <c r="AD11" i="16"/>
  <c r="V12" i="16"/>
  <c r="AG16" i="15"/>
  <c r="Z50" i="16"/>
  <c r="BB10" i="15"/>
  <c r="AF12" i="15"/>
  <c r="AM26" i="16"/>
  <c r="AE41" i="16"/>
  <c r="Z28" i="16"/>
  <c r="AJ35" i="16"/>
  <c r="AU16" i="15"/>
  <c r="AN44" i="16"/>
  <c r="P12" i="15"/>
  <c r="AN31" i="16"/>
  <c r="F11" i="15"/>
  <c r="AG18" i="16"/>
  <c r="O16" i="15"/>
  <c r="AH42" i="16"/>
  <c r="AE10" i="16"/>
  <c r="AH49" i="16"/>
  <c r="AC26" i="16"/>
  <c r="Z33" i="16"/>
  <c r="AL15" i="15"/>
  <c r="AB8" i="16"/>
  <c r="AI34" i="16"/>
  <c r="AE14" i="15"/>
  <c r="AJ30" i="16"/>
  <c r="W32" i="16"/>
  <c r="AD25" i="16"/>
  <c r="AL14" i="16"/>
  <c r="AQ11" i="16"/>
  <c r="AI13" i="15"/>
  <c r="Z45" i="16"/>
  <c r="AE38" i="16"/>
  <c r="AG49" i="16"/>
  <c r="J15" i="15"/>
  <c r="M13" i="15"/>
  <c r="AG13" i="15"/>
  <c r="AB15" i="16"/>
  <c r="AD47" i="16"/>
  <c r="AC18" i="16"/>
  <c r="AR11" i="15"/>
  <c r="V33" i="16"/>
  <c r="X31" i="16"/>
  <c r="T12" i="15"/>
  <c r="AH10" i="15"/>
  <c r="AO16" i="15"/>
  <c r="AE18" i="16"/>
  <c r="T11" i="16"/>
  <c r="AK21" i="16"/>
  <c r="W52" i="16"/>
  <c r="AC11" i="16"/>
  <c r="AC38" i="16"/>
  <c r="AO13" i="16"/>
  <c r="AB27" i="16"/>
  <c r="BA17" i="15"/>
  <c r="H10" i="15"/>
  <c r="S23" i="16"/>
  <c r="AF50" i="16"/>
  <c r="AP12" i="16"/>
  <c r="AE24" i="16"/>
  <c r="AD22" i="16"/>
  <c r="AZ12" i="15"/>
  <c r="AO39" i="16"/>
  <c r="AP50" i="16"/>
  <c r="AR16" i="15"/>
  <c r="U35" i="16"/>
  <c r="AZ11" i="15"/>
  <c r="AC32" i="16"/>
  <c r="AD11" i="15"/>
  <c r="X50" i="16"/>
  <c r="Y27" i="16"/>
  <c r="AD24" i="16"/>
  <c r="AD31" i="16"/>
  <c r="W34" i="16"/>
  <c r="AS16" i="15"/>
  <c r="L10" i="15"/>
  <c r="AB12" i="16"/>
  <c r="H14" i="15"/>
  <c r="AP49" i="16"/>
  <c r="AG34" i="16"/>
  <c r="AC13" i="15"/>
  <c r="AC29" i="16"/>
  <c r="AK35" i="16"/>
  <c r="W43" i="16"/>
  <c r="Y40" i="16"/>
  <c r="T34" i="16"/>
  <c r="AR23" i="16"/>
  <c r="AI22" i="16"/>
  <c r="AC25" i="16"/>
  <c r="AG32" i="16"/>
  <c r="AM37" i="16"/>
  <c r="AI15" i="15"/>
  <c r="AI47" i="16"/>
  <c r="T39" i="16"/>
  <c r="Z16" i="15"/>
  <c r="AE13" i="15"/>
  <c r="X35" i="16"/>
  <c r="AD14" i="15"/>
  <c r="AE33" i="16"/>
  <c r="AA44" i="16"/>
  <c r="AA18" i="16"/>
  <c r="AC41" i="16"/>
  <c r="AC22" i="16"/>
  <c r="AK31" i="16"/>
  <c r="F13" i="15"/>
  <c r="AD17" i="15"/>
  <c r="AL45" i="16"/>
  <c r="V17" i="16"/>
  <c r="AQ13" i="16"/>
  <c r="U24" i="16"/>
  <c r="AP47" i="16"/>
  <c r="S17" i="15"/>
  <c r="V50" i="16"/>
  <c r="AP20" i="16"/>
  <c r="U30" i="16"/>
  <c r="T11" i="15"/>
  <c r="AA40" i="16"/>
  <c r="AL27" i="16"/>
  <c r="X16" i="15"/>
  <c r="Z9" i="16"/>
  <c r="AY15" i="15"/>
  <c r="AF42" i="16"/>
  <c r="AB32" i="16"/>
  <c r="AK49" i="16"/>
  <c r="AE15" i="16"/>
  <c r="AM50" i="16"/>
  <c r="AQ26" i="16"/>
  <c r="AG17" i="16"/>
  <c r="AR43" i="16"/>
  <c r="Y25" i="16"/>
  <c r="AK37" i="16"/>
  <c r="S12" i="15"/>
  <c r="AM33" i="16"/>
  <c r="AO48" i="16"/>
  <c r="AN8" i="16"/>
  <c r="AN12" i="16"/>
  <c r="L16" i="15"/>
  <c r="AI23" i="16"/>
  <c r="AN22" i="16"/>
  <c r="AJ26" i="16"/>
  <c r="AB29" i="16"/>
  <c r="AT14" i="15"/>
  <c r="AD15" i="16"/>
  <c r="AM40" i="16"/>
  <c r="AU11" i="15"/>
  <c r="T46" i="16"/>
  <c r="Y24" i="16"/>
  <c r="AD27" i="16"/>
  <c r="AM44" i="16"/>
  <c r="S47" i="16"/>
  <c r="AK41" i="16"/>
  <c r="AC19" i="16"/>
  <c r="S24" i="16"/>
  <c r="AN26" i="16"/>
  <c r="AF8" i="16"/>
  <c r="AG28" i="16"/>
  <c r="AT11" i="15"/>
  <c r="AN14" i="16"/>
  <c r="AL36" i="16"/>
  <c r="AR21" i="16"/>
  <c r="AZ16" i="15"/>
  <c r="AQ9" i="16"/>
  <c r="T52" i="16"/>
  <c r="AB36" i="16"/>
  <c r="U43" i="16"/>
  <c r="AP12" i="15"/>
  <c r="AQ17" i="16"/>
  <c r="Y47" i="16"/>
  <c r="AK51" i="16"/>
  <c r="AC52" i="16"/>
  <c r="S27" i="16"/>
  <c r="S41" i="16"/>
  <c r="AD15" i="15"/>
  <c r="AF29" i="16"/>
  <c r="AO43" i="16"/>
  <c r="P13" i="15"/>
  <c r="AF16" i="15"/>
  <c r="AE17" i="15"/>
  <c r="W14" i="15"/>
  <c r="AR33" i="16"/>
  <c r="Z38" i="16"/>
  <c r="AF10" i="16"/>
  <c r="S25" i="16"/>
  <c r="AL43" i="16"/>
  <c r="AP27" i="16"/>
  <c r="AH14" i="15"/>
  <c r="AG14" i="15"/>
  <c r="AB45" i="16"/>
  <c r="AU12" i="15"/>
  <c r="S35" i="16"/>
  <c r="AB16" i="15"/>
  <c r="AB47" i="16"/>
  <c r="AO20" i="16"/>
  <c r="X34" i="16"/>
  <c r="AI32" i="16"/>
  <c r="S43" i="16"/>
  <c r="AQ10" i="16"/>
  <c r="AQ42" i="16"/>
  <c r="R16" i="15"/>
  <c r="T21" i="16"/>
  <c r="AM43" i="16"/>
  <c r="AO45" i="16"/>
  <c r="AG24" i="16"/>
  <c r="AG50" i="16"/>
  <c r="AO51" i="16"/>
  <c r="AP17" i="16"/>
  <c r="AG38" i="16"/>
  <c r="AG20" i="16"/>
  <c r="G16" i="15"/>
  <c r="Z17" i="16"/>
  <c r="Y16" i="16"/>
  <c r="AH19" i="16"/>
  <c r="AE50" i="16"/>
  <c r="N17" i="15"/>
  <c r="AJ9" i="16"/>
  <c r="AF14" i="15"/>
  <c r="AB21" i="16"/>
  <c r="AR45" i="16"/>
  <c r="AG43" i="16"/>
  <c r="Z14" i="15"/>
  <c r="AL8" i="16"/>
  <c r="P17" i="15"/>
  <c r="S10" i="16"/>
  <c r="U52" i="16"/>
  <c r="AA12" i="16"/>
  <c r="AO12" i="15"/>
  <c r="AX14" i="15"/>
  <c r="AN15" i="15"/>
  <c r="S14" i="16"/>
  <c r="AO22" i="16"/>
  <c r="V18" i="16"/>
  <c r="AA12" i="15"/>
  <c r="AM27" i="16"/>
  <c r="BC11" i="15"/>
  <c r="AY16" i="15"/>
  <c r="AJ36" i="16"/>
  <c r="S30" i="16"/>
  <c r="AP33" i="16"/>
  <c r="W35" i="16"/>
  <c r="AE8" i="16"/>
  <c r="S20" i="16"/>
  <c r="AC24" i="16"/>
  <c r="AQ47" i="16"/>
  <c r="Z51" i="16"/>
  <c r="R15" i="15"/>
  <c r="AH24" i="16"/>
  <c r="T17" i="16"/>
  <c r="Z44" i="16"/>
  <c r="AD12" i="16"/>
  <c r="AB37" i="16"/>
  <c r="AH32" i="16"/>
  <c r="Q14" i="15"/>
  <c r="AN38" i="16"/>
  <c r="AK10" i="16"/>
  <c r="AW11" i="15"/>
  <c r="AQ28" i="16"/>
  <c r="BC10" i="15"/>
  <c r="AO41" i="16"/>
  <c r="AO46" i="16"/>
  <c r="AN12" i="15"/>
  <c r="V21" i="16"/>
  <c r="W37" i="16"/>
  <c r="AF39" i="16"/>
  <c r="AO28" i="16"/>
  <c r="AD32" i="16"/>
  <c r="AJ31" i="16"/>
  <c r="J11" i="15"/>
  <c r="AB15" i="15"/>
  <c r="AK13" i="16"/>
  <c r="I13" i="15"/>
  <c r="AR16" i="16"/>
  <c r="AR14" i="15"/>
  <c r="AI29" i="16"/>
  <c r="AJ50" i="16"/>
  <c r="K17" i="15"/>
  <c r="AP29" i="16"/>
  <c r="AL12" i="15"/>
  <c r="AK8" i="16"/>
  <c r="AM48" i="16"/>
  <c r="AS10" i="15"/>
  <c r="R12" i="15"/>
  <c r="AH27" i="16"/>
  <c r="AZ13" i="15"/>
  <c r="AS15" i="15"/>
  <c r="AI42" i="16"/>
  <c r="AJ41" i="16"/>
  <c r="AL46" i="16"/>
  <c r="AD39" i="16"/>
  <c r="T25" i="16"/>
  <c r="AG11" i="15"/>
  <c r="Y35" i="16"/>
  <c r="V11" i="16"/>
  <c r="Y12" i="16"/>
  <c r="AN9" i="16"/>
  <c r="AR35" i="16"/>
  <c r="V43" i="16"/>
  <c r="BD10" i="15"/>
  <c r="AP16" i="15"/>
  <c r="S42" i="16"/>
  <c r="AN17" i="16"/>
  <c r="AQ18" i="16"/>
  <c r="Y15" i="15"/>
  <c r="W27" i="16"/>
  <c r="AH9" i="16"/>
  <c r="AJ16" i="16"/>
  <c r="AL16" i="15"/>
  <c r="S28" i="16"/>
  <c r="V23" i="16"/>
  <c r="BB12" i="15"/>
  <c r="AB10" i="15"/>
  <c r="AB20" i="16"/>
  <c r="AD42" i="16"/>
  <c r="AZ15" i="15"/>
  <c r="AI12" i="15"/>
  <c r="AA24" i="16"/>
  <c r="AG29" i="16"/>
  <c r="U15" i="16"/>
  <c r="W38" i="16"/>
  <c r="AM19" i="16"/>
  <c r="T13" i="15"/>
  <c r="AM42" i="16"/>
  <c r="AC14" i="15"/>
  <c r="U48" i="16"/>
  <c r="X19" i="16"/>
  <c r="U14" i="16"/>
  <c r="AK32" i="16"/>
  <c r="AD43" i="16"/>
  <c r="AI14" i="16"/>
  <c r="V28" i="16"/>
  <c r="AG42" i="16"/>
  <c r="O14" i="15"/>
  <c r="AL28" i="16"/>
  <c r="AE28" i="16"/>
  <c r="U23" i="16"/>
  <c r="AQ39" i="16"/>
  <c r="AG17" i="15"/>
  <c r="AB28" i="16"/>
  <c r="AE11" i="15"/>
  <c r="Y45" i="16"/>
  <c r="E12" i="15"/>
  <c r="AN11" i="16"/>
  <c r="AC17" i="16"/>
  <c r="AA51" i="16"/>
  <c r="AF32" i="16"/>
  <c r="Y51" i="16"/>
  <c r="AQ19" i="16"/>
  <c r="AH16" i="15"/>
  <c r="J13" i="15"/>
  <c r="AN17" i="15"/>
  <c r="I12" i="15"/>
  <c r="AN35" i="16"/>
  <c r="AG14" i="16"/>
  <c r="AJ19" i="16"/>
  <c r="AO42" i="16"/>
  <c r="AE32" i="16"/>
  <c r="AH33" i="16"/>
  <c r="AK13" i="15"/>
  <c r="AI15" i="16"/>
  <c r="K10" i="15"/>
  <c r="AQ24" i="16"/>
  <c r="AK14" i="15"/>
  <c r="AO29" i="16"/>
  <c r="AP41" i="16"/>
  <c r="AR44" i="16"/>
  <c r="AP30" i="16"/>
  <c r="AC45" i="16"/>
  <c r="AG33" i="16"/>
  <c r="X14" i="16"/>
  <c r="AU10" i="15"/>
  <c r="W17" i="16"/>
  <c r="Z22" i="16"/>
  <c r="AO37" i="16"/>
  <c r="AP10" i="15"/>
  <c r="AI50" i="16"/>
  <c r="U26" i="16"/>
  <c r="W49" i="16"/>
  <c r="Y31" i="16"/>
  <c r="AH36" i="16"/>
  <c r="S16" i="16"/>
  <c r="AI49" i="16"/>
  <c r="U40" i="16"/>
  <c r="AR36" i="16"/>
  <c r="T33" i="16"/>
  <c r="AL47" i="16"/>
  <c r="X24" i="16"/>
  <c r="Z43" i="16"/>
  <c r="AL25" i="16"/>
  <c r="AF45" i="16"/>
  <c r="Z36" i="16"/>
  <c r="AB12" i="15"/>
  <c r="L13" i="15"/>
  <c r="X12" i="15"/>
  <c r="AO10" i="15"/>
  <c r="AN11" i="15"/>
  <c r="AH31" i="16"/>
  <c r="AE45" i="16"/>
  <c r="AI38" i="16"/>
  <c r="X37" i="16"/>
  <c r="S8" i="16"/>
  <c r="R14" i="15"/>
  <c r="AF52" i="16"/>
  <c r="AL17" i="15"/>
  <c r="AJ20" i="16"/>
  <c r="AP18" i="16"/>
  <c r="AC28" i="16"/>
  <c r="U20" i="16"/>
  <c r="AA49" i="16"/>
  <c r="AH18" i="16"/>
  <c r="W17" i="15"/>
  <c r="AC15" i="16"/>
  <c r="AW16" i="15"/>
  <c r="AE27" i="16"/>
  <c r="T13" i="16"/>
  <c r="AE52" i="16"/>
  <c r="AK22" i="16"/>
  <c r="AJ28" i="16"/>
  <c r="AK14" i="16"/>
  <c r="AD50" i="16"/>
  <c r="Y11" i="15"/>
  <c r="AC48" i="16"/>
  <c r="AH12" i="15"/>
  <c r="E16" i="15"/>
  <c r="AH50" i="16"/>
  <c r="AH21" i="16"/>
  <c r="U44" i="16"/>
  <c r="V10" i="15"/>
  <c r="W28" i="16"/>
  <c r="AG25" i="16"/>
  <c r="AB38" i="16"/>
  <c r="W20" i="16"/>
  <c r="BD12" i="15"/>
  <c r="Y41" i="16"/>
  <c r="AK30" i="16"/>
  <c r="AP34" i="16"/>
  <c r="W19" i="16"/>
  <c r="M11" i="15"/>
  <c r="T8" i="16"/>
  <c r="AA46" i="16"/>
  <c r="T9" i="16"/>
  <c r="Z39" i="16"/>
  <c r="AJ33" i="16"/>
  <c r="I16" i="15"/>
  <c r="AJ18" i="16"/>
  <c r="AP35" i="16"/>
  <c r="AQ14" i="16"/>
  <c r="AB22" i="16"/>
  <c r="W46" i="16"/>
  <c r="AE35" i="16"/>
  <c r="Z16" i="16"/>
  <c r="BD15" i="15"/>
  <c r="X27" i="16"/>
  <c r="AF16" i="16"/>
  <c r="AK42" i="16"/>
  <c r="AI43" i="16"/>
  <c r="V14" i="15"/>
  <c r="AP22" i="16"/>
  <c r="W50" i="16"/>
  <c r="AH48" i="16"/>
  <c r="AJ49" i="16"/>
  <c r="AR10" i="16"/>
  <c r="AC14" i="16"/>
  <c r="J17" i="15"/>
  <c r="H15" i="15"/>
  <c r="AJ14" i="16"/>
  <c r="AR41" i="16"/>
  <c r="P14" i="15"/>
  <c r="AU13" i="15"/>
  <c r="V10" i="16"/>
  <c r="AP23" i="16"/>
  <c r="AG10" i="15"/>
  <c r="AI11" i="15"/>
  <c r="AJ47" i="16"/>
  <c r="Y32" i="16"/>
  <c r="AG36" i="16"/>
  <c r="E14" i="15"/>
  <c r="AS11" i="15"/>
  <c r="AA14" i="15"/>
  <c r="AD29" i="16"/>
  <c r="X30" i="16"/>
  <c r="AB40" i="16"/>
  <c r="X10" i="15"/>
  <c r="AI16" i="15"/>
  <c r="AC10" i="15"/>
  <c r="AM15" i="16"/>
  <c r="AN30" i="16"/>
  <c r="U27" i="16"/>
  <c r="T51" i="16"/>
  <c r="AQ14" i="15"/>
  <c r="AD45" i="16"/>
  <c r="AH37" i="16"/>
  <c r="AT10" i="15"/>
  <c r="AR17" i="16"/>
  <c r="AG23" i="16"/>
  <c r="AF41" i="16"/>
  <c r="N10" i="15"/>
  <c r="X17" i="16"/>
  <c r="AH14" i="16"/>
  <c r="X39" i="16"/>
  <c r="AR24" i="16"/>
  <c r="I15" i="15"/>
  <c r="AK43" i="16"/>
  <c r="AI46" i="16"/>
  <c r="Q15" i="15"/>
  <c r="AM8" i="16"/>
  <c r="AF27" i="16"/>
  <c r="R17" i="15"/>
  <c r="AQ20" i="16"/>
  <c r="AB10" i="16"/>
  <c r="AC12" i="15"/>
  <c r="AN42" i="16"/>
  <c r="U16" i="15"/>
  <c r="AQ34" i="16"/>
  <c r="K11" i="15"/>
  <c r="V49" i="16"/>
  <c r="Z48" i="16"/>
  <c r="AG41" i="16"/>
  <c r="L17" i="15"/>
  <c r="AP14" i="15"/>
  <c r="AE12" i="16"/>
  <c r="AE25" i="16"/>
  <c r="X41" i="16"/>
  <c r="AF30" i="16"/>
  <c r="S51" i="16"/>
  <c r="I10" i="15"/>
  <c r="V30" i="16"/>
  <c r="AK36" i="16"/>
  <c r="AO12" i="16"/>
  <c r="BA16" i="15"/>
  <c r="X11" i="15"/>
  <c r="AL52" i="16"/>
  <c r="AP11" i="15"/>
  <c r="AB16" i="16"/>
  <c r="AJ46" i="16"/>
  <c r="V52" i="16"/>
  <c r="AG16" i="16"/>
  <c r="AD51" i="16"/>
  <c r="L14" i="15"/>
  <c r="Z29" i="16"/>
  <c r="AI39" i="16"/>
  <c r="AE12" i="15"/>
  <c r="R13" i="15"/>
  <c r="S29" i="16"/>
  <c r="AP38" i="16"/>
  <c r="AM34" i="16"/>
  <c r="AO38" i="16"/>
  <c r="X47" i="16"/>
  <c r="T14" i="15"/>
  <c r="Y36" i="16"/>
  <c r="AG9" i="16"/>
  <c r="AM17" i="15"/>
  <c r="AK9" i="16"/>
  <c r="AJ13" i="15"/>
  <c r="AD46" i="16"/>
  <c r="U28" i="16"/>
  <c r="AR49" i="16"/>
  <c r="AL12" i="16"/>
  <c r="AQ13" i="15"/>
  <c r="Q11" i="15"/>
  <c r="AH38" i="16"/>
  <c r="AB11" i="15"/>
  <c r="AM20" i="16"/>
  <c r="AQ33" i="16"/>
  <c r="AI28" i="16"/>
  <c r="AE22" i="16"/>
  <c r="AC49" i="16"/>
  <c r="X16" i="16"/>
  <c r="AJ14" i="15"/>
  <c r="Z19" i="16"/>
  <c r="AE44" i="16"/>
  <c r="AO33" i="16"/>
  <c r="AX13" i="15"/>
  <c r="AA38" i="16"/>
  <c r="AQ23" i="16"/>
  <c r="AL11" i="15"/>
  <c r="G13" i="15"/>
  <c r="W14" i="16"/>
  <c r="AF26" i="16"/>
  <c r="AJ11" i="15"/>
  <c r="AL50" i="16"/>
  <c r="Y11" i="16"/>
  <c r="AM13" i="16"/>
  <c r="AC20" i="16"/>
  <c r="AO47" i="16"/>
  <c r="AR52" i="16"/>
  <c r="AM12" i="15"/>
  <c r="S46" i="16"/>
  <c r="AB34" i="16"/>
  <c r="AL15" i="16"/>
  <c r="AV12" i="15"/>
  <c r="AL22" i="16"/>
  <c r="AE51" i="16"/>
  <c r="AK29" i="16"/>
  <c r="Z10" i="15"/>
  <c r="U17" i="15"/>
  <c r="AN13" i="15"/>
  <c r="X40" i="16"/>
  <c r="S16" i="15"/>
  <c r="AP15" i="15"/>
  <c r="Y14" i="15"/>
  <c r="AR34" i="16"/>
  <c r="T12" i="16"/>
  <c r="AF17" i="16"/>
  <c r="U21" i="16"/>
  <c r="S13" i="15"/>
  <c r="X52" i="16"/>
  <c r="AY14" i="15"/>
  <c r="O12" i="15"/>
  <c r="AW14" i="15"/>
  <c r="K16" i="15"/>
  <c r="Z31" i="16"/>
  <c r="AV14" i="15"/>
  <c r="AJ11" i="16"/>
  <c r="F15" i="15"/>
  <c r="W25" i="16"/>
  <c r="AX11" i="15"/>
  <c r="U22" i="16"/>
  <c r="AF22" i="16"/>
  <c r="AB52" i="16"/>
  <c r="U11" i="15"/>
  <c r="AG12" i="15"/>
  <c r="AB17" i="15"/>
  <c r="U14" i="15"/>
  <c r="AQ44" i="16"/>
  <c r="AD49" i="16"/>
  <c r="AJ10" i="16"/>
  <c r="G14" i="15"/>
  <c r="AD34" i="16"/>
  <c r="AP10" i="16"/>
  <c r="N15" i="15"/>
  <c r="W39" i="16"/>
  <c r="AH11" i="15"/>
  <c r="AK11" i="15"/>
  <c r="AW15" i="15"/>
  <c r="AM30" i="16"/>
  <c r="N12" i="15"/>
  <c r="U33" i="16"/>
  <c r="AN14" i="15"/>
  <c r="T40" i="16"/>
  <c r="H13" i="15"/>
  <c r="AK20" i="16"/>
  <c r="AD28" i="16"/>
  <c r="AI14" i="15"/>
  <c r="AM45" i="16"/>
  <c r="W44" i="16"/>
  <c r="W12" i="15"/>
  <c r="AM31" i="16"/>
  <c r="AE16" i="15"/>
  <c r="AC30" i="16"/>
  <c r="U42" i="16"/>
  <c r="X25" i="16"/>
  <c r="AA34" i="16"/>
  <c r="AM35" i="16"/>
  <c r="T41" i="16"/>
  <c r="AK17" i="16"/>
  <c r="AQ8" i="16"/>
  <c r="AU14" i="15"/>
  <c r="T20" i="16"/>
  <c r="AE31" i="16"/>
  <c r="AF31" i="16"/>
  <c r="Q17" i="15"/>
  <c r="AR12" i="15"/>
  <c r="AH35" i="16"/>
  <c r="U15" i="15"/>
  <c r="Q12" i="15"/>
  <c r="AK12" i="15"/>
  <c r="AI41" i="16"/>
  <c r="N11" i="15"/>
  <c r="AA42" i="16"/>
  <c r="AF33" i="16"/>
  <c r="AN34" i="16"/>
  <c r="AM47" i="16"/>
  <c r="AQ15" i="16"/>
  <c r="AM41" i="16"/>
  <c r="AO17" i="15"/>
  <c r="V31" i="16"/>
  <c r="U37" i="16"/>
  <c r="AC35" i="16"/>
  <c r="X33" i="16"/>
  <c r="AQ45" i="16"/>
  <c r="AD37" i="16"/>
  <c r="G11" i="15"/>
  <c r="AH26" i="16"/>
  <c r="AE29" i="16"/>
  <c r="AP19" i="16"/>
  <c r="AJ32" i="16"/>
  <c r="I14" i="15"/>
  <c r="AA20" i="16"/>
  <c r="AT17" i="15"/>
  <c r="W10" i="16"/>
  <c r="Z24" i="16"/>
  <c r="V13" i="15"/>
  <c r="AP45" i="16"/>
  <c r="Y12" i="15"/>
  <c r="AM32" i="16"/>
  <c r="U38" i="16"/>
  <c r="AA19" i="16"/>
  <c r="AF17" i="15"/>
  <c r="AP42" i="16"/>
  <c r="AK11" i="16"/>
  <c r="AC17" i="15"/>
  <c r="W42" i="16"/>
  <c r="W45" i="16"/>
  <c r="L12" i="15"/>
  <c r="AJ25" i="16"/>
  <c r="V37" i="16"/>
  <c r="AQ25" i="16"/>
  <c r="AM49" i="16"/>
  <c r="AP40" i="16"/>
  <c r="T31" i="16"/>
  <c r="AL13" i="15"/>
  <c r="AM16" i="16"/>
  <c r="T10" i="16"/>
  <c r="U8" i="16"/>
  <c r="AL35" i="16"/>
  <c r="AA11" i="15"/>
  <c r="AL32" i="16"/>
  <c r="V40" i="16"/>
  <c r="V25" i="16"/>
  <c r="AA31" i="16"/>
  <c r="AH45" i="16"/>
  <c r="T22" i="16"/>
  <c r="Z13" i="15"/>
  <c r="AN16" i="16"/>
  <c r="Z17" i="15"/>
  <c r="U45" i="16"/>
  <c r="V46" i="16"/>
  <c r="AQ46" i="16"/>
  <c r="AB13" i="16"/>
  <c r="AR18" i="16"/>
  <c r="AO27" i="16"/>
  <c r="AM29" i="16"/>
  <c r="AC23" i="16"/>
  <c r="AP26" i="16"/>
  <c r="Y42" i="16"/>
  <c r="AD14" i="16"/>
  <c r="AO49" i="16"/>
  <c r="AK17" i="15"/>
  <c r="AJ44" i="16"/>
  <c r="AI27" i="16"/>
  <c r="AB42" i="16"/>
  <c r="AC21" i="16"/>
  <c r="V41" i="16"/>
  <c r="AE20" i="16"/>
  <c r="AQ17" i="15"/>
  <c r="AA41" i="16"/>
  <c r="W18" i="16"/>
  <c r="AM22" i="16"/>
  <c r="T29" i="16"/>
  <c r="AI25" i="16"/>
  <c r="AQ27" i="16"/>
  <c r="X38" i="16"/>
  <c r="AA23" i="16"/>
  <c r="BD14" i="15"/>
  <c r="AB44" i="16"/>
  <c r="AB31" i="16"/>
  <c r="AE23" i="16"/>
  <c r="J12" i="15"/>
  <c r="AP31" i="16"/>
  <c r="AP46" i="16"/>
  <c r="BC12" i="15"/>
  <c r="Z18" i="16"/>
  <c r="AP24" i="16"/>
  <c r="AL38" i="16"/>
  <c r="L15" i="15"/>
  <c r="AL11" i="16"/>
  <c r="S45" i="16"/>
  <c r="AO8" i="16"/>
  <c r="V38" i="16"/>
  <c r="AS12" i="15"/>
  <c r="U13" i="15"/>
  <c r="AK25" i="16"/>
  <c r="BB17" i="15"/>
  <c r="W16" i="15"/>
  <c r="Y15" i="16"/>
  <c r="AN52" i="16"/>
  <c r="AF40" i="16"/>
  <c r="X14" i="15"/>
  <c r="AY13" i="15"/>
  <c r="AJ13" i="16"/>
  <c r="G15" i="15"/>
  <c r="AR40" i="16"/>
  <c r="AL21" i="16"/>
  <c r="AR30" i="16"/>
  <c r="Z26" i="16"/>
  <c r="AA33" i="16"/>
  <c r="AN47" i="16"/>
  <c r="AO30" i="16"/>
  <c r="AB35" i="16"/>
  <c r="AK19" i="16"/>
  <c r="AA52" i="16"/>
  <c r="W11" i="15"/>
  <c r="AQ35" i="16"/>
  <c r="X49" i="16"/>
  <c r="AI17" i="15"/>
  <c r="AL51" i="16"/>
  <c r="AH44" i="16"/>
  <c r="N13" i="15"/>
  <c r="U17" i="16"/>
  <c r="AP51" i="16"/>
  <c r="AN33" i="16"/>
  <c r="AH39" i="16"/>
  <c r="BD17" i="15"/>
  <c r="T17" i="15"/>
  <c r="AQ48" i="16"/>
  <c r="U32" i="16"/>
  <c r="AC8" i="16"/>
  <c r="AM51" i="16"/>
  <c r="AF49" i="16"/>
  <c r="AO17" i="16"/>
  <c r="W8" i="16"/>
  <c r="AQ41" i="16"/>
  <c r="AJ17" i="16"/>
  <c r="AK15" i="16"/>
  <c r="AI10" i="16"/>
  <c r="AG11" i="16"/>
  <c r="AA32" i="16"/>
  <c r="AO10" i="16"/>
  <c r="AN37" i="16"/>
  <c r="AH51" i="16"/>
  <c r="P10" i="15"/>
  <c r="AH46" i="16"/>
  <c r="O15" i="15"/>
  <c r="AP52" i="16"/>
  <c r="AN51" i="16"/>
  <c r="AK48" i="16"/>
  <c r="K12" i="15"/>
  <c r="Q10" i="15"/>
  <c r="Y49" i="16"/>
  <c r="T10" i="15"/>
  <c r="BC15" i="15"/>
  <c r="Z37" i="16"/>
  <c r="Z11" i="16"/>
  <c r="AJ15" i="15"/>
  <c r="AM13" i="15"/>
  <c r="AC9" i="16"/>
  <c r="AR17" i="15"/>
  <c r="AE39" i="16"/>
  <c r="AH20" i="16"/>
  <c r="AR50" i="16"/>
  <c r="AK40" i="16"/>
  <c r="W15" i="16"/>
  <c r="AN43" i="16"/>
  <c r="AN19" i="16"/>
  <c r="M16" i="15"/>
  <c r="AA27" i="16"/>
  <c r="BA10" i="15"/>
  <c r="AC16" i="15"/>
  <c r="Y14" i="16"/>
  <c r="AB41" i="16"/>
  <c r="AR19" i="16"/>
  <c r="T24" i="16"/>
  <c r="AQ12" i="15"/>
  <c r="AC51" i="16"/>
  <c r="AH52" i="16"/>
  <c r="AX16" i="15"/>
  <c r="AK44" i="16"/>
  <c r="AB9" i="16"/>
  <c r="AF44" i="16"/>
  <c r="AJ21" i="16"/>
  <c r="T27" i="16"/>
  <c r="AG19" i="16"/>
  <c r="AL24" i="16"/>
  <c r="AC34" i="16"/>
  <c r="G12" i="15"/>
  <c r="AF34" i="16"/>
  <c r="X23" i="16"/>
  <c r="AG45" i="16"/>
  <c r="AE11" i="16"/>
  <c r="AJ27" i="16"/>
  <c r="W29" i="16"/>
  <c r="T19" i="16"/>
  <c r="AL9" i="16"/>
  <c r="AK34" i="16"/>
  <c r="AP11" i="16"/>
  <c r="O13" i="15"/>
  <c r="W12" i="16"/>
  <c r="K13" i="15"/>
  <c r="AV11" i="15"/>
  <c r="AX10" i="15"/>
  <c r="AP14" i="16"/>
  <c r="J14" i="15"/>
  <c r="AQ30" i="16"/>
  <c r="X21" i="16"/>
  <c r="AA45" i="16"/>
  <c r="T16" i="16"/>
  <c r="X44" i="16"/>
  <c r="AL29" i="16"/>
  <c r="AR9" i="16"/>
  <c r="AN10" i="16"/>
  <c r="Y39" i="16"/>
  <c r="AA9" i="16"/>
  <c r="BB16" i="15"/>
  <c r="AH11" i="16"/>
  <c r="Z30" i="16"/>
  <c r="AK47" i="16"/>
  <c r="Z15" i="15"/>
  <c r="AR51" i="16"/>
  <c r="AF9" i="16"/>
  <c r="T49" i="16"/>
  <c r="M10" i="15"/>
  <c r="AR15" i="16"/>
  <c r="AF37" i="16"/>
  <c r="AJ10" i="15"/>
  <c r="Z27" i="16"/>
  <c r="AK50" i="16"/>
  <c r="V14" i="16"/>
  <c r="AP48" i="16"/>
  <c r="AJ48" i="16"/>
  <c r="AN40" i="16"/>
  <c r="AD35" i="16"/>
  <c r="X18" i="16"/>
  <c r="S50" i="16"/>
  <c r="AN36" i="16"/>
  <c r="AB51" i="16"/>
  <c r="Y38" i="16"/>
  <c r="P15" i="15"/>
  <c r="AA28" i="16"/>
  <c r="Z35" i="16"/>
  <c r="K14" i="15"/>
  <c r="AE30" i="16"/>
  <c r="AH16" i="16"/>
  <c r="U12" i="16"/>
  <c r="Y17" i="15"/>
  <c r="AG30" i="16"/>
  <c r="N14" i="15"/>
  <c r="AG15" i="16"/>
  <c r="AN41" i="16"/>
  <c r="AK16" i="15"/>
  <c r="X32" i="16"/>
  <c r="AM15" i="15"/>
  <c r="AD17" i="16"/>
  <c r="V44" i="16"/>
  <c r="V15" i="15"/>
  <c r="AM23" i="16"/>
  <c r="AM12" i="16"/>
  <c r="Z15" i="16"/>
  <c r="AQ21" i="16"/>
  <c r="W13" i="16"/>
  <c r="AJ22" i="16"/>
  <c r="AB13" i="15"/>
  <c r="U19" i="16"/>
  <c r="W51" i="16"/>
  <c r="AF11" i="15"/>
  <c r="L11" i="15"/>
  <c r="AI9" i="16"/>
  <c r="Y52" i="16"/>
  <c r="AF51" i="16"/>
  <c r="X51" i="16"/>
  <c r="AR26" i="16"/>
  <c r="AB17" i="16"/>
  <c r="AR25" i="16"/>
  <c r="AH23" i="16"/>
  <c r="V39" i="16"/>
  <c r="AI13" i="16"/>
  <c r="AL37" i="16"/>
  <c r="AA50" i="16"/>
  <c r="AO25" i="16"/>
  <c r="AD21" i="16"/>
  <c r="AF28" i="16"/>
  <c r="BD11" i="15"/>
  <c r="AC42" i="16"/>
  <c r="AK23" i="16"/>
  <c r="AO52" i="16"/>
  <c r="AJ37" i="16"/>
  <c r="AP15" i="16"/>
  <c r="BC13" i="15"/>
  <c r="AE17" i="16"/>
  <c r="AL26" i="16"/>
  <c r="AJ24" i="16"/>
  <c r="AG21" i="16"/>
  <c r="W41" i="16"/>
  <c r="W48" i="16"/>
  <c r="AO32" i="16"/>
  <c r="AH15" i="16"/>
  <c r="AI24" i="16"/>
  <c r="AN21" i="16"/>
  <c r="AJ39" i="16"/>
  <c r="AN29" i="16"/>
  <c r="AT16" i="15"/>
  <c r="Y10" i="16"/>
  <c r="AO18" i="16"/>
  <c r="AF12" i="16"/>
  <c r="AR11" i="16"/>
  <c r="T26" i="16"/>
  <c r="AI10" i="15"/>
  <c r="AZ14" i="15"/>
  <c r="AP13" i="16"/>
  <c r="Z41" i="16"/>
  <c r="E10" i="15"/>
  <c r="AL10" i="15"/>
  <c r="AP36" i="16"/>
  <c r="Z40" i="16"/>
  <c r="Z8" i="16"/>
  <c r="AA43" i="16"/>
  <c r="AJ43" i="16"/>
  <c r="AA48" i="16"/>
  <c r="AO15" i="15"/>
  <c r="AQ10" i="15"/>
  <c r="AR20" i="16"/>
  <c r="AY12" i="15"/>
  <c r="S52" i="16"/>
  <c r="AJ8" i="16"/>
  <c r="S48" i="16"/>
  <c r="AJ12" i="15"/>
  <c r="AR37" i="16"/>
  <c r="AK26" i="16"/>
  <c r="AE19" i="16"/>
  <c r="AN28" i="16"/>
  <c r="AO36" i="16"/>
  <c r="AA13" i="16"/>
  <c r="Z12" i="16"/>
  <c r="AC39" i="16"/>
  <c r="AK39" i="16"/>
  <c r="AM52" i="16"/>
  <c r="AB30" i="16"/>
  <c r="Y43" i="16"/>
  <c r="AQ12" i="16"/>
  <c r="AN45" i="16"/>
  <c r="S26" i="16"/>
  <c r="M15" i="15"/>
  <c r="W24" i="16"/>
  <c r="AD23" i="16"/>
  <c r="AL33" i="16"/>
  <c r="AJ34" i="16"/>
  <c r="AB24" i="16"/>
  <c r="AD12" i="15"/>
  <c r="AF23" i="16"/>
  <c r="AI19" i="16"/>
  <c r="AF38" i="16"/>
  <c r="AE36" i="16"/>
  <c r="T42" i="16"/>
  <c r="M17" i="15"/>
  <c r="V34" i="16"/>
  <c r="AG27" i="16"/>
  <c r="Y26" i="16"/>
  <c r="AM24" i="16"/>
  <c r="AK24" i="16"/>
  <c r="Q13" i="15"/>
  <c r="V15" i="16"/>
  <c r="AG46" i="16"/>
  <c r="AC37" i="16"/>
  <c r="AG22" i="16"/>
  <c r="AD13" i="16"/>
  <c r="AB26" i="16"/>
  <c r="AD44" i="16"/>
  <c r="AB14" i="15"/>
  <c r="U46" i="16"/>
  <c r="S11" i="15"/>
  <c r="AQ43" i="16"/>
  <c r="AL17" i="16"/>
  <c r="AG39" i="16"/>
  <c r="T14" i="16"/>
  <c r="U13" i="16"/>
  <c r="AW12" i="15"/>
  <c r="AA26" i="16"/>
  <c r="AA37" i="16"/>
  <c r="AI21" i="16"/>
  <c r="E17" i="15"/>
  <c r="AA35" i="16"/>
  <c r="T32" i="16"/>
  <c r="F10" i="15"/>
  <c r="AV15" i="15"/>
  <c r="AE40" i="16"/>
  <c r="AL40" i="16"/>
  <c r="AC43" i="16"/>
  <c r="T36" i="16"/>
  <c r="AM25" i="16"/>
  <c r="AG40" i="16"/>
  <c r="AI44" i="16"/>
  <c r="U16" i="16"/>
  <c r="AN39" i="16"/>
  <c r="AB33" i="16"/>
  <c r="AB50" i="16"/>
  <c r="AA21" i="16"/>
  <c r="V27" i="16"/>
  <c r="Y30" i="16"/>
  <c r="AR22" i="16"/>
  <c r="AN23" i="16"/>
  <c r="Y17" i="16"/>
  <c r="AB39" i="16"/>
  <c r="AQ16" i="15"/>
  <c r="N16" i="15"/>
  <c r="O10" i="15"/>
  <c r="T18" i="16"/>
  <c r="AG51" i="16"/>
  <c r="V24" i="16"/>
  <c r="AI12" i="16"/>
  <c r="T48" i="16"/>
  <c r="G10" i="15"/>
  <c r="Y13" i="16"/>
  <c r="V45" i="16"/>
  <c r="AH13" i="15"/>
  <c r="AP8" i="16"/>
  <c r="AO16" i="16"/>
  <c r="W13" i="15"/>
  <c r="U9" i="16"/>
  <c r="V16" i="15"/>
  <c r="M14" i="15"/>
  <c r="AF48" i="16"/>
  <c r="S49" i="16"/>
  <c r="AQ16" i="16"/>
  <c r="AF43" i="16"/>
  <c r="Y18" i="16"/>
  <c r="AM9" i="16"/>
  <c r="AD20" i="16"/>
  <c r="AN48" i="16"/>
  <c r="AG44" i="16"/>
  <c r="AH17" i="16"/>
  <c r="AI18" i="16"/>
  <c r="AR27" i="16"/>
  <c r="AO50" i="16"/>
  <c r="AR14" i="16"/>
  <c r="AP16" i="16"/>
  <c r="AA36" i="16"/>
  <c r="W26" i="16"/>
  <c r="U10" i="15"/>
  <c r="AM10" i="16"/>
  <c r="AN50" i="16"/>
  <c r="AN32" i="16"/>
  <c r="W31" i="16"/>
  <c r="AB19" i="16"/>
  <c r="AF10" i="15"/>
  <c r="AH47" i="16"/>
  <c r="AD26" i="16"/>
  <c r="I17" i="15"/>
  <c r="H16" i="15"/>
  <c r="H17" i="15"/>
  <c r="T30" i="16"/>
  <c r="AA17" i="15"/>
  <c r="AA29" i="16"/>
  <c r="Y37" i="16"/>
  <c r="S13" i="16"/>
  <c r="AA11" i="16"/>
  <c r="W30" i="16"/>
  <c r="X22" i="16"/>
  <c r="AK16" i="16"/>
  <c r="AF20" i="16"/>
  <c r="AB23" i="16"/>
  <c r="AO11" i="15"/>
  <c r="AA15" i="16"/>
  <c r="V20" i="16"/>
  <c r="AA22" i="16"/>
  <c r="T45" i="16"/>
  <c r="W40" i="16"/>
  <c r="AB46" i="16"/>
  <c r="AI33" i="16"/>
  <c r="AL20" i="16"/>
  <c r="U36" i="16"/>
  <c r="Y28" i="16"/>
  <c r="AE16" i="16"/>
  <c r="T38" i="16"/>
  <c r="AO13" i="15"/>
  <c r="AW10" i="15"/>
  <c r="S39" i="16"/>
  <c r="AF18" i="16"/>
  <c r="AL14" i="15"/>
  <c r="S12" i="16"/>
  <c r="AX17" i="15"/>
  <c r="T15" i="15"/>
  <c r="AS13" i="15"/>
  <c r="V12" i="15"/>
  <c r="AH29" i="16"/>
  <c r="AG52" i="16"/>
  <c r="X15" i="16"/>
  <c r="U31" i="16"/>
  <c r="Y20" i="16"/>
  <c r="AE10" i="15"/>
  <c r="AA25" i="16"/>
  <c r="AG48" i="16"/>
  <c r="AM10" i="15"/>
  <c r="AJ38" i="16"/>
  <c r="AN10" i="15"/>
  <c r="AP39" i="16"/>
  <c r="Y13" i="15"/>
  <c r="BB15" i="15"/>
  <c r="E11" i="15"/>
  <c r="W36" i="16"/>
  <c r="AK10" i="15"/>
  <c r="S9" i="16"/>
  <c r="AQ38" i="16"/>
  <c r="AQ31" i="16"/>
  <c r="AM14" i="15"/>
  <c r="AI40" i="16"/>
  <c r="S10" i="15"/>
  <c r="AI20" i="16"/>
  <c r="AC44" i="16"/>
  <c r="Y8" i="16"/>
  <c r="Z49" i="16"/>
  <c r="V13" i="16"/>
  <c r="AD52" i="16"/>
  <c r="AE49" i="16"/>
  <c r="AO11" i="16"/>
  <c r="AC46" i="16"/>
  <c r="V42" i="16"/>
  <c r="Z13" i="16"/>
  <c r="AC31" i="16"/>
  <c r="AD19" i="16"/>
  <c r="S37" i="16"/>
  <c r="V51" i="16"/>
  <c r="AO44" i="16"/>
  <c r="BC16" i="15"/>
  <c r="AS14" i="15"/>
  <c r="W11" i="16"/>
  <c r="V16" i="16"/>
  <c r="AQ37" i="16"/>
  <c r="AY10" i="15"/>
  <c r="X43" i="16"/>
  <c r="T23" i="16"/>
  <c r="H12" i="15"/>
  <c r="AR39" i="16"/>
  <c r="BA13" i="15"/>
  <c r="AT15" i="15"/>
  <c r="AN24" i="16"/>
  <c r="AN18" i="16"/>
  <c r="H11" i="15"/>
  <c r="I11" i="15"/>
  <c r="AU17" i="15"/>
  <c r="AE21" i="16"/>
  <c r="V35" i="16"/>
  <c r="Y23" i="16"/>
  <c r="AB18" i="16"/>
  <c r="AJ16" i="15"/>
  <c r="AP9" i="16"/>
  <c r="AP13" i="15"/>
  <c r="T28" i="16"/>
  <c r="Y9" i="16"/>
  <c r="X26" i="16"/>
  <c r="AH41" i="16"/>
  <c r="S15" i="16"/>
  <c r="BC17" i="15"/>
  <c r="J10" i="15"/>
  <c r="X28" i="16"/>
  <c r="X12" i="16"/>
  <c r="AO35" i="16"/>
  <c r="AF35" i="16"/>
  <c r="AH10" i="16"/>
  <c r="AE15" i="15"/>
  <c r="AD18" i="16"/>
  <c r="AE37" i="16"/>
  <c r="T43" i="16"/>
  <c r="P16" i="15"/>
  <c r="AB25" i="16"/>
  <c r="Y19" i="16"/>
  <c r="BB11" i="15"/>
  <c r="R11" i="15"/>
  <c r="Y21" i="16"/>
  <c r="Y29" i="16"/>
  <c r="V47" i="16"/>
  <c r="AR32" i="16"/>
  <c r="AR42" i="16"/>
  <c r="AR8" i="16"/>
  <c r="AM36" i="16"/>
  <c r="BA11" i="15"/>
  <c r="Z21" i="16"/>
  <c r="AN16" i="15"/>
  <c r="AR38" i="16"/>
  <c r="U10" i="16"/>
  <c r="AQ29" i="16"/>
  <c r="V29" i="16"/>
  <c r="AO24" i="16"/>
  <c r="X8" i="16"/>
  <c r="AO9" i="16"/>
  <c r="Z11" i="15"/>
  <c r="U50" i="16"/>
  <c r="Y34" i="16"/>
  <c r="AE48" i="16"/>
  <c r="AF47" i="16"/>
  <c r="AZ17" i="15"/>
  <c r="AL13" i="16"/>
  <c r="V32" i="16"/>
  <c r="AR29" i="16"/>
  <c r="Z47" i="16"/>
  <c r="AF15" i="16"/>
  <c r="AH15" i="15"/>
  <c r="S19" i="16"/>
  <c r="T35" i="16"/>
  <c r="T44" i="16"/>
  <c r="AE43" i="16"/>
  <c r="W10" i="15"/>
  <c r="AE47" i="16"/>
  <c r="AO40" i="16"/>
  <c r="S14" i="15"/>
  <c r="AK18" i="16"/>
  <c r="W33" i="16"/>
  <c r="AJ29" i="16"/>
  <c r="AJ17" i="15"/>
  <c r="AR47" i="16"/>
  <c r="AL19" i="16"/>
  <c r="AV10" i="15"/>
  <c r="AH12" i="16"/>
  <c r="Y44" i="16"/>
  <c r="E15" i="15"/>
  <c r="AD36" i="16"/>
  <c r="G17" i="15"/>
  <c r="AD10" i="15"/>
  <c r="AG35" i="16"/>
  <c r="AO14" i="15"/>
  <c r="U25" i="16"/>
  <c r="X13" i="15"/>
  <c r="AN15" i="16"/>
  <c r="AJ51" i="16"/>
  <c r="AA47" i="16"/>
  <c r="AR10" i="15"/>
  <c r="AL31" i="16"/>
  <c r="AD16" i="15"/>
  <c r="T37" i="16"/>
  <c r="X36" i="16"/>
  <c r="AK28" i="16"/>
  <c r="AD48" i="16"/>
  <c r="T16" i="15"/>
  <c r="AI8" i="16"/>
  <c r="BB14" i="15"/>
  <c r="AG47" i="16"/>
  <c r="AJ42" i="16"/>
  <c r="V48" i="16"/>
  <c r="AA16" i="16"/>
  <c r="X13" i="16"/>
  <c r="AN13" i="16"/>
  <c r="AF21" i="16"/>
  <c r="AH30" i="16"/>
  <c r="AW13" i="15"/>
  <c r="AC15" i="15"/>
  <c r="AX15" i="15"/>
  <c r="V11" i="15"/>
  <c r="AY17" i="15"/>
  <c r="BD16" i="15"/>
  <c r="AL42" i="16"/>
  <c r="AC27" i="16"/>
  <c r="BB13" i="15"/>
  <c r="M12" i="15"/>
  <c r="AT12" i="15"/>
  <c r="AL16" i="16"/>
  <c r="S22" i="16"/>
  <c r="AX12" i="15"/>
  <c r="Y46" i="16"/>
  <c r="U34" i="16"/>
  <c r="X46" i="16"/>
  <c r="AA8" i="16"/>
  <c r="AP21" i="16"/>
  <c r="R10" i="15"/>
  <c r="AB49" i="16"/>
  <c r="AC13" i="16"/>
  <c r="S40" i="16"/>
  <c r="AO21" i="16"/>
  <c r="AM16" i="15"/>
  <c r="O11" i="15"/>
  <c r="AK38" i="16"/>
  <c r="S32" i="16"/>
  <c r="AF13" i="16"/>
  <c r="AG8" i="16"/>
  <c r="AK52" i="16"/>
  <c r="AR13" i="16"/>
  <c r="AO14" i="16"/>
  <c r="AF36" i="16"/>
  <c r="U41" i="16"/>
  <c r="AO15" i="16"/>
  <c r="F16" i="15"/>
  <c r="U51" i="16"/>
  <c r="AS17" i="15"/>
  <c r="AK15" i="15"/>
  <c r="AI31" i="16"/>
  <c r="AN20" i="16"/>
  <c r="AK27" i="16"/>
  <c r="AZ10" i="15"/>
  <c r="AE14" i="16"/>
  <c r="AP43" i="16"/>
  <c r="AQ40" i="16"/>
  <c r="AN27" i="16"/>
  <c r="AC50" i="16"/>
  <c r="AR13" i="15"/>
  <c r="S36" i="16"/>
  <c r="X29" i="16"/>
  <c r="AP25" i="16"/>
  <c r="AQ32" i="16"/>
  <c r="AD8" i="16"/>
  <c r="AF46" i="16"/>
  <c r="Z23" i="16"/>
  <c r="AA13" i="15"/>
  <c r="W21" i="16"/>
  <c r="X42" i="16"/>
  <c r="AB48" i="16"/>
  <c r="AB43" i="16"/>
  <c r="O17" i="15"/>
  <c r="AN25" i="16"/>
  <c r="T47" i="16"/>
  <c r="AK12" i="16"/>
  <c r="Z46" i="16"/>
  <c r="AO31" i="16"/>
  <c r="AA15" i="15"/>
  <c r="AR31" i="16"/>
  <c r="AR28" i="16"/>
  <c r="AM18" i="16"/>
  <c r="AK45" i="16"/>
  <c r="AD10" i="16"/>
  <c r="AY11" i="15"/>
  <c r="W47" i="16"/>
  <c r="AH28" i="16"/>
  <c r="Z34" i="16"/>
  <c r="S33" i="16"/>
  <c r="AA39" i="16"/>
  <c r="AC12" i="16"/>
  <c r="AW17" i="15"/>
  <c r="AQ15" i="15"/>
  <c r="AQ50" i="16"/>
  <c r="W23" i="16"/>
  <c r="U12" i="15"/>
  <c r="AP17" i="15"/>
  <c r="K15" i="15"/>
  <c r="AD38" i="16"/>
  <c r="AD41" i="16"/>
  <c r="AE9" i="16"/>
  <c r="AF19" i="16"/>
  <c r="AH22" i="16"/>
  <c r="AI36" i="16"/>
  <c r="S38" i="16"/>
  <c r="AV13" i="15"/>
  <c r="BD13" i="15"/>
  <c r="S11" i="16"/>
  <c r="AQ49" i="16"/>
  <c r="AM46" i="16"/>
  <c r="AJ12" i="16"/>
  <c r="U39" i="16"/>
  <c r="V36" i="16"/>
  <c r="F17" i="15"/>
  <c r="AP37" i="16"/>
  <c r="X10" i="16"/>
  <c r="F14" i="15"/>
  <c r="Y16" i="15"/>
  <c r="AJ15" i="16"/>
  <c r="AH43" i="16"/>
  <c r="AH13" i="16"/>
  <c r="S17" i="16"/>
  <c r="X9" i="16"/>
  <c r="T15" i="16"/>
  <c r="AJ45" i="16"/>
  <c r="AF24" i="16"/>
  <c r="AJ52" i="16"/>
  <c r="AM39" i="16"/>
  <c r="AP28" i="16"/>
  <c r="AD33" i="16"/>
  <c r="S15" i="15"/>
  <c r="AA30" i="16"/>
  <c r="V17" i="15"/>
  <c r="AP44" i="16"/>
  <c r="AC10" i="16"/>
  <c r="V9" i="16"/>
  <c r="Y22" i="16"/>
  <c r="AV17" i="15"/>
  <c r="P11" i="15"/>
  <c r="AA10" i="16"/>
  <c r="AN49" i="16"/>
  <c r="AD13" i="15"/>
  <c r="AD30" i="16"/>
  <c r="AQ22" i="16"/>
  <c r="X17" i="15"/>
  <c r="AO19" i="16"/>
  <c r="X20" i="16"/>
  <c r="AL48" i="16"/>
  <c r="AC40" i="16"/>
  <c r="AI30" i="16"/>
  <c r="AI26" i="16"/>
  <c r="U11" i="16"/>
  <c r="BA14" i="15"/>
  <c r="AA16" i="15"/>
  <c r="AJ40" i="16"/>
  <c r="BA12" i="15"/>
  <c r="S34" i="16"/>
  <c r="AB11" i="16"/>
  <c r="W22" i="16"/>
  <c r="AL10" i="16"/>
  <c r="AK46" i="16"/>
  <c r="AQ11" i="15"/>
  <c r="AM11" i="16"/>
  <c r="AE13" i="16"/>
  <c r="AH34" i="16"/>
  <c r="AE34" i="16"/>
  <c r="AK33" i="16"/>
  <c r="W16" i="16"/>
  <c r="Y50" i="16"/>
  <c r="AL41" i="16"/>
  <c r="AL39" i="16"/>
  <c r="AE42" i="16"/>
  <c r="W15" i="15"/>
  <c r="AE26" i="16"/>
  <c r="AF25" i="16"/>
  <c r="AI52" i="16"/>
  <c r="AR48" i="16"/>
  <c r="AO26" i="16"/>
  <c r="AG15" i="15"/>
  <c r="AL23" i="16"/>
  <c r="AF13" i="15"/>
  <c r="AC16" i="16"/>
  <c r="AG31" i="16"/>
  <c r="AL34" i="16"/>
  <c r="V19" i="16"/>
  <c r="V22" i="16"/>
  <c r="Q16" i="15"/>
  <c r="U47" i="16"/>
  <c r="U29" i="16"/>
  <c r="AC36" i="16"/>
  <c r="X11" i="16"/>
  <c r="AG10" i="16"/>
  <c r="AI37" i="16"/>
  <c r="Z10" i="16"/>
  <c r="Z42" i="16"/>
  <c r="AI48" i="16"/>
  <c r="AG26" i="16"/>
  <c r="W9" i="16"/>
  <c r="Z52" i="16"/>
  <c r="AG13" i="16"/>
  <c r="AU15" i="15"/>
  <c r="AA10" i="15"/>
  <c r="V8" i="16"/>
  <c r="AE46" i="16"/>
  <c r="AD9" i="16"/>
  <c r="AR46" i="16"/>
  <c r="AC33" i="16"/>
  <c r="Y10" i="15"/>
  <c r="AI51" i="16"/>
  <c r="AM38" i="16"/>
  <c r="AG37" i="16"/>
  <c r="S44" i="16"/>
  <c r="AI45" i="16"/>
  <c r="F12" i="15"/>
  <c r="AP32" i="16"/>
  <c r="AN46" i="16"/>
  <c r="X45" i="16"/>
  <c r="BA15" i="15"/>
  <c r="U18" i="16"/>
  <c r="S18" i="16"/>
  <c r="X48" i="16"/>
  <c r="AQ51" i="16"/>
  <c r="AF11" i="16"/>
  <c r="AQ36" i="16"/>
  <c r="AF14" i="16"/>
  <c r="AI17" i="16"/>
  <c r="T50" i="16"/>
  <c r="AA17" i="16"/>
  <c r="R50" i="16" l="1"/>
  <c r="Q18" i="16"/>
  <c r="Q44" i="16"/>
  <c r="Y18" i="15"/>
  <c r="Y19" i="15" s="1"/>
  <c r="Q34" i="16"/>
  <c r="R15" i="16"/>
  <c r="Q17" i="16"/>
  <c r="Q11" i="16"/>
  <c r="Q38" i="16"/>
  <c r="Q33" i="16"/>
  <c r="R47" i="16"/>
  <c r="Q36" i="16"/>
  <c r="Q32" i="16"/>
  <c r="Q40" i="16"/>
  <c r="Q22" i="16"/>
  <c r="R37" i="16"/>
  <c r="D15" i="15"/>
  <c r="R44" i="16"/>
  <c r="R35" i="16"/>
  <c r="Q19" i="16"/>
  <c r="R43" i="16"/>
  <c r="Q15" i="16"/>
  <c r="R28" i="16"/>
  <c r="R23" i="16"/>
  <c r="Q37" i="16"/>
  <c r="Q9" i="16"/>
  <c r="AK18" i="15"/>
  <c r="AK19" i="15" s="1"/>
  <c r="D11" i="15"/>
  <c r="Q12" i="16"/>
  <c r="Q39" i="16"/>
  <c r="AW18" i="15"/>
  <c r="AW19" i="15" s="1"/>
  <c r="R38" i="16"/>
  <c r="R45" i="16"/>
  <c r="Q13" i="16"/>
  <c r="R30" i="16"/>
  <c r="U18" i="15"/>
  <c r="U19" i="15" s="1"/>
  <c r="Q49" i="16"/>
  <c r="R48" i="16"/>
  <c r="R18" i="16"/>
  <c r="R36" i="16"/>
  <c r="R32" i="16"/>
  <c r="D17" i="15"/>
  <c r="R14" i="16"/>
  <c r="R42" i="16"/>
  <c r="Q26" i="16"/>
  <c r="Q48" i="16"/>
  <c r="Q52" i="16"/>
  <c r="E18" i="15"/>
  <c r="E19" i="15" s="1"/>
  <c r="D10" i="15"/>
  <c r="R26" i="16"/>
  <c r="Q50" i="16"/>
  <c r="M18" i="15"/>
  <c r="M19" i="15" s="1"/>
  <c r="R49" i="16"/>
  <c r="R16" i="16"/>
  <c r="R19" i="16"/>
  <c r="R27" i="16"/>
  <c r="R24" i="16"/>
  <c r="BA18" i="15"/>
  <c r="BA19" i="15" s="1"/>
  <c r="Q18" i="15"/>
  <c r="Q19" i="15" s="1"/>
  <c r="Q45" i="16"/>
  <c r="R29" i="16"/>
  <c r="R22" i="16"/>
  <c r="R10" i="16"/>
  <c r="R31" i="16"/>
  <c r="R20" i="16"/>
  <c r="R41" i="16"/>
  <c r="R40" i="16"/>
  <c r="R12" i="16"/>
  <c r="Q46" i="16"/>
  <c r="Q29" i="16"/>
  <c r="I18" i="15"/>
  <c r="I19" i="15" s="1"/>
  <c r="Q51" i="16"/>
  <c r="R51" i="16"/>
  <c r="AC18" i="15"/>
  <c r="AC19" i="15" s="1"/>
  <c r="D14" i="15"/>
  <c r="AG18" i="15"/>
  <c r="AG19" i="15" s="1"/>
  <c r="R9" i="16"/>
  <c r="R8" i="16"/>
  <c r="D16" i="15"/>
  <c r="R13" i="16"/>
  <c r="Q8" i="16"/>
  <c r="AO18" i="15"/>
  <c r="AO19" i="15" s="1"/>
  <c r="R33" i="16"/>
  <c r="Q16" i="16"/>
  <c r="D12" i="15"/>
  <c r="Q28" i="16"/>
  <c r="Q42" i="16"/>
  <c r="R25" i="16"/>
  <c r="AS18" i="15"/>
  <c r="AS19" i="15" s="1"/>
  <c r="R17" i="16"/>
  <c r="Q20" i="16"/>
  <c r="Q30" i="16"/>
  <c r="Q14" i="16"/>
  <c r="Q10" i="16"/>
  <c r="R21" i="16"/>
  <c r="Q43" i="16"/>
  <c r="Q35" i="16"/>
  <c r="Q25" i="16"/>
  <c r="Q41" i="16"/>
  <c r="Q27" i="16"/>
  <c r="R52" i="16"/>
  <c r="Q24" i="16"/>
  <c r="Q47" i="16"/>
  <c r="R46" i="16"/>
  <c r="R39" i="16"/>
  <c r="R34" i="16"/>
  <c r="Q23" i="16"/>
  <c r="R11" i="16"/>
  <c r="Q31" i="16"/>
  <c r="D13" i="15"/>
  <c r="Q21" i="1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Emilee Pulsipher</author>
  </authors>
  <commentList>
    <comment ref="Q3" authorId="0" shapeId="0" xr:uid="{A37EE710-2E45-474C-90A0-4B682F073794}">
      <text>
        <r>
          <rPr>
            <sz val="9"/>
            <color indexed="81"/>
            <rFont val="Tahoma"/>
            <family val="2"/>
          </rPr>
          <t>3 (Processing Stats Total) changed to 6 (Overview Report Total)</t>
        </r>
      </text>
    </comment>
    <comment ref="Q4" authorId="0" shapeId="0" xr:uid="{DF8EAF2C-5ECE-4490-A171-F1EDFA75C739}">
      <text>
        <r>
          <rPr>
            <sz val="9"/>
            <color indexed="81"/>
            <rFont val="Tahoma"/>
            <family val="2"/>
          </rPr>
          <t>377 (Processing Stats Total) changed to 471 (Overview Report Total)</t>
        </r>
      </text>
    </comment>
    <comment ref="Q5" authorId="0" shapeId="0" xr:uid="{A01C38B8-6261-439B-9A7E-F56510C83906}">
      <text>
        <r>
          <rPr>
            <sz val="9"/>
            <color indexed="81"/>
            <rFont val="Tahoma"/>
            <family val="2"/>
          </rPr>
          <t>86 (Processing Stats Total) changed to 213 (Overview Report Total)</t>
        </r>
      </text>
    </comment>
    <comment ref="Q6" authorId="0" shapeId="0" xr:uid="{6A5D9622-D840-44F6-A128-43495D8DDA4D}">
      <text>
        <r>
          <rPr>
            <sz val="9"/>
            <color indexed="81"/>
            <rFont val="Tahoma"/>
            <family val="2"/>
          </rPr>
          <t>138 (Processing Stats Total) changed to 644 (Overview Report Total)</t>
        </r>
      </text>
    </comment>
    <comment ref="Q7" authorId="0" shapeId="0" xr:uid="{C0FDDFC0-40DA-417F-8322-7BB7A8499B2A}">
      <text>
        <r>
          <rPr>
            <sz val="9"/>
            <color indexed="81"/>
            <rFont val="Tahoma"/>
            <family val="2"/>
          </rPr>
          <t>791 (Processing Stats Total) changed to 1099 (Overview Report Total)</t>
        </r>
      </text>
    </comment>
    <comment ref="Q8" authorId="0" shapeId="0" xr:uid="{D41AB42E-D3F6-4E22-807C-19886D8D6F71}">
      <text>
        <r>
          <rPr>
            <sz val="9"/>
            <color indexed="81"/>
            <rFont val="Tahoma"/>
            <family val="2"/>
          </rPr>
          <t>445 (Processing Stats Total) changed to 477 (Overview Report Total)</t>
        </r>
      </text>
    </comment>
    <comment ref="Q9" authorId="0" shapeId="0" xr:uid="{9AB0C7B6-CDB6-456D-AEA4-0A83B1A32086}">
      <text>
        <r>
          <rPr>
            <sz val="9"/>
            <color indexed="81"/>
            <rFont val="Tahoma"/>
            <family val="2"/>
          </rPr>
          <t>249 (Processing Stats Total) changed to 372 (Overview Report Total)</t>
        </r>
      </text>
    </comment>
    <comment ref="Q10" authorId="0" shapeId="0" xr:uid="{C2B95B7E-2F65-49CF-923D-7E08FED9F78F}">
      <text>
        <r>
          <rPr>
            <sz val="9"/>
            <color indexed="81"/>
            <rFont val="Tahoma"/>
            <family val="2"/>
          </rPr>
          <t>413 (Processing Stats Total) changed to 498 (Overview Report Total)</t>
        </r>
      </text>
    </comment>
    <comment ref="Q11" authorId="0" shapeId="0" xr:uid="{AB2FEA25-EA03-45DC-AD55-C7DD13AA5CBD}">
      <text>
        <r>
          <rPr>
            <sz val="9"/>
            <color indexed="81"/>
            <rFont val="Tahoma"/>
            <family val="2"/>
          </rPr>
          <t>589 (Processing Stats Total) changed to 668 (Overview Report Total)</t>
        </r>
      </text>
    </comment>
    <comment ref="Q12" authorId="0" shapeId="0" xr:uid="{4FC0742F-CDFE-4570-ACD3-47B7F7E81433}">
      <text>
        <r>
          <rPr>
            <sz val="9"/>
            <color indexed="81"/>
            <rFont val="Tahoma"/>
            <family val="2"/>
          </rPr>
          <t>172 (Processing Stats Total) changed to 265 (Overview Report Total)</t>
        </r>
      </text>
    </comment>
    <comment ref="Q13" authorId="0" shapeId="0" xr:uid="{207EBD01-402F-4BBA-951A-7BF2E34CA07C}">
      <text>
        <r>
          <rPr>
            <sz val="9"/>
            <color indexed="81"/>
            <rFont val="Tahoma"/>
            <family val="2"/>
          </rPr>
          <t>74 (Processing Stats Total) changed to 79 (Overview Report Total)</t>
        </r>
      </text>
    </comment>
    <comment ref="Q14" authorId="0" shapeId="0" xr:uid="{F3C73DB1-394F-4575-A0E9-2E210260D693}">
      <text>
        <r>
          <rPr>
            <sz val="9"/>
            <color indexed="81"/>
            <rFont val="Tahoma"/>
            <family val="2"/>
          </rPr>
          <t>134 (Processing Stats Total) changed to 560 (Overview Report Total)</t>
        </r>
      </text>
    </comment>
    <comment ref="Q15" authorId="0" shapeId="0" xr:uid="{C11429BE-5CC6-4FAE-8C81-9E06DF557EAE}">
      <text>
        <r>
          <rPr>
            <sz val="9"/>
            <color indexed="81"/>
            <rFont val="Tahoma"/>
            <family val="2"/>
          </rPr>
          <t>237 (Processing Stats Total) changed to 358 (Overview Report Total)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Liz Budd</author>
  </authors>
  <commentList>
    <comment ref="Q3" authorId="0" shapeId="0" xr:uid="{EA37E0E9-7EBB-445F-B5A0-7C6BBFEB8980}">
      <text>
        <r>
          <rPr>
            <sz val="9"/>
            <color indexed="81"/>
            <rFont val="Tahoma"/>
            <family val="2"/>
          </rPr>
          <t>1 (Processing Stats Total) changed to 1 (Overview Report Total)</t>
        </r>
      </text>
    </comment>
    <comment ref="Q4" authorId="0" shapeId="0" xr:uid="{04B10C95-17A2-4AA0-A9D1-DB95EADCF8EE}">
      <text>
        <r>
          <rPr>
            <sz val="9"/>
            <color indexed="81"/>
            <rFont val="Tahoma"/>
            <family val="2"/>
          </rPr>
          <t>0 (Processing Stats Total) changed to 36 (Overview Report Total)</t>
        </r>
      </text>
    </comment>
    <comment ref="Q5" authorId="0" shapeId="0" xr:uid="{FFB899E9-DC11-4636-B20E-14E4622BC4D6}">
      <text>
        <r>
          <rPr>
            <sz val="9"/>
            <color indexed="81"/>
            <rFont val="Tahoma"/>
            <family val="2"/>
          </rPr>
          <t>144 (Processing Stats Total) changed to 267 (Overview Report Total)</t>
        </r>
      </text>
    </comment>
    <comment ref="Q6" authorId="0" shapeId="0" xr:uid="{56AB7329-76AC-4AA2-92B8-DF20445E45E7}">
      <text>
        <r>
          <rPr>
            <sz val="9"/>
            <color indexed="81"/>
            <rFont val="Tahoma"/>
            <family val="2"/>
          </rPr>
          <t>76 (Processing Stats Total) changed to 656 (Overview Report Total)</t>
        </r>
      </text>
    </comment>
    <comment ref="Q7" authorId="0" shapeId="0" xr:uid="{44E943B5-260C-4B0E-81AC-A9F2A6C85019}">
      <text>
        <r>
          <rPr>
            <sz val="9"/>
            <color indexed="81"/>
            <rFont val="Tahoma"/>
            <family val="2"/>
          </rPr>
          <t>657 (Processing Stats Total) changed to 1007 (Overview Report Total)</t>
        </r>
      </text>
    </comment>
    <comment ref="Q8" authorId="0" shapeId="0" xr:uid="{A35A0975-E1D2-4139-B8B9-78FD1AA8AB5D}">
      <text>
        <r>
          <rPr>
            <sz val="9"/>
            <color indexed="81"/>
            <rFont val="Tahoma"/>
            <family val="2"/>
          </rPr>
          <t>859 (Processing Stats Total) changed to 916 (Overview Report Total)</t>
        </r>
      </text>
    </comment>
    <comment ref="Q9" authorId="0" shapeId="0" xr:uid="{DC6A52ED-E0C7-42E5-8CF9-1AC66A2B01E9}">
      <text>
        <r>
          <rPr>
            <sz val="9"/>
            <color indexed="81"/>
            <rFont val="Tahoma"/>
            <family val="2"/>
          </rPr>
          <t>229 (Processing Stats Total) changed to 396 (Overview Report Total)</t>
        </r>
      </text>
    </comment>
    <comment ref="Q10" authorId="0" shapeId="0" xr:uid="{42F3692B-914C-4B5F-B56F-EFCD36350186}">
      <text>
        <r>
          <rPr>
            <sz val="9"/>
            <color indexed="81"/>
            <rFont val="Tahoma"/>
            <family val="2"/>
          </rPr>
          <t>417 (Processing Stats Total) changed to 450 (Overview Report Total)</t>
        </r>
      </text>
    </comment>
    <comment ref="Q11" authorId="0" shapeId="0" xr:uid="{30F51621-257B-4EB4-9A4C-71D9FA3BED51}">
      <text>
        <r>
          <rPr>
            <sz val="9"/>
            <color indexed="81"/>
            <rFont val="Tahoma"/>
            <family val="2"/>
          </rPr>
          <t>362 (Processing Stats Total) changed to 521 (Overview Report Total)</t>
        </r>
      </text>
    </comment>
    <comment ref="Q12" authorId="0" shapeId="0" xr:uid="{C718B94B-57BA-4EA8-A80C-78A6CEF37354}">
      <text>
        <r>
          <rPr>
            <sz val="9"/>
            <color indexed="81"/>
            <rFont val="Tahoma"/>
            <family val="2"/>
          </rPr>
          <t>85 (Processing Stats Total) changed to 196 (Overview Report Total)</t>
        </r>
      </text>
    </comment>
    <comment ref="Q13" authorId="0" shapeId="0" xr:uid="{77FA6E10-34B7-4CCB-8706-5424B0BE6E22}">
      <text>
        <r>
          <rPr>
            <sz val="9"/>
            <color indexed="81"/>
            <rFont val="Tahoma"/>
            <family val="2"/>
          </rPr>
          <t>80 (Processing Stats Total) changed to 105 (Overview Report Total)</t>
        </r>
      </text>
    </comment>
    <comment ref="Q14" authorId="0" shapeId="0" xr:uid="{B3C6A07A-D5DA-4F49-A7E1-B481FCD48BAD}">
      <text>
        <r>
          <rPr>
            <sz val="9"/>
            <color indexed="81"/>
            <rFont val="Tahoma"/>
            <family val="2"/>
          </rPr>
          <t>0 (Processing Stats Total) changed to 110 (Overview Report Total)</t>
        </r>
      </text>
    </comment>
    <comment ref="Q15" authorId="0" shapeId="0" xr:uid="{C22CE840-8770-455C-8015-67569B29B6B2}">
      <text>
        <r>
          <rPr>
            <sz val="9"/>
            <color indexed="81"/>
            <rFont val="Tahoma"/>
            <family val="2"/>
          </rPr>
          <t>220 (Processing Stats Total) changed to 350 (Overview Report Total)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Liz Budd</author>
  </authors>
  <commentList>
    <comment ref="Q3" authorId="0" shapeId="0" xr:uid="{2E79244F-CDC9-4F11-96E6-87989116DCBF}">
      <text>
        <r>
          <rPr>
            <sz val="9"/>
            <color indexed="81"/>
            <rFont val="Tahoma"/>
            <family val="2"/>
          </rPr>
          <t>49 (Processing Stats Total) changed to 50 (Overview Report Total)</t>
        </r>
      </text>
    </comment>
    <comment ref="Q4" authorId="0" shapeId="0" xr:uid="{53747467-F58D-4FBC-960D-B6C198FF79F9}">
      <text>
        <r>
          <rPr>
            <sz val="9"/>
            <color indexed="81"/>
            <rFont val="Tahoma"/>
            <family val="2"/>
          </rPr>
          <t>179 (Processing Stats Total) changed to 251 (Overview Report Total)</t>
        </r>
      </text>
    </comment>
    <comment ref="Q5" authorId="0" shapeId="0" xr:uid="{B8F924B6-EDF5-4CA4-BCF3-518679247F11}">
      <text>
        <r>
          <rPr>
            <sz val="9"/>
            <color indexed="81"/>
            <rFont val="Tahoma"/>
            <family val="2"/>
          </rPr>
          <t>94 (Processing Stats Total) changed to 185 (Overview Report Total)</t>
        </r>
      </text>
    </comment>
    <comment ref="Q6" authorId="0" shapeId="0" xr:uid="{E64F1220-3140-46DD-ABBF-52198FA21FF7}">
      <text>
        <r>
          <rPr>
            <sz val="9"/>
            <color indexed="81"/>
            <rFont val="Tahoma"/>
            <family val="2"/>
          </rPr>
          <t>85 (Processing Stats Total) changed to 784 (Overview Report Total)</t>
        </r>
      </text>
    </comment>
    <comment ref="Q7" authorId="0" shapeId="0" xr:uid="{66E0FE0B-5575-433D-8EAD-CAF1C7C20961}">
      <text>
        <r>
          <rPr>
            <sz val="9"/>
            <color indexed="81"/>
            <rFont val="Tahoma"/>
            <family val="2"/>
          </rPr>
          <t>614 (Processing Stats Total) changed to 971 (Overview Report Total)</t>
        </r>
      </text>
    </comment>
    <comment ref="Q8" authorId="0" shapeId="0" xr:uid="{2983FE26-121E-41EF-B23B-9142D64F9D17}">
      <text>
        <r>
          <rPr>
            <sz val="9"/>
            <color indexed="81"/>
            <rFont val="Tahoma"/>
            <family val="2"/>
          </rPr>
          <t>719 (Processing Stats Total) changed to 787 (Overview Report Total)</t>
        </r>
      </text>
    </comment>
    <comment ref="Q9" authorId="0" shapeId="0" xr:uid="{77390ED6-CF0A-4424-BD03-7EE49DD66E53}">
      <text>
        <r>
          <rPr>
            <sz val="9"/>
            <color indexed="81"/>
            <rFont val="Tahoma"/>
            <family val="2"/>
          </rPr>
          <t>95 (Processing Stats Total) changed to 153 (Overview Report Total)</t>
        </r>
      </text>
    </comment>
    <comment ref="Q10" authorId="0" shapeId="0" xr:uid="{6D50ED4F-9AE9-4053-B2D8-A1C2CFDA8F1A}">
      <text>
        <r>
          <rPr>
            <sz val="9"/>
            <color indexed="81"/>
            <rFont val="Tahoma"/>
            <family val="2"/>
          </rPr>
          <t>453 (Processing Stats Total) changed to 493 (Overview Report Total)</t>
        </r>
      </text>
    </comment>
    <comment ref="Q11" authorId="0" shapeId="0" xr:uid="{C5A6E00E-1ECB-407F-9CA4-2AB104D0D998}">
      <text>
        <r>
          <rPr>
            <sz val="9"/>
            <color indexed="81"/>
            <rFont val="Tahoma"/>
            <family val="2"/>
          </rPr>
          <t>372 (Processing Stats Total) changed to 467 (Overview Report Total)</t>
        </r>
      </text>
    </comment>
    <comment ref="Q12" authorId="0" shapeId="0" xr:uid="{1AA35083-58C9-46A3-BB2B-746DC48BA19D}">
      <text>
        <r>
          <rPr>
            <sz val="9"/>
            <color indexed="81"/>
            <rFont val="Tahoma"/>
            <family val="2"/>
          </rPr>
          <t>221 (Processing Stats Total) changed to 383 (Overview Report Total)</t>
        </r>
      </text>
    </comment>
    <comment ref="Q13" authorId="0" shapeId="0" xr:uid="{B91B0681-19C7-49E5-87C6-264364B84580}">
      <text>
        <r>
          <rPr>
            <sz val="9"/>
            <color indexed="81"/>
            <rFont val="Tahoma"/>
            <family val="2"/>
          </rPr>
          <t>35 (Processing Stats Total) changed to 40 (Overview Report Total)</t>
        </r>
      </text>
    </comment>
    <comment ref="Q14" authorId="0" shapeId="0" xr:uid="{8919CE9C-5277-434D-9EA7-44AEBB804B17}">
      <text>
        <r>
          <rPr>
            <sz val="9"/>
            <color indexed="81"/>
            <rFont val="Tahoma"/>
            <family val="2"/>
          </rPr>
          <t>40 (Processing Stats Total) changed to 773 (Overview Report Total)</t>
        </r>
      </text>
    </comment>
    <comment ref="Q15" authorId="0" shapeId="0" xr:uid="{4C9DB409-7D50-4729-9A9A-3369008C53DD}">
      <text>
        <r>
          <rPr>
            <sz val="9"/>
            <color indexed="81"/>
            <rFont val="Tahoma"/>
            <family val="2"/>
          </rPr>
          <t>181 (Processing Stats Total) changed to 315 (Overview Report Total)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Liz Budd</author>
  </authors>
  <commentList>
    <comment ref="Q3" authorId="0" shapeId="0" xr:uid="{7DB23624-1D24-412E-B2F3-7D15ED2886ED}">
      <text>
        <r>
          <rPr>
            <sz val="9"/>
            <color indexed="81"/>
            <rFont val="Tahoma"/>
            <family val="2"/>
          </rPr>
          <t>32 (Processing Stats Total) changed to 32 (Overview Report Total)</t>
        </r>
      </text>
    </comment>
    <comment ref="Q4" authorId="0" shapeId="0" xr:uid="{F9B085B7-E1B6-4B17-8A72-8C88FB882DA1}">
      <text>
        <r>
          <rPr>
            <sz val="9"/>
            <color indexed="81"/>
            <rFont val="Tahoma"/>
            <family val="2"/>
          </rPr>
          <t>86 (Processing Stats Total) changed to 145 (Overview Report Total)</t>
        </r>
      </text>
    </comment>
    <comment ref="Q5" authorId="0" shapeId="0" xr:uid="{BCEAE0EA-9601-4B2C-AAE1-11FB150B0DC4}">
      <text>
        <r>
          <rPr>
            <sz val="9"/>
            <color indexed="81"/>
            <rFont val="Tahoma"/>
            <family val="2"/>
          </rPr>
          <t>158 (Processing Stats Total) changed to 270 (Overview Report Total)</t>
        </r>
      </text>
    </comment>
    <comment ref="Q6" authorId="0" shapeId="0" xr:uid="{5889D2FF-F318-433C-9585-2B52BFB7040F}">
      <text>
        <r>
          <rPr>
            <sz val="9"/>
            <color indexed="81"/>
            <rFont val="Tahoma"/>
            <family val="2"/>
          </rPr>
          <t>79 (Processing Stats Total) changed to 821 (Overview Report Total)</t>
        </r>
      </text>
    </comment>
    <comment ref="Q7" authorId="0" shapeId="0" xr:uid="{CBC15A1B-A438-46FA-8F26-799F1B706F50}">
      <text>
        <r>
          <rPr>
            <sz val="9"/>
            <color indexed="81"/>
            <rFont val="Tahoma"/>
            <family val="2"/>
          </rPr>
          <t>657 (Processing Stats Total) changed to 979 (Overview Report Total)</t>
        </r>
      </text>
    </comment>
    <comment ref="Q8" authorId="0" shapeId="0" xr:uid="{8863F196-8E97-408A-ACBB-7D6FF646A8E8}">
      <text>
        <r>
          <rPr>
            <sz val="9"/>
            <color indexed="81"/>
            <rFont val="Tahoma"/>
            <family val="2"/>
          </rPr>
          <t>740 (Processing Stats Total) changed to 795 (Overview Report Total)</t>
        </r>
      </text>
    </comment>
    <comment ref="Q9" authorId="0" shapeId="0" xr:uid="{3A5C0AB0-5188-485E-8EBD-CC1EF4B3C1C7}">
      <text>
        <r>
          <rPr>
            <sz val="9"/>
            <color indexed="81"/>
            <rFont val="Tahoma"/>
            <family val="2"/>
          </rPr>
          <t>184 (Processing Stats Total) changed to 378 (Overview Report Total)</t>
        </r>
      </text>
    </comment>
    <comment ref="Q10" authorId="0" shapeId="0" xr:uid="{C3BE00F5-C3D8-4E28-83F3-F24FC2101DCB}">
      <text>
        <r>
          <rPr>
            <sz val="9"/>
            <color indexed="81"/>
            <rFont val="Tahoma"/>
            <family val="2"/>
          </rPr>
          <t>478 (Processing Stats Total) changed to 485 (Overview Report Total)</t>
        </r>
      </text>
    </comment>
    <comment ref="Q11" authorId="0" shapeId="0" xr:uid="{C2BDD4EF-E7C0-491D-B0FF-19883E9113E2}">
      <text>
        <r>
          <rPr>
            <sz val="9"/>
            <color indexed="81"/>
            <rFont val="Tahoma"/>
            <family val="2"/>
          </rPr>
          <t>121 (Processing Stats Total) changed to 156 (Overview Report Total)</t>
        </r>
      </text>
    </comment>
    <comment ref="Q12" authorId="0" shapeId="0" xr:uid="{51734353-A75E-45FE-A154-FA85121F9BBB}">
      <text>
        <r>
          <rPr>
            <sz val="9"/>
            <color indexed="81"/>
            <rFont val="Tahoma"/>
            <family val="2"/>
          </rPr>
          <t>216 (Processing Stats Total) changed to 461 (Overview Report Total)</t>
        </r>
      </text>
    </comment>
    <comment ref="Q13" authorId="0" shapeId="0" xr:uid="{219C3A2B-EEB6-4FE9-881C-89920E6C84FE}">
      <text>
        <r>
          <rPr>
            <sz val="9"/>
            <color indexed="81"/>
            <rFont val="Tahoma"/>
            <family val="2"/>
          </rPr>
          <t>82 (Processing Stats Total) changed to 124 (Overview Report Total)</t>
        </r>
      </text>
    </comment>
    <comment ref="Q14" authorId="0" shapeId="0" xr:uid="{73C58D71-A5C6-43EB-B0ED-1F9DADEBB19D}">
      <text>
        <r>
          <rPr>
            <sz val="9"/>
            <color indexed="81"/>
            <rFont val="Tahoma"/>
            <family val="2"/>
          </rPr>
          <t>104 (Processing Stats Total) changed to 506 (Overview Report Total)</t>
        </r>
      </text>
    </comment>
    <comment ref="Q15" authorId="0" shapeId="0" xr:uid="{23250240-D1D0-438B-912D-4D67C3F6ADAA}">
      <text>
        <r>
          <rPr>
            <sz val="9"/>
            <color indexed="81"/>
            <rFont val="Tahoma"/>
            <family val="2"/>
          </rPr>
          <t>111 (Processing Stats Total) changed to 197 (Overview Report Total)</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Liz Budd</author>
  </authors>
  <commentList>
    <comment ref="Q3" authorId="0" shapeId="0" xr:uid="{6F4C68A1-ABD3-4234-9BD9-05E3F04A4F98}">
      <text>
        <r>
          <rPr>
            <sz val="9"/>
            <color indexed="81"/>
            <rFont val="Tahoma"/>
            <family val="2"/>
          </rPr>
          <t>16 (Processing Stats Total) changed to 16 (Overview Report Total)</t>
        </r>
      </text>
    </comment>
    <comment ref="Q4" authorId="0" shapeId="0" xr:uid="{77083061-B694-4321-B467-2D6CDD9040CC}">
      <text>
        <r>
          <rPr>
            <sz val="9"/>
            <color indexed="81"/>
            <rFont val="Tahoma"/>
            <family val="2"/>
          </rPr>
          <t>151 (Processing Stats Total) changed to 280 (Overview Report Total)</t>
        </r>
      </text>
    </comment>
    <comment ref="Q5" authorId="0" shapeId="0" xr:uid="{B54C7BC4-46F0-46D5-A7E6-ADE8E150FCBA}">
      <text>
        <r>
          <rPr>
            <sz val="9"/>
            <color indexed="81"/>
            <rFont val="Tahoma"/>
            <family val="2"/>
          </rPr>
          <t>63 (Processing Stats Total) changed to 113 (Overview Report Total)</t>
        </r>
      </text>
    </comment>
    <comment ref="Q6" authorId="0" shapeId="0" xr:uid="{5635F343-6654-42CC-8F70-C236DAD7DF52}">
      <text>
        <r>
          <rPr>
            <sz val="9"/>
            <color indexed="81"/>
            <rFont val="Tahoma"/>
            <family val="2"/>
          </rPr>
          <t>45 (Processing Stats Total) changed to 578 (Overview Report Total)</t>
        </r>
      </text>
    </comment>
    <comment ref="Q7" authorId="0" shapeId="0" xr:uid="{B03B35A5-5BB9-41E0-9E14-447752BAD47D}">
      <text>
        <r>
          <rPr>
            <sz val="9"/>
            <color indexed="81"/>
            <rFont val="Tahoma"/>
            <family val="2"/>
          </rPr>
          <t>620 (Processing Stats Total) changed to 959 (Overview Report Total)</t>
        </r>
      </text>
    </comment>
    <comment ref="Q8" authorId="0" shapeId="0" xr:uid="{5A470B0F-316F-465F-8393-EF395D9DDD3E}">
      <text>
        <r>
          <rPr>
            <sz val="9"/>
            <color indexed="81"/>
            <rFont val="Tahoma"/>
            <family val="2"/>
          </rPr>
          <t>805 (Processing Stats Total) changed to 874 (Overview Report Total)</t>
        </r>
      </text>
    </comment>
    <comment ref="Q9" authorId="0" shapeId="0" xr:uid="{BE666F64-34AC-4EF8-94DC-AD9596F79894}">
      <text>
        <r>
          <rPr>
            <sz val="9"/>
            <color indexed="81"/>
            <rFont val="Tahoma"/>
            <family val="2"/>
          </rPr>
          <t>82 (Processing Stats Total) changed to 148 (Overview Report Total)</t>
        </r>
      </text>
    </comment>
    <comment ref="Q10" authorId="0" shapeId="0" xr:uid="{F084ECDC-0A39-4F48-9879-8A85C46B7C28}">
      <text>
        <r>
          <rPr>
            <sz val="9"/>
            <color indexed="81"/>
            <rFont val="Tahoma"/>
            <family val="2"/>
          </rPr>
          <t>308 (Processing Stats Total) changed to 380 (Overview Report Total)</t>
        </r>
      </text>
    </comment>
    <comment ref="Q11" authorId="0" shapeId="0" xr:uid="{94827BD0-2D0B-4CD6-9373-6398AF71D9DA}">
      <text>
        <r>
          <rPr>
            <sz val="9"/>
            <color indexed="81"/>
            <rFont val="Tahoma"/>
            <family val="2"/>
          </rPr>
          <t>363 (Processing Stats Total) changed to 564 (Overview Report Total)</t>
        </r>
      </text>
    </comment>
    <comment ref="Q12" authorId="0" shapeId="0" xr:uid="{737F1E01-49DE-4D05-A81B-A82CBF714231}">
      <text>
        <r>
          <rPr>
            <sz val="9"/>
            <color indexed="81"/>
            <rFont val="Tahoma"/>
            <family val="2"/>
          </rPr>
          <t>195 (Processing Stats Total) changed to 392 (Overview Report Total)</t>
        </r>
      </text>
    </comment>
    <comment ref="Q13" authorId="0" shapeId="0" xr:uid="{4643C438-3928-4910-BE8A-C3D744E91A51}">
      <text>
        <r>
          <rPr>
            <sz val="9"/>
            <color indexed="81"/>
            <rFont val="Tahoma"/>
            <family val="2"/>
          </rPr>
          <t>13 (Processing Stats Total) changed to 27 (Overview Report Total)</t>
        </r>
      </text>
    </comment>
    <comment ref="Q14" authorId="0" shapeId="0" xr:uid="{96884594-BDC0-42D9-8469-BC66DC27301D}">
      <text>
        <r>
          <rPr>
            <sz val="9"/>
            <color indexed="81"/>
            <rFont val="Tahoma"/>
            <family val="2"/>
          </rPr>
          <t>0 (Processing Stats Total) changed to 370 (Overview Report Total)</t>
        </r>
      </text>
    </comment>
    <comment ref="Q15" authorId="0" shapeId="0" xr:uid="{D6019746-7F24-4D66-80DB-A4455F60233D}">
      <text>
        <r>
          <rPr>
            <sz val="9"/>
            <color indexed="81"/>
            <rFont val="Tahoma"/>
            <family val="2"/>
          </rPr>
          <t>226 (Processing Stats Total) changed to 339 (Overview Report Total)</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Liz Budd</author>
  </authors>
  <commentList>
    <comment ref="Q3" authorId="0" shapeId="0" xr:uid="{F40C03D3-0821-447E-B345-9150E7C933B8}">
      <text>
        <r>
          <rPr>
            <sz val="9"/>
            <color indexed="81"/>
            <rFont val="Tahoma"/>
            <family val="2"/>
          </rPr>
          <t>49 (Processing Stats Total) changed to 49 (Overview Report Total)</t>
        </r>
      </text>
    </comment>
    <comment ref="Q4" authorId="0" shapeId="0" xr:uid="{60DC5852-A6F9-4CB2-ABF7-DE84BF5E9ACB}">
      <text>
        <r>
          <rPr>
            <sz val="9"/>
            <color indexed="81"/>
            <rFont val="Tahoma"/>
            <family val="2"/>
          </rPr>
          <t>258 (Processing Stats Total) changed to 276 (Overview Report Total)</t>
        </r>
      </text>
    </comment>
    <comment ref="Q5" authorId="0" shapeId="0" xr:uid="{F93D0658-A97E-4F44-973B-BA08D6030152}">
      <text>
        <r>
          <rPr>
            <sz val="9"/>
            <color indexed="81"/>
            <rFont val="Tahoma"/>
            <family val="2"/>
          </rPr>
          <t>114 (Processing Stats Total) changed to 213 (Overview Report Total)</t>
        </r>
      </text>
    </comment>
    <comment ref="Q6" authorId="0" shapeId="0" xr:uid="{D9E35A24-8338-4B3B-9C01-8A1A61EC5053}">
      <text>
        <r>
          <rPr>
            <sz val="9"/>
            <color indexed="81"/>
            <rFont val="Tahoma"/>
            <family val="2"/>
          </rPr>
          <t>90 (Processing Stats Total) changed to 912 (Overview Report Total)</t>
        </r>
      </text>
    </comment>
    <comment ref="Q7" authorId="0" shapeId="0" xr:uid="{1818098F-D7C6-43E6-BF3E-BBD2E49183E2}">
      <text>
        <r>
          <rPr>
            <sz val="9"/>
            <color indexed="81"/>
            <rFont val="Tahoma"/>
            <family val="2"/>
          </rPr>
          <t>822 (Processing Stats Total) changed to 1158 (Overview Report Total)</t>
        </r>
      </text>
    </comment>
    <comment ref="Q8" authorId="0" shapeId="0" xr:uid="{8E97FBF1-9CA1-4039-9ED0-F0FB5D2BA007}">
      <text>
        <r>
          <rPr>
            <sz val="9"/>
            <color indexed="81"/>
            <rFont val="Tahoma"/>
            <family val="2"/>
          </rPr>
          <t>852 (Processing Stats Total) changed to 858 (Overview Report Total)</t>
        </r>
      </text>
    </comment>
    <comment ref="Q9" authorId="0" shapeId="0" xr:uid="{BC83BB41-A3F3-4F7A-AC48-569D37617B1F}">
      <text>
        <r>
          <rPr>
            <sz val="9"/>
            <color indexed="81"/>
            <rFont val="Tahoma"/>
            <family val="2"/>
          </rPr>
          <t>305 (Processing Stats Total) changed to 436 (Overview Report Total)</t>
        </r>
      </text>
    </comment>
    <comment ref="Q10" authorId="0" shapeId="0" xr:uid="{0F0FC289-78A9-46D9-B259-B471AC235550}">
      <text>
        <r>
          <rPr>
            <sz val="9"/>
            <color indexed="81"/>
            <rFont val="Tahoma"/>
            <family val="2"/>
          </rPr>
          <t>425 (Processing Stats Total) changed to 460 (Overview Report Total)</t>
        </r>
      </text>
    </comment>
    <comment ref="Q11" authorId="0" shapeId="0" xr:uid="{96A812FE-B73B-453C-8DC0-E3CDA8C4E15E}">
      <text>
        <r>
          <rPr>
            <sz val="9"/>
            <color indexed="81"/>
            <rFont val="Tahoma"/>
            <family val="2"/>
          </rPr>
          <t>446 (Processing Stats Total) changed to 572 (Overview Report Total)</t>
        </r>
      </text>
    </comment>
    <comment ref="Q12" authorId="0" shapeId="0" xr:uid="{51634B89-1C1D-45D7-BEA9-1DAD48F739FE}">
      <text>
        <r>
          <rPr>
            <sz val="9"/>
            <color indexed="81"/>
            <rFont val="Tahoma"/>
            <family val="2"/>
          </rPr>
          <t>230 (Processing Stats Total) changed to 391 (Overview Report Total)</t>
        </r>
      </text>
    </comment>
    <comment ref="Q13" authorId="0" shapeId="0" xr:uid="{87B70FEB-625A-4A0B-BB36-7D4BD7E8C818}">
      <text>
        <r>
          <rPr>
            <sz val="9"/>
            <color indexed="81"/>
            <rFont val="Tahoma"/>
            <family val="2"/>
          </rPr>
          <t>100 (Processing Stats Total) changed to 105 (Overview Report Total)</t>
        </r>
      </text>
    </comment>
    <comment ref="Q14" authorId="0" shapeId="0" xr:uid="{DBCBF551-58AE-4B88-A937-CF37D74B9D50}">
      <text>
        <r>
          <rPr>
            <sz val="9"/>
            <color indexed="81"/>
            <rFont val="Tahoma"/>
            <family val="2"/>
          </rPr>
          <t>199 (Processing Stats Total) changed to 695 (Overview Report Total)</t>
        </r>
      </text>
    </comment>
    <comment ref="Q15" authorId="0" shapeId="0" xr:uid="{8412080D-2797-4E5B-B562-0356295531C3}">
      <text>
        <r>
          <rPr>
            <sz val="9"/>
            <color indexed="81"/>
            <rFont val="Tahoma"/>
            <family val="2"/>
          </rPr>
          <t>315 (Processing Stats Total) changed to 451 (Overview Report Total)</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Liz Budd</author>
  </authors>
  <commentList>
    <comment ref="D20" authorId="0" shapeId="0" xr:uid="{5F9671D9-1857-4292-9C40-0CCF9E5E318B}">
      <text>
        <r>
          <rPr>
            <b/>
            <sz val="9"/>
            <color indexed="81"/>
            <rFont val="Tahoma"/>
            <family val="2"/>
          </rPr>
          <t>Liz Budd:</t>
        </r>
        <r>
          <rPr>
            <sz val="9"/>
            <color indexed="81"/>
            <rFont val="Tahoma"/>
            <family val="2"/>
          </rPr>
          <t xml:space="preserve">
when Overview Report has been completed</t>
        </r>
      </text>
    </comment>
    <comment ref="D21" authorId="0" shapeId="0" xr:uid="{CE714E3A-8D70-45D5-9353-167E7AD5F74E}">
      <text>
        <r>
          <rPr>
            <b/>
            <sz val="9"/>
            <color indexed="81"/>
            <rFont val="Tahoma"/>
            <family val="2"/>
          </rPr>
          <t>Liz Budd:</t>
        </r>
        <r>
          <rPr>
            <sz val="9"/>
            <color indexed="81"/>
            <rFont val="Tahoma"/>
            <family val="2"/>
          </rPr>
          <t xml:space="preserve">
when audits are 100% completed</t>
        </r>
      </text>
    </comment>
    <comment ref="D22" authorId="0" shapeId="0" xr:uid="{330DBE31-1A8F-4753-97F8-319AEC0C0A76}">
      <text>
        <r>
          <rPr>
            <b/>
            <sz val="9"/>
            <color indexed="81"/>
            <rFont val="Tahoma"/>
            <family val="2"/>
          </rPr>
          <t>Liz Budd:</t>
        </r>
        <r>
          <rPr>
            <sz val="9"/>
            <color indexed="81"/>
            <rFont val="Tahoma"/>
            <family val="2"/>
          </rPr>
          <t xml:space="preserve">
when audits are 100% completed</t>
        </r>
      </text>
    </comment>
    <comment ref="D23" authorId="0" shapeId="0" xr:uid="{19C69BB5-77BB-4AA8-8808-EC005646E813}">
      <text>
        <r>
          <rPr>
            <b/>
            <sz val="9"/>
            <color indexed="81"/>
            <rFont val="Tahoma"/>
            <family val="2"/>
          </rPr>
          <t>Liz Budd:</t>
        </r>
        <r>
          <rPr>
            <sz val="9"/>
            <color indexed="81"/>
            <rFont val="Tahoma"/>
            <family val="2"/>
          </rPr>
          <t xml:space="preserve">
when all of the above steps have been completed</t>
        </r>
      </text>
    </comment>
  </commentList>
</comments>
</file>

<file path=xl/sharedStrings.xml><?xml version="1.0" encoding="utf-8"?>
<sst xmlns="http://schemas.openxmlformats.org/spreadsheetml/2006/main" count="30227" uniqueCount="3111">
  <si>
    <t>Plan Type</t>
  </si>
  <si>
    <t>Date Audited</t>
  </si>
  <si>
    <t>Auditor</t>
  </si>
  <si>
    <t>Secondary Auditor</t>
  </si>
  <si>
    <t>Entry User First</t>
  </si>
  <si>
    <t>Entry User Last</t>
  </si>
  <si>
    <t>Employer</t>
  </si>
  <si>
    <t>Employee First Name</t>
  </si>
  <si>
    <t>Employee Last Name</t>
  </si>
  <si>
    <t>Employee ID</t>
  </si>
  <si>
    <t>Service Start Dte</t>
  </si>
  <si>
    <t>Claim Amt</t>
  </si>
  <si>
    <t>Claim Number</t>
  </si>
  <si>
    <t>Correct = C</t>
  </si>
  <si>
    <t>Major = M</t>
  </si>
  <si>
    <t>Minor = E</t>
  </si>
  <si>
    <t>Description of Error</t>
  </si>
  <si>
    <t>Inserted Major = M</t>
  </si>
  <si>
    <t>Inserted Minor = E</t>
  </si>
  <si>
    <t>Fixed Error?
Y/N</t>
  </si>
  <si>
    <t>FSA</t>
  </si>
  <si>
    <t>EJ</t>
  </si>
  <si>
    <t>Britnie</t>
  </si>
  <si>
    <t>Johnsen</t>
  </si>
  <si>
    <t>Central Pacific Financial Corp.</t>
  </si>
  <si>
    <t>Reese</t>
  </si>
  <si>
    <t>Moriyama</t>
  </si>
  <si>
    <t>01/13/2024</t>
  </si>
  <si>
    <t>C</t>
  </si>
  <si>
    <t>DCP</t>
  </si>
  <si>
    <t>State Of Hawaii</t>
  </si>
  <si>
    <t>KRISTY</t>
  </si>
  <si>
    <t>LUKE</t>
  </si>
  <si>
    <t>06/12/2024</t>
  </si>
  <si>
    <t>MK</t>
  </si>
  <si>
    <t>LEE MING</t>
  </si>
  <si>
    <t>MUI</t>
  </si>
  <si>
    <t>09/26/2024</t>
  </si>
  <si>
    <t>ROL</t>
  </si>
  <si>
    <t>IRENE</t>
  </si>
  <si>
    <t>IWATA</t>
  </si>
  <si>
    <t>07/26/2023</t>
  </si>
  <si>
    <t>07/19/2023</t>
  </si>
  <si>
    <t>12/28/2023</t>
  </si>
  <si>
    <t>12/27/2023</t>
  </si>
  <si>
    <t>08/14/2024</t>
  </si>
  <si>
    <t>Patrick</t>
  </si>
  <si>
    <t>Matsumoto</t>
  </si>
  <si>
    <t>08/01/2024</t>
  </si>
  <si>
    <t>Na Hoku, Inc</t>
  </si>
  <si>
    <t>Carolyn</t>
  </si>
  <si>
    <t>Tanaka</t>
  </si>
  <si>
    <t>08/02/2024</t>
  </si>
  <si>
    <t>08/23/2024</t>
  </si>
  <si>
    <t>MEGAN</t>
  </si>
  <si>
    <t>CUMMINGS</t>
  </si>
  <si>
    <t>10/01/2024</t>
  </si>
  <si>
    <t>WILLIAM</t>
  </si>
  <si>
    <t>YIP</t>
  </si>
  <si>
    <t>09/25/2024</t>
  </si>
  <si>
    <t>AARON</t>
  </si>
  <si>
    <t>OHTA</t>
  </si>
  <si>
    <t>07/17/2024</t>
  </si>
  <si>
    <t>08/22/2024</t>
  </si>
  <si>
    <t>Charity</t>
  </si>
  <si>
    <t>Gough</t>
  </si>
  <si>
    <t>The Nunes Company, Inc.</t>
  </si>
  <si>
    <t>ANDREA</t>
  </si>
  <si>
    <t>DOMINGUEZ</t>
  </si>
  <si>
    <t>08/31/2024</t>
  </si>
  <si>
    <t>PKG</t>
  </si>
  <si>
    <t>RCUH</t>
  </si>
  <si>
    <t>Helen</t>
  </si>
  <si>
    <t>Victor</t>
  </si>
  <si>
    <t>CHIEN-WEN</t>
  </si>
  <si>
    <t>TSENG</t>
  </si>
  <si>
    <t>09/27/2024</t>
  </si>
  <si>
    <t xml:space="preserve">University of Hawaii Foundation </t>
  </si>
  <si>
    <t>Altair C.</t>
  </si>
  <si>
    <t>Kaneshiro</t>
  </si>
  <si>
    <t>09/28/2024</t>
  </si>
  <si>
    <t>Jonah</t>
  </si>
  <si>
    <t>Aberilla</t>
  </si>
  <si>
    <t>09/30/2024</t>
  </si>
  <si>
    <t>Jennifer</t>
  </si>
  <si>
    <t>Chang</t>
  </si>
  <si>
    <t>08/07/2024</t>
  </si>
  <si>
    <t>The Carpet Shoppe, Inc.</t>
  </si>
  <si>
    <t>Marc</t>
  </si>
  <si>
    <t>05/22/2024</t>
  </si>
  <si>
    <t>Reef Development of Hawaii</t>
  </si>
  <si>
    <t>Clifford</t>
  </si>
  <si>
    <t>Kawamoto</t>
  </si>
  <si>
    <t>07/09/2024</t>
  </si>
  <si>
    <t>W.M. Keck Observatory - ProService</t>
  </si>
  <si>
    <t>Elizabeth</t>
  </si>
  <si>
    <t>Chock</t>
  </si>
  <si>
    <t>05/21/2024</t>
  </si>
  <si>
    <t xml:space="preserve">Servco Pacific Inc. </t>
  </si>
  <si>
    <t>Rene</t>
  </si>
  <si>
    <t>Osborne</t>
  </si>
  <si>
    <t>07/23/2024</t>
  </si>
  <si>
    <t>07/18/2024</t>
  </si>
  <si>
    <t>08/04/2024</t>
  </si>
  <si>
    <t>07/15/2024</t>
  </si>
  <si>
    <t>08/21/2024</t>
  </si>
  <si>
    <t>09/15/2024</t>
  </si>
  <si>
    <t>Cindy</t>
  </si>
  <si>
    <t>Mazariegos</t>
  </si>
  <si>
    <t>City &amp; County Of Honolulu</t>
  </si>
  <si>
    <t>John</t>
  </si>
  <si>
    <t>Lamer</t>
  </si>
  <si>
    <t>01/08/2024</t>
  </si>
  <si>
    <t>06/29/2024</t>
  </si>
  <si>
    <t>CG</t>
  </si>
  <si>
    <t>06/30/2024</t>
  </si>
  <si>
    <t>Islands Hospice</t>
  </si>
  <si>
    <t>Lesley-Ann</t>
  </si>
  <si>
    <t>Milligan</t>
  </si>
  <si>
    <t>08/25/2024</t>
  </si>
  <si>
    <t>Hawaii Employers Mutual Insurance Compan</t>
  </si>
  <si>
    <t>Debra</t>
  </si>
  <si>
    <t>Bringman</t>
  </si>
  <si>
    <t>09/23/2024</t>
  </si>
  <si>
    <t>M</t>
  </si>
  <si>
    <t xml:space="preserve">The original receipt processed on 10/1/24 had a description of services (50 min essential full body massage). It should have been pended for LOMN not missing description of services. </t>
  </si>
  <si>
    <t>08/19/2024</t>
  </si>
  <si>
    <t>Partners In Development Foundation</t>
  </si>
  <si>
    <t>NICOLE</t>
  </si>
  <si>
    <t>GALICINAO</t>
  </si>
  <si>
    <t xml:space="preserve">The statement says it is for September so the DOS should be 9/1/24-9/30/24. The DOS on claim only says 9/15/24-9/30/24.  </t>
  </si>
  <si>
    <t>Paradise Cruise LTD</t>
  </si>
  <si>
    <t>Guy</t>
  </si>
  <si>
    <t>Tasaki</t>
  </si>
  <si>
    <t>JHC Services Inc</t>
  </si>
  <si>
    <t>Clare</t>
  </si>
  <si>
    <t>Saffery</t>
  </si>
  <si>
    <t>MICHAEL</t>
  </si>
  <si>
    <t>07/05/2023</t>
  </si>
  <si>
    <t>Duplicate dates of services as another claim. It appears there are 2 claims for the same services. Please reverse and then we are only working with claim #20240921147.</t>
  </si>
  <si>
    <t xml:space="preserve">The note left by the previous processor asks that the participant send in documentaion with dates of service for summer school for 2 of the children and preschool for one child. The new documentsubmitted by participant does not give clear dates of service and should not have been approved. Please reverse claim and reenter and pend asking for updated itemized statement. </t>
  </si>
  <si>
    <t>Hawktree International Inc</t>
  </si>
  <si>
    <t>Christopher</t>
  </si>
  <si>
    <t>Tunoa</t>
  </si>
  <si>
    <t>12/01/2023</t>
  </si>
  <si>
    <t>Kristi</t>
  </si>
  <si>
    <t>Hatanaka</t>
  </si>
  <si>
    <t>10/02/2024</t>
  </si>
  <si>
    <t>ProService Hawaii</t>
  </si>
  <si>
    <t>Christine</t>
  </si>
  <si>
    <t>Mokuahi</t>
  </si>
  <si>
    <t xml:space="preserve">Pet Hospitals of Hawaii </t>
  </si>
  <si>
    <t>Dawn</t>
  </si>
  <si>
    <t>Morikami</t>
  </si>
  <si>
    <t>07/02/2024</t>
  </si>
  <si>
    <t>Dakota</t>
  </si>
  <si>
    <t>Hamlin</t>
  </si>
  <si>
    <t>Science Suite Corp</t>
  </si>
  <si>
    <t>Kristin</t>
  </si>
  <si>
    <t>Schultz</t>
  </si>
  <si>
    <t>09/02/2024</t>
  </si>
  <si>
    <t>The statement submitted was created and therefore needs to have the provider signature on it. Reverse the claim and re-enter and ask participant to have the provider sign it and resubmit.</t>
  </si>
  <si>
    <t>Dawnyel</t>
  </si>
  <si>
    <t>Rush</t>
  </si>
  <si>
    <t>Granite School District</t>
  </si>
  <si>
    <t>BRINNA</t>
  </si>
  <si>
    <t>BENNION</t>
  </si>
  <si>
    <t>04/20/2024</t>
  </si>
  <si>
    <t>DM</t>
  </si>
  <si>
    <t>Deborah</t>
  </si>
  <si>
    <t>Tindall</t>
  </si>
  <si>
    <t>Lewisville Independent School District</t>
  </si>
  <si>
    <t>APRIL</t>
  </si>
  <si>
    <t>GAMA</t>
  </si>
  <si>
    <t>09/01/2022</t>
  </si>
  <si>
    <t>NF</t>
  </si>
  <si>
    <t>Diane</t>
  </si>
  <si>
    <t>Munson</t>
  </si>
  <si>
    <t xml:space="preserve">Peraton Corp </t>
  </si>
  <si>
    <t>Luis</t>
  </si>
  <si>
    <t>Apaestegui</t>
  </si>
  <si>
    <t>05/16/2024</t>
  </si>
  <si>
    <t>Kristen</t>
  </si>
  <si>
    <t>Harmon</t>
  </si>
  <si>
    <t>09/01/2024</t>
  </si>
  <si>
    <t>Brittany</t>
  </si>
  <si>
    <t>Deal</t>
  </si>
  <si>
    <t>10/03/2024</t>
  </si>
  <si>
    <t>SHUXING</t>
  </si>
  <si>
    <t>ZHANG</t>
  </si>
  <si>
    <t>08/15/2024</t>
  </si>
  <si>
    <t>Sorenson Communications, LLC</t>
  </si>
  <si>
    <t>Connie</t>
  </si>
  <si>
    <t>Petersen</t>
  </si>
  <si>
    <t>08/26/2024</t>
  </si>
  <si>
    <t>09/17/2024</t>
  </si>
  <si>
    <t>09/19/2024</t>
  </si>
  <si>
    <t>R&amp;O Construction</t>
  </si>
  <si>
    <t>Ludmila</t>
  </si>
  <si>
    <t>Urrestarazu</t>
  </si>
  <si>
    <t>HEATHER</t>
  </si>
  <si>
    <t>ROBISON</t>
  </si>
  <si>
    <t>Hilliard City Schools</t>
  </si>
  <si>
    <t>CAITLIN</t>
  </si>
  <si>
    <t>BLETZACKER</t>
  </si>
  <si>
    <t>Auction.com</t>
  </si>
  <si>
    <t>Margaret</t>
  </si>
  <si>
    <t>Browne</t>
  </si>
  <si>
    <t>Emilee</t>
  </si>
  <si>
    <t>Pulsipher</t>
  </si>
  <si>
    <t>Helpside, Inc.</t>
  </si>
  <si>
    <t>COREY</t>
  </si>
  <si>
    <t>PEDERSON</t>
  </si>
  <si>
    <t>09/12/2024</t>
  </si>
  <si>
    <t>Jason</t>
  </si>
  <si>
    <t>Logsdon</t>
  </si>
  <si>
    <t>Haysville USD 261</t>
  </si>
  <si>
    <t>Joseph</t>
  </si>
  <si>
    <t>Standard</t>
  </si>
  <si>
    <t>JULIE</t>
  </si>
  <si>
    <t>O'CONNELL</t>
  </si>
  <si>
    <t>03/18/2024</t>
  </si>
  <si>
    <t>05/15/2024</t>
  </si>
  <si>
    <t>09/16/2024</t>
  </si>
  <si>
    <t>06/17/2024</t>
  </si>
  <si>
    <t>04/15/2024</t>
  </si>
  <si>
    <t>TIFFANY</t>
  </si>
  <si>
    <t>CANSINO</t>
  </si>
  <si>
    <t>03/11/2024</t>
  </si>
  <si>
    <t>Obsidian HR, Inc.</t>
  </si>
  <si>
    <t>William</t>
  </si>
  <si>
    <t>Boyd</t>
  </si>
  <si>
    <t>06/10/2024</t>
  </si>
  <si>
    <t>HRA</t>
  </si>
  <si>
    <t>Murray City School District</t>
  </si>
  <si>
    <t>Linda</t>
  </si>
  <si>
    <t>Service</t>
  </si>
  <si>
    <t>01/01/2024</t>
  </si>
  <si>
    <t>Teraflex</t>
  </si>
  <si>
    <t>CLAYTON</t>
  </si>
  <si>
    <t>MORLEY</t>
  </si>
  <si>
    <t>05/01/2024</t>
  </si>
  <si>
    <t>LAURA</t>
  </si>
  <si>
    <t>GOODRICH</t>
  </si>
  <si>
    <t>KD</t>
  </si>
  <si>
    <t>Emily</t>
  </si>
  <si>
    <t>Jackson</t>
  </si>
  <si>
    <t>PM Pediatrics Management Group, LLC</t>
  </si>
  <si>
    <t>Siobhan</t>
  </si>
  <si>
    <t>Tagliente</t>
  </si>
  <si>
    <t>09/04/2024</t>
  </si>
  <si>
    <t>Shannon</t>
  </si>
  <si>
    <t>O'Malley</t>
  </si>
  <si>
    <t>06/02/2024</t>
  </si>
  <si>
    <t>Devin</t>
  </si>
  <si>
    <t>Grossman</t>
  </si>
  <si>
    <t>09/09/2024</t>
  </si>
  <si>
    <t>The Community Foundation</t>
  </si>
  <si>
    <t>Tatiana</t>
  </si>
  <si>
    <t>Hernandez</t>
  </si>
  <si>
    <t>05/23/2024</t>
  </si>
  <si>
    <t>Keerti</t>
  </si>
  <si>
    <t>Thalayur</t>
  </si>
  <si>
    <t>Miracosta Community College District</t>
  </si>
  <si>
    <t>Karen</t>
  </si>
  <si>
    <t>Turpin</t>
  </si>
  <si>
    <t>Katharine</t>
  </si>
  <si>
    <t>Long</t>
  </si>
  <si>
    <t>08/27/2024</t>
  </si>
  <si>
    <t>09/24/2024</t>
  </si>
  <si>
    <t>08/20/2024</t>
  </si>
  <si>
    <t>09/10/2024</t>
  </si>
  <si>
    <t>09/03/2024</t>
  </si>
  <si>
    <t>Jameson</t>
  </si>
  <si>
    <t>Digital Realty Trust, Inc.</t>
  </si>
  <si>
    <t>Barrett</t>
  </si>
  <si>
    <t>06/24/2024</t>
  </si>
  <si>
    <t>Jolene</t>
  </si>
  <si>
    <t>Dedman</t>
  </si>
  <si>
    <t>LINDA</t>
  </si>
  <si>
    <t>INAO</t>
  </si>
  <si>
    <t>02/15/2024</t>
  </si>
  <si>
    <t>03/22/2024</t>
  </si>
  <si>
    <t>05/13/2024</t>
  </si>
  <si>
    <t>01/23/2024</t>
  </si>
  <si>
    <t>05/17/2024</t>
  </si>
  <si>
    <t>12/26/2023</t>
  </si>
  <si>
    <t>01/22/2024</t>
  </si>
  <si>
    <t>04/08/2024</t>
  </si>
  <si>
    <t>06/11/2024</t>
  </si>
  <si>
    <t>10/14/2023</t>
  </si>
  <si>
    <t>10/16/2023</t>
  </si>
  <si>
    <t>12/08/2023</t>
  </si>
  <si>
    <t>05/31/2024</t>
  </si>
  <si>
    <t>LB</t>
  </si>
  <si>
    <t>07/03/2023</t>
  </si>
  <si>
    <t>Kalista</t>
  </si>
  <si>
    <t>Christensen</t>
  </si>
  <si>
    <t>Bank Of Hawaii</t>
  </si>
  <si>
    <t>Colin</t>
  </si>
  <si>
    <t>Goshi</t>
  </si>
  <si>
    <t>07/01/2024</t>
  </si>
  <si>
    <t>Jodi</t>
  </si>
  <si>
    <t>Watson</t>
  </si>
  <si>
    <t>E</t>
  </si>
  <si>
    <t>You approved 750.00, but there are only 500.00 in eligible charges on the submitted receipt. There was only 87.44 remaining in the account, so more than the eligible amount did not pay out, but please make appropriate notes and adjust the on-hold amount if needed.</t>
  </si>
  <si>
    <t>Simco</t>
  </si>
  <si>
    <t>Basilica</t>
  </si>
  <si>
    <t>Ramirez</t>
  </si>
  <si>
    <t>08/08/2024</t>
  </si>
  <si>
    <t>07/26/2024</t>
  </si>
  <si>
    <t>07/30/2024</t>
  </si>
  <si>
    <t>Jodene</t>
  </si>
  <si>
    <t>Arakaki</t>
  </si>
  <si>
    <t>TRN</t>
  </si>
  <si>
    <t>Alphonso, Inc.</t>
  </si>
  <si>
    <t>Alex</t>
  </si>
  <si>
    <t>Fu</t>
  </si>
  <si>
    <t>03/01/2024</t>
  </si>
  <si>
    <t>RONALD</t>
  </si>
  <si>
    <t>ALDRICH</t>
  </si>
  <si>
    <t>Barry Callebaut U.S.A. LLC</t>
  </si>
  <si>
    <t>Benjamin</t>
  </si>
  <si>
    <t>Beasley</t>
  </si>
  <si>
    <t>HRP</t>
  </si>
  <si>
    <t>Kaylee</t>
  </si>
  <si>
    <t>The Montrose Center</t>
  </si>
  <si>
    <t>Lacey</t>
  </si>
  <si>
    <t>Martin</t>
  </si>
  <si>
    <t>Kamone</t>
  </si>
  <si>
    <t>Hyman</t>
  </si>
  <si>
    <t>Roshni</t>
  </si>
  <si>
    <t>Patel</t>
  </si>
  <si>
    <t>East Bay Anesthesiology Medical Group</t>
  </si>
  <si>
    <t>Marietta</t>
  </si>
  <si>
    <t>Smith</t>
  </si>
  <si>
    <t>09/13/2024</t>
  </si>
  <si>
    <t>09/22/2024</t>
  </si>
  <si>
    <t>Monroe Community Mental Health Authority</t>
  </si>
  <si>
    <t>BETH PATRICE</t>
  </si>
  <si>
    <t>AIMONE</t>
  </si>
  <si>
    <t>Daniel</t>
  </si>
  <si>
    <t>Cato</t>
  </si>
  <si>
    <t>Ryan</t>
  </si>
  <si>
    <t>Cannatella</t>
  </si>
  <si>
    <t>Michael</t>
  </si>
  <si>
    <t>Bryant</t>
  </si>
  <si>
    <t>Scott USA, INC</t>
  </si>
  <si>
    <t>STEVEN</t>
  </si>
  <si>
    <t>WILKE</t>
  </si>
  <si>
    <t>Antonio</t>
  </si>
  <si>
    <t>Aguries</t>
  </si>
  <si>
    <t>EP</t>
  </si>
  <si>
    <t>Liz</t>
  </si>
  <si>
    <t>Budd</t>
  </si>
  <si>
    <t>International Transportation Service, LLC</t>
  </si>
  <si>
    <t>Robert</t>
  </si>
  <si>
    <t>Gladney</t>
  </si>
  <si>
    <t>09/18/2024</t>
  </si>
  <si>
    <t>DERRICK</t>
  </si>
  <si>
    <t>GONZALES</t>
  </si>
  <si>
    <t>Hawaii State Public Charter School Comm</t>
  </si>
  <si>
    <t>Nicole</t>
  </si>
  <si>
    <t>Yoshimoto</t>
  </si>
  <si>
    <t>08/17/2024</t>
  </si>
  <si>
    <t>07/16/2024</t>
  </si>
  <si>
    <t>08/03/2024</t>
  </si>
  <si>
    <t>07/24/2024</t>
  </si>
  <si>
    <t>Klein Independent School District</t>
  </si>
  <si>
    <t>Coe</t>
  </si>
  <si>
    <t>09/05/2024</t>
  </si>
  <si>
    <t>Michelle</t>
  </si>
  <si>
    <t>Kruger</t>
  </si>
  <si>
    <t>TrilokChand</t>
  </si>
  <si>
    <t>Suggula</t>
  </si>
  <si>
    <t>HR3</t>
  </si>
  <si>
    <t>ARUP Laboratories</t>
  </si>
  <si>
    <t>Matthew</t>
  </si>
  <si>
    <t>Pruss</t>
  </si>
  <si>
    <t>07/03/2024</t>
  </si>
  <si>
    <t>Karl</t>
  </si>
  <si>
    <t>Dazet</t>
  </si>
  <si>
    <t>09/21/2024</t>
  </si>
  <si>
    <t>09/07/2024</t>
  </si>
  <si>
    <t>08/29/2024</t>
  </si>
  <si>
    <t>Lindsay</t>
  </si>
  <si>
    <t>Everett</t>
  </si>
  <si>
    <t>05/28/2024</t>
  </si>
  <si>
    <t>07/28/2024</t>
  </si>
  <si>
    <t>08/28/2024</t>
  </si>
  <si>
    <t>06/28/2024</t>
  </si>
  <si>
    <t>Evans</t>
  </si>
  <si>
    <t>06/13/2024</t>
  </si>
  <si>
    <t>04/04/2024</t>
  </si>
  <si>
    <t>Fisher</t>
  </si>
  <si>
    <t>Logistic Specialties, Inc.</t>
  </si>
  <si>
    <t>Dallas</t>
  </si>
  <si>
    <t>Merrill</t>
  </si>
  <si>
    <t>07/31/2024</t>
  </si>
  <si>
    <t>08/13/2024</t>
  </si>
  <si>
    <t>City Of Mountain Home</t>
  </si>
  <si>
    <t>Coffey</t>
  </si>
  <si>
    <t>05/11/2024</t>
  </si>
  <si>
    <t>08/06/2024</t>
  </si>
  <si>
    <t>Renae</t>
  </si>
  <si>
    <t>Slack</t>
  </si>
  <si>
    <t>08/05/2024</t>
  </si>
  <si>
    <t>HRX</t>
  </si>
  <si>
    <t>06/18/2024</t>
  </si>
  <si>
    <t>Madrid</t>
  </si>
  <si>
    <t>Brazell</t>
  </si>
  <si>
    <t>Rachel</t>
  </si>
  <si>
    <t>Reichardt</t>
  </si>
  <si>
    <t>Del Valle Independent School District</t>
  </si>
  <si>
    <t>DAVID</t>
  </si>
  <si>
    <t>VALLEJO</t>
  </si>
  <si>
    <t>09/20/2024</t>
  </si>
  <si>
    <t>Randel</t>
  </si>
  <si>
    <t>Keepers</t>
  </si>
  <si>
    <t>Niethammer Family, LLC dba King Auto Cen</t>
  </si>
  <si>
    <t>Crystal Joy</t>
  </si>
  <si>
    <t>Yap</t>
  </si>
  <si>
    <t>04/01/2024</t>
  </si>
  <si>
    <t>Sandy</t>
  </si>
  <si>
    <t>Lung</t>
  </si>
  <si>
    <t>Zachary</t>
  </si>
  <si>
    <t>Wehrmann</t>
  </si>
  <si>
    <t>Middlesex County Magnet Schools</t>
  </si>
  <si>
    <t>Baez</t>
  </si>
  <si>
    <t>12/11/2023</t>
  </si>
  <si>
    <t>INEOS Enterprises US Holdco LLC</t>
  </si>
  <si>
    <t>MARK</t>
  </si>
  <si>
    <t>RADIL</t>
  </si>
  <si>
    <t>Mexia ISD</t>
  </si>
  <si>
    <t>JANETTE</t>
  </si>
  <si>
    <t>WILLIAMS</t>
  </si>
  <si>
    <t>09/14/2024</t>
  </si>
  <si>
    <t>Full Name</t>
  </si>
  <si>
    <t>First Name</t>
  </si>
  <si>
    <t>Last Name</t>
  </si>
  <si>
    <t>AWD NBS User ID</t>
  </si>
  <si>
    <t>Initials</t>
  </si>
  <si>
    <t>UserFirst, UserLast</t>
  </si>
  <si>
    <t>Department</t>
  </si>
  <si>
    <t>Email Address</t>
  </si>
  <si>
    <t>Position</t>
  </si>
  <si>
    <t>Lead Email Address</t>
  </si>
  <si>
    <t>Recurring Claims</t>
  </si>
  <si>
    <t>Audit
Status</t>
  </si>
  <si>
    <t>Expected Hrs/Wk</t>
  </si>
  <si>
    <r>
      <t xml:space="preserve">Total
</t>
    </r>
    <r>
      <rPr>
        <sz val="8"/>
        <color theme="1"/>
        <rFont val="Aptos Narrow"/>
        <family val="2"/>
        <scheme val="minor"/>
      </rPr>
      <t>Line Item Count</t>
    </r>
  </si>
  <si>
    <r>
      <t xml:space="preserve">Correct
</t>
    </r>
    <r>
      <rPr>
        <sz val="8"/>
        <color theme="1"/>
        <rFont val="Aptos Narrow"/>
        <family val="2"/>
        <scheme val="minor"/>
      </rPr>
      <t>Line Item Count</t>
    </r>
  </si>
  <si>
    <r>
      <t xml:space="preserve">Major Error
</t>
    </r>
    <r>
      <rPr>
        <sz val="8"/>
        <color theme="1"/>
        <rFont val="Aptos Narrow"/>
        <family val="2"/>
        <scheme val="minor"/>
      </rPr>
      <t>Line Item Count</t>
    </r>
  </si>
  <si>
    <r>
      <t xml:space="preserve">Minor Error
</t>
    </r>
    <r>
      <rPr>
        <sz val="8"/>
        <color theme="1"/>
        <rFont val="Aptos Narrow"/>
        <family val="2"/>
        <scheme val="minor"/>
      </rPr>
      <t>Line Item Count</t>
    </r>
  </si>
  <si>
    <t>Accuracy</t>
  </si>
  <si>
    <t>Rachelle Christensen</t>
  </si>
  <si>
    <t>Rachelle</t>
  </si>
  <si>
    <t>RACHELLC</t>
  </si>
  <si>
    <t>RC</t>
  </si>
  <si>
    <t>Christensen, Rachelle</t>
  </si>
  <si>
    <t>Claims</t>
  </si>
  <si>
    <t>rachelle.christensen@nbsbenefits.com</t>
  </si>
  <si>
    <t>Supervisor Claims Team</t>
  </si>
  <si>
    <t>Rachelle.Christensen</t>
  </si>
  <si>
    <t>C2</t>
  </si>
  <si>
    <t>Accuracy Legend</t>
  </si>
  <si>
    <t>Liz Budd</t>
  </si>
  <si>
    <t>LIZ</t>
  </si>
  <si>
    <t>Budd, Liz</t>
  </si>
  <si>
    <t>lizb@nbsbenefits.com</t>
  </si>
  <si>
    <t>Lead Claims Team</t>
  </si>
  <si>
    <t>LizB</t>
  </si>
  <si>
    <t>C10</t>
  </si>
  <si>
    <t>0%-1.99%</t>
  </si>
  <si>
    <t>Perfection</t>
  </si>
  <si>
    <t>Nicole Fisher</t>
  </si>
  <si>
    <t>NICOLEF</t>
  </si>
  <si>
    <t>Fisher, Nicole</t>
  </si>
  <si>
    <t>nicolef@nbsbenefits.com</t>
  </si>
  <si>
    <t>Team Liz Member</t>
  </si>
  <si>
    <t>Nicolef</t>
  </si>
  <si>
    <t>C34</t>
  </si>
  <si>
    <t>2%-3.99%</t>
  </si>
  <si>
    <t>Acceptable</t>
  </si>
  <si>
    <t>Britnie Johnsen</t>
  </si>
  <si>
    <t>BRITNIEJ</t>
  </si>
  <si>
    <t>BJ</t>
  </si>
  <si>
    <t>Johnsen, Britnie</t>
  </si>
  <si>
    <t>britniej@nbsbenefits.com</t>
  </si>
  <si>
    <t>C42</t>
  </si>
  <si>
    <t>4%+</t>
  </si>
  <si>
    <t>Needs Improvement</t>
  </si>
  <si>
    <t>Cindy Mazariegos</t>
  </si>
  <si>
    <t>CINDYM</t>
  </si>
  <si>
    <t>CM</t>
  </si>
  <si>
    <t>Mazariegos, Cindy</t>
  </si>
  <si>
    <t>cmazariegos@nbsbenefits.com</t>
  </si>
  <si>
    <t>C106</t>
  </si>
  <si>
    <t>BloomCM</t>
  </si>
  <si>
    <t>Pull 1 Audit</t>
  </si>
  <si>
    <t>Diane Munson</t>
  </si>
  <si>
    <t>DIANEM</t>
  </si>
  <si>
    <t>Munson, Diane</t>
  </si>
  <si>
    <t>dianem@nbsbenefits.com</t>
  </si>
  <si>
    <t>C50</t>
  </si>
  <si>
    <t>Pull 15 Audits</t>
  </si>
  <si>
    <t>Emilee Pulsipher</t>
  </si>
  <si>
    <t>EMILEEP</t>
  </si>
  <si>
    <t>Pulsipher, Emilee</t>
  </si>
  <si>
    <t>emileep@nbsbenefits.com</t>
  </si>
  <si>
    <t>emileep</t>
  </si>
  <si>
    <t>C58</t>
  </si>
  <si>
    <t>Michelle Kruger</t>
  </si>
  <si>
    <t>MICHELLS</t>
  </si>
  <si>
    <t>Kruger, Michelle</t>
  </si>
  <si>
    <t>michellek@nbsbenefits.com</t>
  </si>
  <si>
    <t>MichelleK</t>
  </si>
  <si>
    <t>C66</t>
  </si>
  <si>
    <t>Kalista Christensen</t>
  </si>
  <si>
    <t>KALISTAC</t>
  </si>
  <si>
    <t>KC</t>
  </si>
  <si>
    <t>Christensen, Kalista</t>
  </si>
  <si>
    <t>kalistac@nbsbenefits.com</t>
  </si>
  <si>
    <t>Team Michelle Member</t>
  </si>
  <si>
    <t>C26</t>
  </si>
  <si>
    <t>Jolene Dedman</t>
  </si>
  <si>
    <t>JOLENED</t>
  </si>
  <si>
    <t>JD</t>
  </si>
  <si>
    <t>Dedman, Jolene</t>
  </si>
  <si>
    <t>jolened@nbsbenefits.com</t>
  </si>
  <si>
    <t>C74</t>
  </si>
  <si>
    <t>Kaylee Dedman</t>
  </si>
  <si>
    <t>KAYLEED</t>
  </si>
  <si>
    <t>Dedman, Kaylee</t>
  </si>
  <si>
    <t>kayleed@nbsbenefits.com</t>
  </si>
  <si>
    <t>KayleeD</t>
  </si>
  <si>
    <t>C82</t>
  </si>
  <si>
    <t>Charity Gough</t>
  </si>
  <si>
    <t>CHARITYG</t>
  </si>
  <si>
    <t>Gough, Charity</t>
  </si>
  <si>
    <t>charityg@nbsbenefits.com</t>
  </si>
  <si>
    <t>C90</t>
  </si>
  <si>
    <t>Emily Jackson</t>
  </si>
  <si>
    <t>EMILYJ</t>
  </si>
  <si>
    <t>Jackson, Emily</t>
  </si>
  <si>
    <t>emilyj@nbsbenefits.com</t>
  </si>
  <si>
    <t>EmilyJ</t>
  </si>
  <si>
    <t>C98</t>
  </si>
  <si>
    <t>Dallas Howell</t>
  </si>
  <si>
    <t>Howell</t>
  </si>
  <si>
    <t>DH</t>
  </si>
  <si>
    <t>Howell, Dallas</t>
  </si>
  <si>
    <t>COBRA</t>
  </si>
  <si>
    <t>DallasH@nbsbenefits.com</t>
  </si>
  <si>
    <t>Lead COBRA</t>
  </si>
  <si>
    <t>Taylor Miller</t>
  </si>
  <si>
    <t>Taylor</t>
  </si>
  <si>
    <t>Miller</t>
  </si>
  <si>
    <t>TM</t>
  </si>
  <si>
    <t>Miller, Taylor</t>
  </si>
  <si>
    <t>TaylorM@nbsbenefits.com</t>
  </si>
  <si>
    <t>Team COBRA</t>
  </si>
  <si>
    <t>Anastasia Maw</t>
  </si>
  <si>
    <t>Anastasia</t>
  </si>
  <si>
    <t>Maw</t>
  </si>
  <si>
    <t>AM</t>
  </si>
  <si>
    <t>Maw, Anastasia</t>
  </si>
  <si>
    <t>AnastasiaM@nbsbenefits.com</t>
  </si>
  <si>
    <t>Jaimey Tripp</t>
  </si>
  <si>
    <t>Jaimey</t>
  </si>
  <si>
    <t>Tripp</t>
  </si>
  <si>
    <t>JT</t>
  </si>
  <si>
    <t>Tripp, Jaimey</t>
  </si>
  <si>
    <t>JaimeyT@nbsbenefits.com</t>
  </si>
  <si>
    <t>Marissa Roberts</t>
  </si>
  <si>
    <t>Marissa</t>
  </si>
  <si>
    <t>Roberts</t>
  </si>
  <si>
    <t>MR</t>
  </si>
  <si>
    <t>Roberts, Marissa</t>
  </si>
  <si>
    <t>MarissaR@nbsbenefits.com</t>
  </si>
  <si>
    <t>Alex Martinez</t>
  </si>
  <si>
    <t>Martinez</t>
  </si>
  <si>
    <t>Martinez, Alex</t>
  </si>
  <si>
    <t>Service Center</t>
  </si>
  <si>
    <t>alexm@nbsbenefits.com</t>
  </si>
  <si>
    <t>Supervisor Service Center</t>
  </si>
  <si>
    <t>Chase Sexton</t>
  </si>
  <si>
    <t>Chase</t>
  </si>
  <si>
    <t>Sexton</t>
  </si>
  <si>
    <t>CS</t>
  </si>
  <si>
    <t>Sexton, Chase</t>
  </si>
  <si>
    <t>chases@nbsbenefits.com</t>
  </si>
  <si>
    <t>Trainer Service Center</t>
  </si>
  <si>
    <t>Deborah Tindall</t>
  </si>
  <si>
    <t>DT</t>
  </si>
  <si>
    <t>Tindall, Deborah</t>
  </si>
  <si>
    <t>debbiet@nbsbenefits.com</t>
  </si>
  <si>
    <t>Sandy Lung</t>
  </si>
  <si>
    <t>SL</t>
  </si>
  <si>
    <t>Lung, Sandy</t>
  </si>
  <si>
    <t>sandyl@nbsbenefits.com</t>
  </si>
  <si>
    <t>Lead SC Hawaii Specialist</t>
  </si>
  <si>
    <t>Ashley McClanahan</t>
  </si>
  <si>
    <t>Ashley</t>
  </si>
  <si>
    <t>McClanahan (Williams)</t>
  </si>
  <si>
    <t>McClanahan (Williams), Ashley</t>
  </si>
  <si>
    <t>ashleym@nbsbenefits.com</t>
  </si>
  <si>
    <t>Lead Service Center</t>
  </si>
  <si>
    <t>Chloe Connelly</t>
  </si>
  <si>
    <t>Chloe</t>
  </si>
  <si>
    <t>Connelly</t>
  </si>
  <si>
    <t>CC</t>
  </si>
  <si>
    <t>Connelly, Chloe</t>
  </si>
  <si>
    <t>cconnelly@nbsbenefits.com</t>
  </si>
  <si>
    <t>Team Ashley Member</t>
  </si>
  <si>
    <t>Julie Strong</t>
  </si>
  <si>
    <t>Julie</t>
  </si>
  <si>
    <t>Strong</t>
  </si>
  <si>
    <t>JS</t>
  </si>
  <si>
    <t>Strong, Julie</t>
  </si>
  <si>
    <t>julies@nbsbenefits.com</t>
  </si>
  <si>
    <t>Kayla Long</t>
  </si>
  <si>
    <t>Kayla</t>
  </si>
  <si>
    <t>KL</t>
  </si>
  <si>
    <t>Long, Kayla</t>
  </si>
  <si>
    <t>kaylal@nbsbenefits.com</t>
  </si>
  <si>
    <t>Nicole Madrid</t>
  </si>
  <si>
    <t>NM</t>
  </si>
  <si>
    <t>Madrid, Nicole</t>
  </si>
  <si>
    <t>nicolem@nbsbenefits.com</t>
  </si>
  <si>
    <t>Zachary Wehrmann</t>
  </si>
  <si>
    <t>ZW</t>
  </si>
  <si>
    <t>Wehrmann, Zachary</t>
  </si>
  <si>
    <t>zacharyw@nbsbenefits.com</t>
  </si>
  <si>
    <t>Erika Jeffries</t>
  </si>
  <si>
    <t>Erika</t>
  </si>
  <si>
    <t>Jeffries</t>
  </si>
  <si>
    <t>Jeffries, Erika</t>
  </si>
  <si>
    <t>erikaj@nbsbenefits.com</t>
  </si>
  <si>
    <t>Erika Supapo</t>
  </si>
  <si>
    <t>Supapo</t>
  </si>
  <si>
    <t>ES</t>
  </si>
  <si>
    <t>Supapo, Erika</t>
  </si>
  <si>
    <t>erikas@nbsbenefits.com</t>
  </si>
  <si>
    <t>Dawnyel Rush</t>
  </si>
  <si>
    <t>DR</t>
  </si>
  <si>
    <t>Rush, Dawnyel</t>
  </si>
  <si>
    <t>dawnyelr@nbsbenefits.com</t>
  </si>
  <si>
    <t>Team Erika Supapo Member</t>
  </si>
  <si>
    <t>Karen Holloway</t>
  </si>
  <si>
    <t>Holloway</t>
  </si>
  <si>
    <t>KH</t>
  </si>
  <si>
    <t>Holloway, Karen</t>
  </si>
  <si>
    <t>karen.holloway@nbsbenefits.com</t>
  </si>
  <si>
    <t>Randel Keepers</t>
  </si>
  <si>
    <t>RK</t>
  </si>
  <si>
    <t>Keepers, Randel</t>
  </si>
  <si>
    <t>randelk@nbsbenefits.com</t>
  </si>
  <si>
    <t>Paige Shumway</t>
  </si>
  <si>
    <t>Paige</t>
  </si>
  <si>
    <t>Shumway</t>
  </si>
  <si>
    <t>PS</t>
  </si>
  <si>
    <t>Shumway, Paige</t>
  </si>
  <si>
    <t>paiges@nbsbenefits.com</t>
  </si>
  <si>
    <t>Dakota Hamlin</t>
  </si>
  <si>
    <t>Hamlin, Dakota</t>
  </si>
  <si>
    <t>dakotah@nbsbenefits.com</t>
  </si>
  <si>
    <t>Team Paige Member</t>
  </si>
  <si>
    <t>Kathy Atwood</t>
  </si>
  <si>
    <t>Kathy</t>
  </si>
  <si>
    <t>Atwood</t>
  </si>
  <si>
    <t>KA</t>
  </si>
  <si>
    <t>Atwood, Kathy</t>
  </si>
  <si>
    <t>kathya@nbsbenefits.com</t>
  </si>
  <si>
    <t>Rachel Reichardt</t>
  </si>
  <si>
    <t>RR</t>
  </si>
  <si>
    <t>Reichardt, Rachel</t>
  </si>
  <si>
    <t>rachelr@nbsbenefits.com</t>
  </si>
  <si>
    <t>Andy Ragan</t>
  </si>
  <si>
    <t>Andy</t>
  </si>
  <si>
    <t>Ragan</t>
  </si>
  <si>
    <t>AR</t>
  </si>
  <si>
    <t>Ragan, Andy</t>
  </si>
  <si>
    <t>andyr@nbsbenefits.com</t>
  </si>
  <si>
    <t>Jennifer Jameson</t>
  </si>
  <si>
    <t>JJ</t>
  </si>
  <si>
    <t>Jameson, Jennifer</t>
  </si>
  <si>
    <t>jenniferj@nbsbenefits.com</t>
  </si>
  <si>
    <t>Team Andy Member</t>
  </si>
  <si>
    <t>Julia Wills</t>
  </si>
  <si>
    <t>Julia</t>
  </si>
  <si>
    <t>Wills</t>
  </si>
  <si>
    <t>JW</t>
  </si>
  <si>
    <t>Wills, Julia</t>
  </si>
  <si>
    <t>juliaw@nbsbenefits.com</t>
  </si>
  <si>
    <t>Stephanie Miklos</t>
  </si>
  <si>
    <t>Stephanie</t>
  </si>
  <si>
    <t>Miklos</t>
  </si>
  <si>
    <t>SM</t>
  </si>
  <si>
    <t>Miklos, Stephanie</t>
  </si>
  <si>
    <t>stephaniem@nbsbenefits.com</t>
  </si>
  <si>
    <t>Stephanie Shipp</t>
  </si>
  <si>
    <t>Shipp</t>
  </si>
  <si>
    <t>SS</t>
  </si>
  <si>
    <t>Shipp, Stephanie</t>
  </si>
  <si>
    <t>stephanies@nbsbenefits.com</t>
  </si>
  <si>
    <t>Team Stephanie Member</t>
  </si>
  <si>
    <t>Tais Bravo</t>
  </si>
  <si>
    <t>Tais</t>
  </si>
  <si>
    <t>Bravo</t>
  </si>
  <si>
    <t>TB</t>
  </si>
  <si>
    <t>Bravo, Tais</t>
  </si>
  <si>
    <t>taisb@nbsbenefits.com</t>
  </si>
  <si>
    <t>Tamara Graham</t>
  </si>
  <si>
    <t>Tamara</t>
  </si>
  <si>
    <t>Graham</t>
  </si>
  <si>
    <t>TG</t>
  </si>
  <si>
    <t>Graham, Tamara</t>
  </si>
  <si>
    <t>tamarag@nbsbenefits.com</t>
  </si>
  <si>
    <t>Taylor Kelley</t>
  </si>
  <si>
    <t>Kelley</t>
  </si>
  <si>
    <t>TK</t>
  </si>
  <si>
    <t>Kelley, Taylor</t>
  </si>
  <si>
    <t>KTKelley@nbsbenefits.com</t>
  </si>
  <si>
    <t>Totals</t>
  </si>
  <si>
    <t>Cera</t>
  </si>
  <si>
    <t>JACQUELINE</t>
  </si>
  <si>
    <t>DESA-SHISHIDO</t>
  </si>
  <si>
    <t>DANELLE</t>
  </si>
  <si>
    <t>CHENG</t>
  </si>
  <si>
    <t>03/20/2024</t>
  </si>
  <si>
    <t>JILL</t>
  </si>
  <si>
    <t>HISATAKE</t>
  </si>
  <si>
    <t>AlohaCare - ProService</t>
  </si>
  <si>
    <t>MADELINE</t>
  </si>
  <si>
    <t>KANESHIRO</t>
  </si>
  <si>
    <t>KAYLEEN</t>
  </si>
  <si>
    <t>AKANA</t>
  </si>
  <si>
    <t>07/22/2024</t>
  </si>
  <si>
    <t>Mavis</t>
  </si>
  <si>
    <t>Nitta</t>
  </si>
  <si>
    <t>07/25/2024</t>
  </si>
  <si>
    <t>JODI</t>
  </si>
  <si>
    <t>YI</t>
  </si>
  <si>
    <t>Hutto Independent School District</t>
  </si>
  <si>
    <t>JASMINE</t>
  </si>
  <si>
    <t>MACK</t>
  </si>
  <si>
    <t>09/29/2024</t>
  </si>
  <si>
    <t>Highland Park ISD</t>
  </si>
  <si>
    <t>RIKKI</t>
  </si>
  <si>
    <t>FARQUER</t>
  </si>
  <si>
    <t>Krum ISD</t>
  </si>
  <si>
    <t>Reina</t>
  </si>
  <si>
    <t>Johnson</t>
  </si>
  <si>
    <t>Latexo ISD</t>
  </si>
  <si>
    <t>Wassberg</t>
  </si>
  <si>
    <t>LPF</t>
  </si>
  <si>
    <t>Rodolfo</t>
  </si>
  <si>
    <t>Reyes</t>
  </si>
  <si>
    <t>10/07/2024</t>
  </si>
  <si>
    <t xml:space="preserve">Claim denied and nothing was done to fix  Also part of amount claimed was for protection plan and is ineligible.  Please go reprocess and approve what can be approved. </t>
  </si>
  <si>
    <t>Tonya</t>
  </si>
  <si>
    <t>Reeder</t>
  </si>
  <si>
    <t>International Leadership of Texas</t>
  </si>
  <si>
    <t>Sims</t>
  </si>
  <si>
    <t>10/06/2024</t>
  </si>
  <si>
    <t>VALORY</t>
  </si>
  <si>
    <t>ABBOUD</t>
  </si>
  <si>
    <t xml:space="preserve">Claim denied but no notes were added.  Please go add notes. </t>
  </si>
  <si>
    <t>Burnet CISD</t>
  </si>
  <si>
    <t>Casey</t>
  </si>
  <si>
    <t>BURKHART</t>
  </si>
  <si>
    <t xml:space="preserve">Documents provided show DOS were in 2023.  Claim was approved for dates in 2024.  Please go reverse the 2024 dates.  And reprocess but only 9/1/23-12/31/23 can be approved. </t>
  </si>
  <si>
    <t>McKinney Independent School District</t>
  </si>
  <si>
    <t>CLAIRE</t>
  </si>
  <si>
    <t>BARNHARD</t>
  </si>
  <si>
    <t>Lovejoy Independent School District</t>
  </si>
  <si>
    <t>Fernando</t>
  </si>
  <si>
    <t>Ocampo</t>
  </si>
  <si>
    <t>Allison</t>
  </si>
  <si>
    <t>Raskie</t>
  </si>
  <si>
    <t>10/04/2024</t>
  </si>
  <si>
    <t>Statements that say Psychotherapy don't need a doctors note   We can not ask for a diagnosis just for them to say it is medically necessary.</t>
  </si>
  <si>
    <t>09/06/2024</t>
  </si>
  <si>
    <t>LAVINIA</t>
  </si>
  <si>
    <t>CALLAHAN</t>
  </si>
  <si>
    <t>MasterControl, Inc.</t>
  </si>
  <si>
    <t>Christy</t>
  </si>
  <si>
    <t>Ure</t>
  </si>
  <si>
    <t>Yang</t>
  </si>
  <si>
    <t>10/09/2024</t>
  </si>
  <si>
    <t>D-Wave Commercial Inc.</t>
  </si>
  <si>
    <t>Gavin</t>
  </si>
  <si>
    <t>Kennedy</t>
  </si>
  <si>
    <t>CHRISTIE</t>
  </si>
  <si>
    <t>SCRIVENER</t>
  </si>
  <si>
    <t>Danielle</t>
  </si>
  <si>
    <t>South</t>
  </si>
  <si>
    <t>Rabobank</t>
  </si>
  <si>
    <t>PETER</t>
  </si>
  <si>
    <t>TEHOLIZ</t>
  </si>
  <si>
    <t>East Brunswick Public Schools</t>
  </si>
  <si>
    <t>Mackey</t>
  </si>
  <si>
    <t>ALEXANDER</t>
  </si>
  <si>
    <t>SUNDBERG</t>
  </si>
  <si>
    <t>MONICA</t>
  </si>
  <si>
    <t>ESQUIVEL</t>
  </si>
  <si>
    <t>MALGORZATA</t>
  </si>
  <si>
    <t>KREPPS</t>
  </si>
  <si>
    <t>Utah Transit Authority</t>
  </si>
  <si>
    <t>Louis</t>
  </si>
  <si>
    <t>Grether</t>
  </si>
  <si>
    <t>Ingleside Independent School District</t>
  </si>
  <si>
    <t>TAWANA</t>
  </si>
  <si>
    <t>ALEMAN</t>
  </si>
  <si>
    <t>06/19/2024</t>
  </si>
  <si>
    <t>Merit Medical Systems, Inc.</t>
  </si>
  <si>
    <t>Micky</t>
  </si>
  <si>
    <t>Ho</t>
  </si>
  <si>
    <t>SCC should have been RX. I noted the claim for you :)</t>
  </si>
  <si>
    <t>Hudson ISD</t>
  </si>
  <si>
    <t>Randy</t>
  </si>
  <si>
    <t>Jacksonville Isd</t>
  </si>
  <si>
    <t>OCKER</t>
  </si>
  <si>
    <t xml:space="preserve">Cole Co. R-1 School District </t>
  </si>
  <si>
    <t>Kayleigh</t>
  </si>
  <si>
    <t>Campbell</t>
  </si>
  <si>
    <t>High</t>
  </si>
  <si>
    <t>Powdr Corporation</t>
  </si>
  <si>
    <t>Tyler</t>
  </si>
  <si>
    <t>Monzie</t>
  </si>
  <si>
    <t>10/05/2024</t>
  </si>
  <si>
    <t>City of Ketchum</t>
  </si>
  <si>
    <t>Kearney</t>
  </si>
  <si>
    <t>Carrollton-farmers Branch Independent School Distr</t>
  </si>
  <si>
    <t>Meghan</t>
  </si>
  <si>
    <t>Shoemaker</t>
  </si>
  <si>
    <t xml:space="preserve">Kamehameha Schools </t>
  </si>
  <si>
    <t>Tracy</t>
  </si>
  <si>
    <t>Razo</t>
  </si>
  <si>
    <t>10/08/2024</t>
  </si>
  <si>
    <t>Plumbing Distributors Inc.</t>
  </si>
  <si>
    <t>Rivera</t>
  </si>
  <si>
    <t xml:space="preserve">Per the plan we can only reimburse medical deductible, co insurance and copays. The EOB shows this is a non payable expense. We will need to collect funds back. </t>
  </si>
  <si>
    <t>Making Waves Foundation, Inc.</t>
  </si>
  <si>
    <t>Virgilio</t>
  </si>
  <si>
    <t>Mendoza</t>
  </si>
  <si>
    <t>Southwest Turbine, Inc</t>
  </si>
  <si>
    <t>Logan</t>
  </si>
  <si>
    <t>HR2</t>
  </si>
  <si>
    <t>Mercedes-Benz Of Pleasanton</t>
  </si>
  <si>
    <t>Sanchez</t>
  </si>
  <si>
    <t>Maria</t>
  </si>
  <si>
    <t>Gallardo</t>
  </si>
  <si>
    <t>Thong</t>
  </si>
  <si>
    <t>Nguyen</t>
  </si>
  <si>
    <t>10/10/2024</t>
  </si>
  <si>
    <t>Derek</t>
  </si>
  <si>
    <t>Kubo</t>
  </si>
  <si>
    <t>09/11/2024</t>
  </si>
  <si>
    <t>Seltzer Caplan Mcmahon Vitek</t>
  </si>
  <si>
    <t>Kelly</t>
  </si>
  <si>
    <t>Besachio</t>
  </si>
  <si>
    <t>HMSA Hawaii Medical Service Association</t>
  </si>
  <si>
    <t>Anela</t>
  </si>
  <si>
    <t>Pau-Oshiro</t>
  </si>
  <si>
    <t>Bradley</t>
  </si>
  <si>
    <t>Tara</t>
  </si>
  <si>
    <t>Wood</t>
  </si>
  <si>
    <t>Arlington Independent School District</t>
  </si>
  <si>
    <t>Amanda</t>
  </si>
  <si>
    <t>Molina</t>
  </si>
  <si>
    <t>Victoria</t>
  </si>
  <si>
    <t>Loudermilk</t>
  </si>
  <si>
    <t>Life School of Dallas</t>
  </si>
  <si>
    <t>Angela</t>
  </si>
  <si>
    <t>Posadas</t>
  </si>
  <si>
    <t>FB2</t>
  </si>
  <si>
    <t xml:space="preserve">Salt Lake City School District </t>
  </si>
  <si>
    <t>SILVIA</t>
  </si>
  <si>
    <t>AHUMADA</t>
  </si>
  <si>
    <t>CHIHIRO</t>
  </si>
  <si>
    <t>KLEINHANS</t>
  </si>
  <si>
    <t>Tina</t>
  </si>
  <si>
    <t>Ngo Bartel</t>
  </si>
  <si>
    <t>Pet Food Express LLC</t>
  </si>
  <si>
    <t>Jessica</t>
  </si>
  <si>
    <t>Dolimont</t>
  </si>
  <si>
    <t>02/26/2024</t>
  </si>
  <si>
    <t>05/06/2024</t>
  </si>
  <si>
    <t>05/09/2024</t>
  </si>
  <si>
    <t>06/03/2024</t>
  </si>
  <si>
    <t>02/29/2024</t>
  </si>
  <si>
    <t>02/12/2024</t>
  </si>
  <si>
    <t>04/25/2024</t>
  </si>
  <si>
    <t>04/11/2024</t>
  </si>
  <si>
    <t>03/27/2024</t>
  </si>
  <si>
    <t>04/22/2024</t>
  </si>
  <si>
    <t>06/06/2024</t>
  </si>
  <si>
    <t>Rubio</t>
  </si>
  <si>
    <t>Davis School District</t>
  </si>
  <si>
    <t>Kate</t>
  </si>
  <si>
    <t>Paulsen</t>
  </si>
  <si>
    <t>DANE</t>
  </si>
  <si>
    <t>LEIFSON</t>
  </si>
  <si>
    <t>EMILY</t>
  </si>
  <si>
    <t>WRIDE</t>
  </si>
  <si>
    <t>ERIN</t>
  </si>
  <si>
    <t>HALBASCH</t>
  </si>
  <si>
    <t>Jemay</t>
  </si>
  <si>
    <t>Marden</t>
  </si>
  <si>
    <t>JESSICA</t>
  </si>
  <si>
    <t>NAYLOR</t>
  </si>
  <si>
    <t>MARCI</t>
  </si>
  <si>
    <t>PORTER</t>
  </si>
  <si>
    <t>Thayer</t>
  </si>
  <si>
    <t>Heath</t>
  </si>
  <si>
    <t>Fazio</t>
  </si>
  <si>
    <t>10/13/2024</t>
  </si>
  <si>
    <t>Michele</t>
  </si>
  <si>
    <t>Stewart</t>
  </si>
  <si>
    <t>Suisan Company Ltd</t>
  </si>
  <si>
    <t>Wesley</t>
  </si>
  <si>
    <t>Wakimoto</t>
  </si>
  <si>
    <t>10/04/2023</t>
  </si>
  <si>
    <t>Sean</t>
  </si>
  <si>
    <t>06/21/2024</t>
  </si>
  <si>
    <t>05/26/2024</t>
  </si>
  <si>
    <t>08/24/2024</t>
  </si>
  <si>
    <t>Athens Housing Authority</t>
  </si>
  <si>
    <t>Geraldine</t>
  </si>
  <si>
    <t>Clarke</t>
  </si>
  <si>
    <t>07/12/2024</t>
  </si>
  <si>
    <t>08/30/2024</t>
  </si>
  <si>
    <t>Anesthesia Care Associate Medical Group, Inc.</t>
  </si>
  <si>
    <t>Joshua</t>
  </si>
  <si>
    <t>Cohen</t>
  </si>
  <si>
    <t>Iris</t>
  </si>
  <si>
    <t>Paul</t>
  </si>
  <si>
    <t>05/20/2024</t>
  </si>
  <si>
    <t>Villages of Kapolei</t>
  </si>
  <si>
    <t>Brickley</t>
  </si>
  <si>
    <t>Natisha</t>
  </si>
  <si>
    <t>Murphy</t>
  </si>
  <si>
    <t>Sullivan</t>
  </si>
  <si>
    <t>Wylie ISD</t>
  </si>
  <si>
    <t>Ottman</t>
  </si>
  <si>
    <t>09/03/2023</t>
  </si>
  <si>
    <t>Loux</t>
  </si>
  <si>
    <t>N&amp;K CPAs, LLC - ProService</t>
  </si>
  <si>
    <t>Chieri</t>
  </si>
  <si>
    <t>Kawahara</t>
  </si>
  <si>
    <t>ESC Region 11</t>
  </si>
  <si>
    <t>ADRIANA</t>
  </si>
  <si>
    <t>BANKS</t>
  </si>
  <si>
    <t>ELIZABETH</t>
  </si>
  <si>
    <t>LEOPOLD</t>
  </si>
  <si>
    <t>Fulbright</t>
  </si>
  <si>
    <t>Dreamhost LLC</t>
  </si>
  <si>
    <t>JENNIFER</t>
  </si>
  <si>
    <t>KAY</t>
  </si>
  <si>
    <t>Pinion</t>
  </si>
  <si>
    <t>Kerry</t>
  </si>
  <si>
    <t>Hatzenbuehler</t>
  </si>
  <si>
    <t>This plan allows upfront orthodontia. Please review</t>
  </si>
  <si>
    <t>Fitzgarrald</t>
  </si>
  <si>
    <t>02/28/2024</t>
  </si>
  <si>
    <t>Park City Municipal Corporation</t>
  </si>
  <si>
    <t>Colby</t>
  </si>
  <si>
    <t>Anderson</t>
  </si>
  <si>
    <t>09/23/2022</t>
  </si>
  <si>
    <t>Rex</t>
  </si>
  <si>
    <t>02/01/2024</t>
  </si>
  <si>
    <t>Emerald</t>
  </si>
  <si>
    <t>Le</t>
  </si>
  <si>
    <t>Extra Space Management, Inc</t>
  </si>
  <si>
    <t>Shrutee</t>
  </si>
  <si>
    <t>Shrestha</t>
  </si>
  <si>
    <t>06/01/2024</t>
  </si>
  <si>
    <t>Jo</t>
  </si>
  <si>
    <t>Madden</t>
  </si>
  <si>
    <t>Singlepoint Outsourcing</t>
  </si>
  <si>
    <t>CORDELIA</t>
  </si>
  <si>
    <t>MORRIS</t>
  </si>
  <si>
    <t>03/10/2024</t>
  </si>
  <si>
    <t>02/25/2024</t>
  </si>
  <si>
    <t>07/07/2024</t>
  </si>
  <si>
    <t>06/07/2024</t>
  </si>
  <si>
    <t>07/10/2024</t>
  </si>
  <si>
    <t>01/15/2024</t>
  </si>
  <si>
    <t>04/09/2024</t>
  </si>
  <si>
    <t>07/06/2024</t>
  </si>
  <si>
    <t>Oceanit Lab Inc</t>
  </si>
  <si>
    <t>Yvette</t>
  </si>
  <si>
    <t>Gibson</t>
  </si>
  <si>
    <t>Leander ISD</t>
  </si>
  <si>
    <t>LILES</t>
  </si>
  <si>
    <t>JAMI</t>
  </si>
  <si>
    <t>BOSLOW</t>
  </si>
  <si>
    <t>10/16/2024</t>
  </si>
  <si>
    <t>Comal ISD</t>
  </si>
  <si>
    <t>BEHRENS</t>
  </si>
  <si>
    <t>Los Fresnos CISD</t>
  </si>
  <si>
    <t>VANESSA</t>
  </si>
  <si>
    <t>CASTILLO</t>
  </si>
  <si>
    <t>10/14/2024</t>
  </si>
  <si>
    <t>IAN</t>
  </si>
  <si>
    <t>OBRIEN</t>
  </si>
  <si>
    <t>David</t>
  </si>
  <si>
    <t>Page</t>
  </si>
  <si>
    <t>DOS was 10/11/2024</t>
  </si>
  <si>
    <t>Grand Prairie Independent School District</t>
  </si>
  <si>
    <t>Claire</t>
  </si>
  <si>
    <t>Skierski</t>
  </si>
  <si>
    <t>North East ISD</t>
  </si>
  <si>
    <t>Elena</t>
  </si>
  <si>
    <t>Sandoval</t>
  </si>
  <si>
    <t>Midland Independent School District</t>
  </si>
  <si>
    <t>TISDALE</t>
  </si>
  <si>
    <t>10/11/2024</t>
  </si>
  <si>
    <t>Kellyn</t>
  </si>
  <si>
    <t>Tolly</t>
  </si>
  <si>
    <t>Sears</t>
  </si>
  <si>
    <t>Tierney</t>
  </si>
  <si>
    <t>Morikawa Rostron</t>
  </si>
  <si>
    <t>08/09/2024</t>
  </si>
  <si>
    <t>WHITNI</t>
  </si>
  <si>
    <t>GARCIA</t>
  </si>
  <si>
    <t>BERNARD</t>
  </si>
  <si>
    <t>BETHANY</t>
  </si>
  <si>
    <t>ORTIZ</t>
  </si>
  <si>
    <t>GANNA</t>
  </si>
  <si>
    <t>BARYSHOK</t>
  </si>
  <si>
    <t>10/15/2024</t>
  </si>
  <si>
    <t>Stacey</t>
  </si>
  <si>
    <t>Djou</t>
  </si>
  <si>
    <t>02/06/2024</t>
  </si>
  <si>
    <t>Adam</t>
  </si>
  <si>
    <t>Kam</t>
  </si>
  <si>
    <t>West Yost &amp; Associates</t>
  </si>
  <si>
    <t>Gruenbaum</t>
  </si>
  <si>
    <t>03/04/2024</t>
  </si>
  <si>
    <t>Bryce</t>
  </si>
  <si>
    <t>Hollandsworth</t>
  </si>
  <si>
    <t>Mark</t>
  </si>
  <si>
    <t>Fernandes</t>
  </si>
  <si>
    <t>Bpc Ny Holding Inc.</t>
  </si>
  <si>
    <t>Gerald</t>
  </si>
  <si>
    <t>Mccorkle</t>
  </si>
  <si>
    <t>Fitzgerald</t>
  </si>
  <si>
    <t>Frank</t>
  </si>
  <si>
    <t>Spasaro</t>
  </si>
  <si>
    <t>James</t>
  </si>
  <si>
    <t>Dodson</t>
  </si>
  <si>
    <t>Metz</t>
  </si>
  <si>
    <t>Richard</t>
  </si>
  <si>
    <t>Schoenfeld</t>
  </si>
  <si>
    <t>White</t>
  </si>
  <si>
    <t>Kevin</t>
  </si>
  <si>
    <t>LGAA, LLC</t>
  </si>
  <si>
    <t>Undertone (Intercept Interactive)</t>
  </si>
  <si>
    <t>Robbie</t>
  </si>
  <si>
    <t>Grubbs</t>
  </si>
  <si>
    <t>M.T. Trash Cans Cleaning, Inc</t>
  </si>
  <si>
    <t>Chris</t>
  </si>
  <si>
    <t>McDonald</t>
  </si>
  <si>
    <t>Doug</t>
  </si>
  <si>
    <t>Moore</t>
  </si>
  <si>
    <t>National Ability Center</t>
  </si>
  <si>
    <t>Grant</t>
  </si>
  <si>
    <t>Dixon</t>
  </si>
  <si>
    <t>10/17/2024</t>
  </si>
  <si>
    <t>K2 The Church</t>
  </si>
  <si>
    <t>Nelson</t>
  </si>
  <si>
    <t>04/24/2024</t>
  </si>
  <si>
    <t>04/10/2024</t>
  </si>
  <si>
    <t xml:space="preserve">SHC Services, Inc. </t>
  </si>
  <si>
    <t>DANIELLE</t>
  </si>
  <si>
    <t>WALTERS</t>
  </si>
  <si>
    <t>Sharon S Richardson Community Hospice</t>
  </si>
  <si>
    <t>Cinealis</t>
  </si>
  <si>
    <t>MURAMOTO</t>
  </si>
  <si>
    <t>KRISTIN</t>
  </si>
  <si>
    <t>MOMOHARA</t>
  </si>
  <si>
    <t>Albert C. Kobayashi Inc.</t>
  </si>
  <si>
    <t>Cecilia</t>
  </si>
  <si>
    <t>Cachuela</t>
  </si>
  <si>
    <t xml:space="preserve">Claim form and statements are not attached. </t>
  </si>
  <si>
    <t>01/16/2024</t>
  </si>
  <si>
    <t>02/27/2024</t>
  </si>
  <si>
    <t>05/03/2024</t>
  </si>
  <si>
    <t>Melissa</t>
  </si>
  <si>
    <t>Akiona</t>
  </si>
  <si>
    <t>DigiCert, Inc.</t>
  </si>
  <si>
    <t>Bryan</t>
  </si>
  <si>
    <t>Hughes</t>
  </si>
  <si>
    <t>KIMBERLY</t>
  </si>
  <si>
    <t>STAMOLIS</t>
  </si>
  <si>
    <t>04/23/2024</t>
  </si>
  <si>
    <t>Alegeus</t>
  </si>
  <si>
    <t>Winston</t>
  </si>
  <si>
    <t>Boerne Independent School District</t>
  </si>
  <si>
    <t>Kipp</t>
  </si>
  <si>
    <t>KALEB</t>
  </si>
  <si>
    <t>SECOR</t>
  </si>
  <si>
    <t>KRISTA</t>
  </si>
  <si>
    <t>HEHEMANN</t>
  </si>
  <si>
    <t>Jeffrey</t>
  </si>
  <si>
    <t>Cockrum</t>
  </si>
  <si>
    <t>MCCALLEN</t>
  </si>
  <si>
    <t>ASHLEY</t>
  </si>
  <si>
    <t>DOWNS</t>
  </si>
  <si>
    <t>05/24/2024</t>
  </si>
  <si>
    <t>Teton County</t>
  </si>
  <si>
    <t>Berry</t>
  </si>
  <si>
    <t>06/25/2024</t>
  </si>
  <si>
    <t>EMILEE</t>
  </si>
  <si>
    <t>GOFF</t>
  </si>
  <si>
    <t>Perry</t>
  </si>
  <si>
    <t>Lee</t>
  </si>
  <si>
    <t>Marin</t>
  </si>
  <si>
    <t>Meleah</t>
  </si>
  <si>
    <t>Jones</t>
  </si>
  <si>
    <t>Park City School District</t>
  </si>
  <si>
    <t>MELISSA</t>
  </si>
  <si>
    <t>PERRY</t>
  </si>
  <si>
    <t>08/12/2024</t>
  </si>
  <si>
    <t>Patague</t>
  </si>
  <si>
    <t>Yamasaki</t>
  </si>
  <si>
    <t>Tri</t>
  </si>
  <si>
    <t>Tang</t>
  </si>
  <si>
    <t>Kylee</t>
  </si>
  <si>
    <t>Ngo</t>
  </si>
  <si>
    <t>Cetecom, Inc</t>
  </si>
  <si>
    <t>Dat</t>
  </si>
  <si>
    <t>Hoang</t>
  </si>
  <si>
    <t>Dripping Springs ISD</t>
  </si>
  <si>
    <t>PEREZ</t>
  </si>
  <si>
    <t>DTR</t>
  </si>
  <si>
    <t>Exevision, Inc.</t>
  </si>
  <si>
    <t>Lunt</t>
  </si>
  <si>
    <t>03/29/2024</t>
  </si>
  <si>
    <t>01/02/2024</t>
  </si>
  <si>
    <t>04/12/2024</t>
  </si>
  <si>
    <t>J</t>
  </si>
  <si>
    <t>Patton</t>
  </si>
  <si>
    <t>08/16/2024</t>
  </si>
  <si>
    <t>Davilynne</t>
  </si>
  <si>
    <t>Jandoc</t>
  </si>
  <si>
    <t>02/04/2024</t>
  </si>
  <si>
    <t>04/27/2024</t>
  </si>
  <si>
    <t>Bryson</t>
  </si>
  <si>
    <t>Hawaii Pacific University</t>
  </si>
  <si>
    <t>Sakakibara</t>
  </si>
  <si>
    <t>Youn</t>
  </si>
  <si>
    <t>Danit</t>
  </si>
  <si>
    <t>Goldgrab</t>
  </si>
  <si>
    <t>08/18/2024</t>
  </si>
  <si>
    <t>Fair Lawn Board of Education</t>
  </si>
  <si>
    <t>Jenette</t>
  </si>
  <si>
    <t>Tavaglione</t>
  </si>
  <si>
    <t>Donald</t>
  </si>
  <si>
    <t>Hart</t>
  </si>
  <si>
    <t>06/22/2024</t>
  </si>
  <si>
    <t>BRENT</t>
  </si>
  <si>
    <t>Brady Companies LLC</t>
  </si>
  <si>
    <t>Andrew</t>
  </si>
  <si>
    <t>Flores</t>
  </si>
  <si>
    <t>Winona Independent School District</t>
  </si>
  <si>
    <t>Justin</t>
  </si>
  <si>
    <t>Ketner</t>
  </si>
  <si>
    <t>Community Hospital Of The Monterey Penin</t>
  </si>
  <si>
    <t>Anne</t>
  </si>
  <si>
    <t>Skinlo</t>
  </si>
  <si>
    <t>06/26/2024</t>
  </si>
  <si>
    <t>McClanahan</t>
  </si>
  <si>
    <t>McClanahan, Ashley</t>
  </si>
  <si>
    <t>SANDRA</t>
  </si>
  <si>
    <t>CHING</t>
  </si>
  <si>
    <t>09/08/2024</t>
  </si>
  <si>
    <t>Katrina</t>
  </si>
  <si>
    <t>Chong Tercero</t>
  </si>
  <si>
    <t>CHRIS</t>
  </si>
  <si>
    <t>YOSHINA</t>
  </si>
  <si>
    <t>Kalihi-Palama Health Center-ProService</t>
  </si>
  <si>
    <t>RUMIKO</t>
  </si>
  <si>
    <t>MAEKAWA</t>
  </si>
  <si>
    <t>10/19/2024</t>
  </si>
  <si>
    <t>JARRETT</t>
  </si>
  <si>
    <t>HONJIYO</t>
  </si>
  <si>
    <t>10/20/2024</t>
  </si>
  <si>
    <t>Delis</t>
  </si>
  <si>
    <t>Estabilio JR</t>
  </si>
  <si>
    <t>Charis</t>
  </si>
  <si>
    <t>Okano</t>
  </si>
  <si>
    <t>Lisa</t>
  </si>
  <si>
    <t>Forester</t>
  </si>
  <si>
    <t>07/20/2024</t>
  </si>
  <si>
    <t>Jean</t>
  </si>
  <si>
    <t>Larson</t>
  </si>
  <si>
    <t>Loren</t>
  </si>
  <si>
    <t>Litton</t>
  </si>
  <si>
    <t>Forrest</t>
  </si>
  <si>
    <t>Lloyd</t>
  </si>
  <si>
    <t>CTA Community Supports</t>
  </si>
  <si>
    <t>Sarah</t>
  </si>
  <si>
    <t>Mettenet</t>
  </si>
  <si>
    <t>Cache County School District</t>
  </si>
  <si>
    <t>TYLER</t>
  </si>
  <si>
    <t>CHECKETTS</t>
  </si>
  <si>
    <t>Ruzanna</t>
  </si>
  <si>
    <t>Musser</t>
  </si>
  <si>
    <t>Frenship Isd</t>
  </si>
  <si>
    <t>Libre</t>
  </si>
  <si>
    <t>New Braunfels ISD</t>
  </si>
  <si>
    <t>SUSAN</t>
  </si>
  <si>
    <t>LEWIS</t>
  </si>
  <si>
    <t>CHANCY</t>
  </si>
  <si>
    <t>SMITH</t>
  </si>
  <si>
    <t>10/21/2024</t>
  </si>
  <si>
    <t>Deana</t>
  </si>
  <si>
    <t>Lewis</t>
  </si>
  <si>
    <t>MATTHEW</t>
  </si>
  <si>
    <t>MURDOCK</t>
  </si>
  <si>
    <t>Canton Independent School District</t>
  </si>
  <si>
    <t>DAWN</t>
  </si>
  <si>
    <t>LOFTIN</t>
  </si>
  <si>
    <t>10/24/2024</t>
  </si>
  <si>
    <t>CHRISTOPHER</t>
  </si>
  <si>
    <t>HOLCOMB</t>
  </si>
  <si>
    <t>10/18/2024</t>
  </si>
  <si>
    <t>JAVIER</t>
  </si>
  <si>
    <t>ALMANZA</t>
  </si>
  <si>
    <t xml:space="preserve">Amount paid was only for one week.  Also amounts can not go over plan years so dates of service should have been changed.  </t>
  </si>
  <si>
    <t>Teague ISD</t>
  </si>
  <si>
    <t>CRYSTAL</t>
  </si>
  <si>
    <t>ADAMS</t>
  </si>
  <si>
    <t>SHAWNA</t>
  </si>
  <si>
    <t>WERTS</t>
  </si>
  <si>
    <t>Pecos-Barstow-Toyah Independent School District</t>
  </si>
  <si>
    <t>Consuelo</t>
  </si>
  <si>
    <t>Jeremi</t>
  </si>
  <si>
    <t>Niehoff</t>
  </si>
  <si>
    <t>02/19/2024</t>
  </si>
  <si>
    <t>Munday CISD</t>
  </si>
  <si>
    <t>BRANDON</t>
  </si>
  <si>
    <t>LANGSTON</t>
  </si>
  <si>
    <t xml:space="preserve">DOS was 3/1/24-8/31/24 make sure you get all dates included. </t>
  </si>
  <si>
    <t>Tori Richard LTD</t>
  </si>
  <si>
    <t>Syrivanh</t>
  </si>
  <si>
    <t>Ross</t>
  </si>
  <si>
    <t>S&amp;S CISD</t>
  </si>
  <si>
    <t>MICHELLE</t>
  </si>
  <si>
    <t>SAYE</t>
  </si>
  <si>
    <t>Region 1  ESC</t>
  </si>
  <si>
    <t>CHRISTINA</t>
  </si>
  <si>
    <t>MEDRANO</t>
  </si>
  <si>
    <t>Goode</t>
  </si>
  <si>
    <t>Bremond Ind Sd</t>
  </si>
  <si>
    <t>Kenneth</t>
  </si>
  <si>
    <t>GROHOLSKI</t>
  </si>
  <si>
    <t>10/12/2024</t>
  </si>
  <si>
    <t>Brooks County Independent School District</t>
  </si>
  <si>
    <t>Joann</t>
  </si>
  <si>
    <t>Guerra</t>
  </si>
  <si>
    <t>10/22/2024</t>
  </si>
  <si>
    <t>Susan</t>
  </si>
  <si>
    <t>09/01/2023</t>
  </si>
  <si>
    <t>United Independent School District</t>
  </si>
  <si>
    <t>PRISCILLA</t>
  </si>
  <si>
    <t>REYNA</t>
  </si>
  <si>
    <t>Whitehouse Independent School District</t>
  </si>
  <si>
    <t>Rebecca</t>
  </si>
  <si>
    <t>Machost</t>
  </si>
  <si>
    <t>West Sabine Independent School District</t>
  </si>
  <si>
    <t>Lane</t>
  </si>
  <si>
    <t>Read</t>
  </si>
  <si>
    <t>Danbury ISD</t>
  </si>
  <si>
    <t>DIAMA</t>
  </si>
  <si>
    <t>CONN</t>
  </si>
  <si>
    <t>Colmesneil Independent School District</t>
  </si>
  <si>
    <t>Jimmy</t>
  </si>
  <si>
    <t>Baker</t>
  </si>
  <si>
    <t>HX2</t>
  </si>
  <si>
    <t>Jefferson Joint School District #251</t>
  </si>
  <si>
    <t>April</t>
  </si>
  <si>
    <t>Parker</t>
  </si>
  <si>
    <t>ANDREWS</t>
  </si>
  <si>
    <t>Susana</t>
  </si>
  <si>
    <t>Womble</t>
  </si>
  <si>
    <t>EUNICE</t>
  </si>
  <si>
    <t>BREKKE</t>
  </si>
  <si>
    <t>Everett Graphics, Inc.</t>
  </si>
  <si>
    <t>Schikora</t>
  </si>
  <si>
    <t>Ortho Development Corporation</t>
  </si>
  <si>
    <t>Edmunds</t>
  </si>
  <si>
    <t>07/29/2024</t>
  </si>
  <si>
    <t>Hilda</t>
  </si>
  <si>
    <t>Gomez-Zinn</t>
  </si>
  <si>
    <t>Alton</t>
  </si>
  <si>
    <t>Hill</t>
  </si>
  <si>
    <t>KAYLA</t>
  </si>
  <si>
    <t>LUNA</t>
  </si>
  <si>
    <t>Amparano</t>
  </si>
  <si>
    <t>Jocelyn</t>
  </si>
  <si>
    <t>Dolor</t>
  </si>
  <si>
    <t>01/17/2024</t>
  </si>
  <si>
    <t>Backstage Library Works</t>
  </si>
  <si>
    <t>Terry</t>
  </si>
  <si>
    <t>Coffman</t>
  </si>
  <si>
    <t>05/18/2024</t>
  </si>
  <si>
    <t>02/20/2024</t>
  </si>
  <si>
    <t>Pacific Group Resorts, Inc.</t>
  </si>
  <si>
    <t>Austin</t>
  </si>
  <si>
    <t>Bolyard</t>
  </si>
  <si>
    <t>Alba</t>
  </si>
  <si>
    <t>Furrer</t>
  </si>
  <si>
    <t>Zewdnesh</t>
  </si>
  <si>
    <t>Sahlu</t>
  </si>
  <si>
    <t>03/07/2024</t>
  </si>
  <si>
    <t>Teton Valley Health Care, Inc.</t>
  </si>
  <si>
    <t>Luke</t>
  </si>
  <si>
    <t>KATHERINE</t>
  </si>
  <si>
    <t>WINKEL</t>
  </si>
  <si>
    <t>WADE</t>
  </si>
  <si>
    <t>ISHII</t>
  </si>
  <si>
    <t>Fabrice</t>
  </si>
  <si>
    <t>Rondia</t>
  </si>
  <si>
    <t>CACO PACIFIC Corporation</t>
  </si>
  <si>
    <t>Sigsworth</t>
  </si>
  <si>
    <t>AMY</t>
  </si>
  <si>
    <t>SZIBER</t>
  </si>
  <si>
    <t>First Presbyterian Church of Honolulu</t>
  </si>
  <si>
    <t>Karley</t>
  </si>
  <si>
    <t>Kimitsuka</t>
  </si>
  <si>
    <t>02/17/2024</t>
  </si>
  <si>
    <t>03/17/2024</t>
  </si>
  <si>
    <t>04/17/2024</t>
  </si>
  <si>
    <t>10/23/2024</t>
  </si>
  <si>
    <t>American Savings Bank</t>
  </si>
  <si>
    <t>Sara</t>
  </si>
  <si>
    <t>Broadwell</t>
  </si>
  <si>
    <t>Lynn</t>
  </si>
  <si>
    <t>Saito</t>
  </si>
  <si>
    <t>The DCAP receipt form says guitar center. Music lessons are not eligiible .</t>
  </si>
  <si>
    <t>RAEGAN</t>
  </si>
  <si>
    <t>COTTRELL</t>
  </si>
  <si>
    <t>10/25/2024</t>
  </si>
  <si>
    <t>JOHN</t>
  </si>
  <si>
    <t>SHANLY</t>
  </si>
  <si>
    <t>Cain</t>
  </si>
  <si>
    <t>Bria</t>
  </si>
  <si>
    <t>DeVault</t>
  </si>
  <si>
    <t>02/23/2024</t>
  </si>
  <si>
    <t>Tiata</t>
  </si>
  <si>
    <t>Davis-Collier</t>
  </si>
  <si>
    <t>Caitlan</t>
  </si>
  <si>
    <t>McQuay</t>
  </si>
  <si>
    <t>11/01/2024</t>
  </si>
  <si>
    <t xml:space="preserve">Ipsen </t>
  </si>
  <si>
    <t>Peace</t>
  </si>
  <si>
    <t>REM14110</t>
  </si>
  <si>
    <t>Brian</t>
  </si>
  <si>
    <t>Kapuscinski</t>
  </si>
  <si>
    <t>Abrenio</t>
  </si>
  <si>
    <t>Schuldt</t>
  </si>
  <si>
    <t>Kent</t>
  </si>
  <si>
    <t>McCorkle</t>
  </si>
  <si>
    <t>Marlene</t>
  </si>
  <si>
    <t>Vega</t>
  </si>
  <si>
    <t>06/20/2024</t>
  </si>
  <si>
    <t>02/21/2024</t>
  </si>
  <si>
    <t>Ma</t>
  </si>
  <si>
    <t>Duncan</t>
  </si>
  <si>
    <t>Shelley</t>
  </si>
  <si>
    <t>SVEN</t>
  </si>
  <si>
    <t>LINDSTROM</t>
  </si>
  <si>
    <t>Helmstreit</t>
  </si>
  <si>
    <t>AbangBradley</t>
  </si>
  <si>
    <t>Corinne</t>
  </si>
  <si>
    <t>Sumi</t>
  </si>
  <si>
    <t>Loui</t>
  </si>
  <si>
    <t>Toba</t>
  </si>
  <si>
    <t>Cialene</t>
  </si>
  <si>
    <t>Dumayag</t>
  </si>
  <si>
    <t>Augustin</t>
  </si>
  <si>
    <t>Oros</t>
  </si>
  <si>
    <t>Liang</t>
  </si>
  <si>
    <t>Silvana</t>
  </si>
  <si>
    <t>Merlos</t>
  </si>
  <si>
    <t>Braulio</t>
  </si>
  <si>
    <t>Bosi</t>
  </si>
  <si>
    <t>Jiajie</t>
  </si>
  <si>
    <t>Jeremy</t>
  </si>
  <si>
    <t>Schild</t>
  </si>
  <si>
    <t>07/19/2024</t>
  </si>
  <si>
    <t>MARISSA</t>
  </si>
  <si>
    <t>ALVAREZ</t>
  </si>
  <si>
    <t>MARINA</t>
  </si>
  <si>
    <t>KODAMA</t>
  </si>
  <si>
    <t>CHARMAINE</t>
  </si>
  <si>
    <t>HIGA MCMILLAN</t>
  </si>
  <si>
    <t>DOREE</t>
  </si>
  <si>
    <t>PATAO</t>
  </si>
  <si>
    <t>MARIE</t>
  </si>
  <si>
    <t>REVILLA</t>
  </si>
  <si>
    <t>Ending date of service should be 10/31/2024</t>
  </si>
  <si>
    <t>SHERRI</t>
  </si>
  <si>
    <t>LOMBINO</t>
  </si>
  <si>
    <t>Wolfe</t>
  </si>
  <si>
    <t>REPAS</t>
  </si>
  <si>
    <t>Loiacono</t>
  </si>
  <si>
    <t>American Society for Clinical Pathology</t>
  </si>
  <si>
    <t>Sreckovic</t>
  </si>
  <si>
    <t>DOS are 01/31/24-04/30/24</t>
  </si>
  <si>
    <t>RAQUEL</t>
  </si>
  <si>
    <t>AYALA</t>
  </si>
  <si>
    <t xml:space="preserve">The SCC should be RX and the RX numbers should be written in the description box. Also make sure you can read the purchase date, I could not read it. </t>
  </si>
  <si>
    <t>The items purchased were not RX, SCC should have been changed to medical</t>
  </si>
  <si>
    <t>Gruen Associates</t>
  </si>
  <si>
    <t>Robin</t>
  </si>
  <si>
    <t>Mancinetti</t>
  </si>
  <si>
    <t>JONI</t>
  </si>
  <si>
    <t>SASAKI</t>
  </si>
  <si>
    <t>TANAKA</t>
  </si>
  <si>
    <t xml:space="preserve">With Dental claims you can use the billing date as the service date. </t>
  </si>
  <si>
    <t>Jamie</t>
  </si>
  <si>
    <t>Hirano</t>
  </si>
  <si>
    <t>Hood County</t>
  </si>
  <si>
    <t>Diana</t>
  </si>
  <si>
    <t>Haun</t>
  </si>
  <si>
    <t>Phillip</t>
  </si>
  <si>
    <t>Wineinger</t>
  </si>
  <si>
    <t>JONATHAN</t>
  </si>
  <si>
    <t>KOMA</t>
  </si>
  <si>
    <t>Antondria</t>
  </si>
  <si>
    <t>Davis</t>
  </si>
  <si>
    <t>Bryson Ind Sd</t>
  </si>
  <si>
    <t>Pamela</t>
  </si>
  <si>
    <t>Sanders</t>
  </si>
  <si>
    <t>Sarai</t>
  </si>
  <si>
    <t>Cole</t>
  </si>
  <si>
    <t>Tori</t>
  </si>
  <si>
    <t>Fischer</t>
  </si>
  <si>
    <t>The date of service is 08/30/2024. Please notate the claim with the correct DOS.</t>
  </si>
  <si>
    <t>Impartner, Inc</t>
  </si>
  <si>
    <t>Steve</t>
  </si>
  <si>
    <t xml:space="preserve">Claim denied and should have been noted accordingly or reprocessed at the time. Claim was reentered and approved later. Please go note the claim. Thanks </t>
  </si>
  <si>
    <t>Lauren</t>
  </si>
  <si>
    <t>Kratzenberg</t>
  </si>
  <si>
    <t>Olivia</t>
  </si>
  <si>
    <t>Brown</t>
  </si>
  <si>
    <t>Harry</t>
  </si>
  <si>
    <t>Timko</t>
  </si>
  <si>
    <t>MMC HR, LLC</t>
  </si>
  <si>
    <t>Ladislao</t>
  </si>
  <si>
    <t>Vaccaro</t>
  </si>
  <si>
    <t xml:space="preserve">Remember each month must be entered separately to pay out correctly. Please review and enter an additional claim towards the month that has not paid out to max $315. Thank you </t>
  </si>
  <si>
    <t>Cynthia</t>
  </si>
  <si>
    <t>Allen Blige</t>
  </si>
  <si>
    <t>10/28/2024</t>
  </si>
  <si>
    <t>Garrett</t>
  </si>
  <si>
    <t>Mead</t>
  </si>
  <si>
    <t>10/30/2024</t>
  </si>
  <si>
    <t>GERALDINE</t>
  </si>
  <si>
    <t>CAMERON</t>
  </si>
  <si>
    <t>DONNA</t>
  </si>
  <si>
    <t>ROSS</t>
  </si>
  <si>
    <t>Southern Utah University</t>
  </si>
  <si>
    <t>Pullan</t>
  </si>
  <si>
    <t>Kassandra</t>
  </si>
  <si>
    <t>Dunnell</t>
  </si>
  <si>
    <t xml:space="preserve">Skyline Electric Company </t>
  </si>
  <si>
    <t>Brooklyn</t>
  </si>
  <si>
    <t>Butler</t>
  </si>
  <si>
    <t>UFirst Credit Union</t>
  </si>
  <si>
    <t>Carla</t>
  </si>
  <si>
    <t>Dominguez</t>
  </si>
  <si>
    <t>Route App</t>
  </si>
  <si>
    <t>Nielsen</t>
  </si>
  <si>
    <t>FirstDigital Communications, LLC</t>
  </si>
  <si>
    <t>Samuel</t>
  </si>
  <si>
    <t>Pedro</t>
  </si>
  <si>
    <t>Weber School District</t>
  </si>
  <si>
    <t>REBECCA</t>
  </si>
  <si>
    <t>PALMER</t>
  </si>
  <si>
    <t>First Colony Mortgage Corp.</t>
  </si>
  <si>
    <t>Scott</t>
  </si>
  <si>
    <t>Gatchell</t>
  </si>
  <si>
    <t>Tahoe Douglas Fire Protection District</t>
  </si>
  <si>
    <t>Tim</t>
  </si>
  <si>
    <t>07/05/2024</t>
  </si>
  <si>
    <t>UMETSU</t>
  </si>
  <si>
    <t>PAUL</t>
  </si>
  <si>
    <t>BRIGGS</t>
  </si>
  <si>
    <t>Esnet Management Inc.</t>
  </si>
  <si>
    <t>Wasatch Photonics, Inc.</t>
  </si>
  <si>
    <t>Todd</t>
  </si>
  <si>
    <t>Hamblin</t>
  </si>
  <si>
    <t>Courtney</t>
  </si>
  <si>
    <t>Veres</t>
  </si>
  <si>
    <t>Warp Drive dba FalconX</t>
  </si>
  <si>
    <t>Di</t>
  </si>
  <si>
    <t>Crast</t>
  </si>
  <si>
    <t>Culturell probiotic for $24.69 was approved as part of this. FSA states Probiotics require a LOMN, and no LOMN on file</t>
  </si>
  <si>
    <t>Lilley</t>
  </si>
  <si>
    <t>c</t>
  </si>
  <si>
    <t>Hannah</t>
  </si>
  <si>
    <t>Wade</t>
  </si>
  <si>
    <t>Sierra</t>
  </si>
  <si>
    <t>Olson</t>
  </si>
  <si>
    <t>10/29/2024</t>
  </si>
  <si>
    <t>Deloach</t>
  </si>
  <si>
    <t>Josh</t>
  </si>
  <si>
    <t>Rogers</t>
  </si>
  <si>
    <t>Madison</t>
  </si>
  <si>
    <t>Mapes</t>
  </si>
  <si>
    <t>Jonathan</t>
  </si>
  <si>
    <t>Whitney</t>
  </si>
  <si>
    <t>Rusinak</t>
  </si>
  <si>
    <t>JOR16081</t>
  </si>
  <si>
    <t>Under description  or in the notes the RX number should have been entered. This makes it easier to identify duplicate claims.</t>
  </si>
  <si>
    <t>Honblue Inc. - ProService</t>
  </si>
  <si>
    <t>TORRES</t>
  </si>
  <si>
    <t>This was not eligible for reimbursement as the weight loss medication was purchased at a Dr. office. We need a LOMN for weight loss medication unless it is purchase from a pharmacy.  Please collect ineligible funds.</t>
  </si>
  <si>
    <t>Nishimura</t>
  </si>
  <si>
    <t>Bernard</t>
  </si>
  <si>
    <t>Chong</t>
  </si>
  <si>
    <t>ALICE</t>
  </si>
  <si>
    <t>SCHUTTE</t>
  </si>
  <si>
    <t>CHUN KEUNG</t>
  </si>
  <si>
    <t>YU</t>
  </si>
  <si>
    <t>03/14/2023</t>
  </si>
  <si>
    <t>03/26/2023</t>
  </si>
  <si>
    <t>11/15/2023</t>
  </si>
  <si>
    <t>07/04/2024</t>
  </si>
  <si>
    <t>JESUSA</t>
  </si>
  <si>
    <t>GANIR</t>
  </si>
  <si>
    <t>Peimei</t>
  </si>
  <si>
    <t>Gousse</t>
  </si>
  <si>
    <t>10/27/2024</t>
  </si>
  <si>
    <t>MAUREEN</t>
  </si>
  <si>
    <t>ESPORLAS</t>
  </si>
  <si>
    <t>07/08/2024</t>
  </si>
  <si>
    <t>ALANA</t>
  </si>
  <si>
    <t>FULLER-TANAKA</t>
  </si>
  <si>
    <t>Gerrit</t>
  </si>
  <si>
    <t>Franken</t>
  </si>
  <si>
    <t>Gabriel-Paul</t>
  </si>
  <si>
    <t>Lino</t>
  </si>
  <si>
    <t>Leslie</t>
  </si>
  <si>
    <t>Mizumoto</t>
  </si>
  <si>
    <t>SCC is not RX. It is medical</t>
  </si>
  <si>
    <t>Monita</t>
  </si>
  <si>
    <t>Ng</t>
  </si>
  <si>
    <t>Christensen &amp; Jensen, P.C.</t>
  </si>
  <si>
    <t>Strout</t>
  </si>
  <si>
    <t>Bright AV LLC</t>
  </si>
  <si>
    <t>Mitchell</t>
  </si>
  <si>
    <t>Beede</t>
  </si>
  <si>
    <t>Kirby</t>
  </si>
  <si>
    <t>Gray</t>
  </si>
  <si>
    <t>Lytle Independent School District</t>
  </si>
  <si>
    <t>URIBE-CENTER</t>
  </si>
  <si>
    <t>Jesse</t>
  </si>
  <si>
    <t>Torres</t>
  </si>
  <si>
    <t>02/10/2024</t>
  </si>
  <si>
    <t>Steven</t>
  </si>
  <si>
    <t>Sosa</t>
  </si>
  <si>
    <t>MELANIE</t>
  </si>
  <si>
    <t>KERBS</t>
  </si>
  <si>
    <t>Magda</t>
  </si>
  <si>
    <t>Ciurlik</t>
  </si>
  <si>
    <t>Schmidt</t>
  </si>
  <si>
    <t>JILLIAN</t>
  </si>
  <si>
    <t>FREITAS</t>
  </si>
  <si>
    <t>FRELEN</t>
  </si>
  <si>
    <t>BATES</t>
  </si>
  <si>
    <t>COURTNEY MARIE</t>
  </si>
  <si>
    <t>DOMINGO</t>
  </si>
  <si>
    <t>KIANA</t>
  </si>
  <si>
    <t>RODRIGUEZ</t>
  </si>
  <si>
    <t>ZACHARY</t>
  </si>
  <si>
    <t>MONTIZOR</t>
  </si>
  <si>
    <t>REGINA</t>
  </si>
  <si>
    <t>YUEN</t>
  </si>
  <si>
    <t>Teriann</t>
  </si>
  <si>
    <t>Akana</t>
  </si>
  <si>
    <t>10/26/2024</t>
  </si>
  <si>
    <t>DONAVYN</t>
  </si>
  <si>
    <t>FONTES</t>
  </si>
  <si>
    <t>Flora</t>
  </si>
  <si>
    <t>Arney</t>
  </si>
  <si>
    <t>10/31/2024</t>
  </si>
  <si>
    <t>Kathleen</t>
  </si>
  <si>
    <t>Rodriguez</t>
  </si>
  <si>
    <t>Mckenna</t>
  </si>
  <si>
    <t>Au</t>
  </si>
  <si>
    <t>09/28/2023</t>
  </si>
  <si>
    <t>09/02/2023</t>
  </si>
  <si>
    <t>01/09/2024</t>
  </si>
  <si>
    <t>Bank of Hawaii Regular HRA plans require HMSA to be listed on the provider statement. Only the Bank of Hawaii Retiree HRA allows for All213 expenses with regular provider statements accepted as documentation.</t>
  </si>
  <si>
    <t>Cabo</t>
  </si>
  <si>
    <t>Xuan Huong</t>
  </si>
  <si>
    <t>Tran</t>
  </si>
  <si>
    <t>Enos</t>
  </si>
  <si>
    <t>Christiana</t>
  </si>
  <si>
    <t>Vicente</t>
  </si>
  <si>
    <t>Guanqing</t>
  </si>
  <si>
    <t>Li</t>
  </si>
  <si>
    <t>Junko</t>
  </si>
  <si>
    <t>Kita</t>
  </si>
  <si>
    <t>Lilli</t>
  </si>
  <si>
    <t>City Of Eagle</t>
  </si>
  <si>
    <t>Wheeler</t>
  </si>
  <si>
    <t>Skidmore Transportation, Inc</t>
  </si>
  <si>
    <t>Travis</t>
  </si>
  <si>
    <t>Astle</t>
  </si>
  <si>
    <t>Alto Independent School District</t>
  </si>
  <si>
    <t>Zara</t>
  </si>
  <si>
    <t>Orr</t>
  </si>
  <si>
    <t>Amber</t>
  </si>
  <si>
    <t>Middleton</t>
  </si>
  <si>
    <t>Rabago</t>
  </si>
  <si>
    <t>Celine</t>
  </si>
  <si>
    <t>Kakugawa</t>
  </si>
  <si>
    <t>RUSSELL</t>
  </si>
  <si>
    <t>Babbitt</t>
  </si>
  <si>
    <t>WASEM</t>
  </si>
  <si>
    <t xml:space="preserve">Do </t>
  </si>
  <si>
    <t>Emelyn Jones</t>
  </si>
  <si>
    <t>Emelyn</t>
  </si>
  <si>
    <t>Jones, Emelyn</t>
  </si>
  <si>
    <t>emelynj@nbsbenefits.com</t>
  </si>
  <si>
    <t>Team Erika Jeffries Member</t>
  </si>
  <si>
    <t>Yamile Moreno</t>
  </si>
  <si>
    <t>Yamile</t>
  </si>
  <si>
    <t>Moreno</t>
  </si>
  <si>
    <t>YM</t>
  </si>
  <si>
    <t>Moreno, Yamile</t>
  </si>
  <si>
    <t>YamileMO@nbsbenefits.com</t>
  </si>
  <si>
    <t>Michael Zuniga</t>
  </si>
  <si>
    <t>Zuniga</t>
  </si>
  <si>
    <t>MZ</t>
  </si>
  <si>
    <t>Zuniga, Michael</t>
  </si>
  <si>
    <t>michaelZ@nbsbenefits.com</t>
  </si>
  <si>
    <t>Schools First Federal Credit Union</t>
  </si>
  <si>
    <t>Chirasak</t>
  </si>
  <si>
    <t>Kokanoutranon</t>
  </si>
  <si>
    <t>12/31/2023</t>
  </si>
  <si>
    <t xml:space="preserve">The note says its already been reimbursed through a card payment but there is no card payment on the date of service. The only other claim for that provider had a DOS 10/1/24 but was denied. </t>
  </si>
  <si>
    <t>There are no notes as to why the claim was reversed.</t>
  </si>
  <si>
    <t xml:space="preserve">M </t>
  </si>
  <si>
    <t>The note says its already been reimbursed through a card payment but there is no card payment on the date of service. I did see a dummy date (12/31/23) claim with the same RX number but it says DOS 7/5/24. This date of service is 10/10/24.</t>
  </si>
  <si>
    <t>DaVinci Academy</t>
  </si>
  <si>
    <t>Ian</t>
  </si>
  <si>
    <t>Marshall</t>
  </si>
  <si>
    <t>Jerome</t>
  </si>
  <si>
    <t>Guilaran</t>
  </si>
  <si>
    <t>DENNIS</t>
  </si>
  <si>
    <t>MUNRO</t>
  </si>
  <si>
    <t>KRISTIE</t>
  </si>
  <si>
    <t>KASAOKA KIMURA</t>
  </si>
  <si>
    <t>MERRITT</t>
  </si>
  <si>
    <t>There are two vitamin/suppliments included on invoice. I don't find a LOMN for either one. Please reprocess claim and ask for LOMN</t>
  </si>
  <si>
    <t>MARY</t>
  </si>
  <si>
    <t>PESCADOR</t>
  </si>
  <si>
    <t>MIKYONG</t>
  </si>
  <si>
    <t>COPP</t>
  </si>
  <si>
    <t>Professional Painting, Inc.</t>
  </si>
  <si>
    <t>Robert E</t>
  </si>
  <si>
    <t>Kelsey</t>
  </si>
  <si>
    <t>E-corp</t>
  </si>
  <si>
    <t>Watkins</t>
  </si>
  <si>
    <t>UMA Financial Services</t>
  </si>
  <si>
    <t>Tanya</t>
  </si>
  <si>
    <t>Alvaro</t>
  </si>
  <si>
    <t>Lehi City Corporation</t>
  </si>
  <si>
    <t>Harrison</t>
  </si>
  <si>
    <t>Prog Holdings, Inc.</t>
  </si>
  <si>
    <t>Brad</t>
  </si>
  <si>
    <t>Nathan</t>
  </si>
  <si>
    <t>03/09/2024</t>
  </si>
  <si>
    <t>The SCC code is medical but should have been vision</t>
  </si>
  <si>
    <t>PW Companies, LLC</t>
  </si>
  <si>
    <t>North</t>
  </si>
  <si>
    <t>11/05/2024</t>
  </si>
  <si>
    <t>Caitlyn</t>
  </si>
  <si>
    <t xml:space="preserve">There is no itemized statement attached. Should have been pended </t>
  </si>
  <si>
    <t>Layton City Corporation</t>
  </si>
  <si>
    <t>DARREN</t>
  </si>
  <si>
    <t>CURTIS</t>
  </si>
  <si>
    <t>Nastasija</t>
  </si>
  <si>
    <t>Griffith</t>
  </si>
  <si>
    <t xml:space="preserve">The date of service on DCAP receipt form was actually 10/14/24 not 10/15/24. </t>
  </si>
  <si>
    <t>RACHEL</t>
  </si>
  <si>
    <t>HERNANDEZ</t>
  </si>
  <si>
    <t>Lili'uokalani Trust</t>
  </si>
  <si>
    <t>Menrit</t>
  </si>
  <si>
    <t>Francis</t>
  </si>
  <si>
    <t>Kimberly</t>
  </si>
  <si>
    <t>Haney</t>
  </si>
  <si>
    <t>11/04/2024</t>
  </si>
  <si>
    <t>AMIE</t>
  </si>
  <si>
    <t>WHITE</t>
  </si>
  <si>
    <t>Wasatch Homeless Health Care Inc. Dba 4th Street C</t>
  </si>
  <si>
    <t>Kassie</t>
  </si>
  <si>
    <t>Shipe</t>
  </si>
  <si>
    <t>AIMEE</t>
  </si>
  <si>
    <t>FRANCIS</t>
  </si>
  <si>
    <t>SkuLLCandy</t>
  </si>
  <si>
    <t>Bridget</t>
  </si>
  <si>
    <t>Fuller</t>
  </si>
  <si>
    <t>Washington County School District</t>
  </si>
  <si>
    <t>NIKKI</t>
  </si>
  <si>
    <t>GREGERSON</t>
  </si>
  <si>
    <t>MERCEDES</t>
  </si>
  <si>
    <t>BARICA</t>
  </si>
  <si>
    <t>DFS</t>
  </si>
  <si>
    <t>Imperial Optical Midco</t>
  </si>
  <si>
    <t>Post</t>
  </si>
  <si>
    <t>01/10/2024</t>
  </si>
  <si>
    <t>Environmental Science International</t>
  </si>
  <si>
    <t>Security National Financial Corp</t>
  </si>
  <si>
    <t>ANTHONY</t>
  </si>
  <si>
    <t>FOSTER</t>
  </si>
  <si>
    <t>KAORI</t>
  </si>
  <si>
    <t>TUTEWOHL</t>
  </si>
  <si>
    <t>Golden State Lumber, Inc.</t>
  </si>
  <si>
    <t>Kara</t>
  </si>
  <si>
    <t>Gregorich</t>
  </si>
  <si>
    <t>Sheryl</t>
  </si>
  <si>
    <t>Naylor</t>
  </si>
  <si>
    <t>TAKAMATSU</t>
  </si>
  <si>
    <t>11/06/2024</t>
  </si>
  <si>
    <t>ALISON</t>
  </si>
  <si>
    <t>YOGI</t>
  </si>
  <si>
    <t>JOYCE</t>
  </si>
  <si>
    <t>TOKUDA</t>
  </si>
  <si>
    <t xml:space="preserve">ot sure how the EE got this $624.99 amount, but looks like we may have an overpayment of $-133.14 from this August claim- I show the tuition (toddler) and daycare expenses total $15,335.00 from Aug 2024-May 2025 making $1533.50 eligible each month, and we already paid out $1041.65 from Claim #: 20240909-1033, leaving only $491.85 left to claim for August </t>
  </si>
  <si>
    <t>Bowers + Kubota Consulting Inc</t>
  </si>
  <si>
    <t>Albert</t>
  </si>
  <si>
    <t>Cathy</t>
  </si>
  <si>
    <t>Chuang</t>
  </si>
  <si>
    <t>Nobmann Cattle LLC</t>
  </si>
  <si>
    <t>Hunter</t>
  </si>
  <si>
    <t>Alexander</t>
  </si>
  <si>
    <t>Mann</t>
  </si>
  <si>
    <t>Moria</t>
  </si>
  <si>
    <t>Bornstein</t>
  </si>
  <si>
    <t>01/04/2024</t>
  </si>
  <si>
    <t>Salmans</t>
  </si>
  <si>
    <t>ALIONA</t>
  </si>
  <si>
    <t>Shashenkov</t>
  </si>
  <si>
    <t>BRITTNEY</t>
  </si>
  <si>
    <t>DANIELS</t>
  </si>
  <si>
    <t>Sanela</t>
  </si>
  <si>
    <t>Alfaro</t>
  </si>
  <si>
    <t>FARZANA</t>
  </si>
  <si>
    <t>NASRIN</t>
  </si>
  <si>
    <t>Taxhawk, Inc</t>
  </si>
  <si>
    <t>Luyi</t>
  </si>
  <si>
    <t>Lin</t>
  </si>
  <si>
    <t>Lingpei</t>
  </si>
  <si>
    <t>Zou</t>
  </si>
  <si>
    <t>DT2</t>
  </si>
  <si>
    <t>DAVIS</t>
  </si>
  <si>
    <t>BALLARD</t>
  </si>
  <si>
    <t>The service date is 07/16/24, the date the invoice was printed was used.</t>
  </si>
  <si>
    <t>Keith</t>
  </si>
  <si>
    <t>Suzuka</t>
  </si>
  <si>
    <t>Finn Partners, Inc</t>
  </si>
  <si>
    <t>Queenie</t>
  </si>
  <si>
    <t>Jacinto</t>
  </si>
  <si>
    <t>01/30/2024</t>
  </si>
  <si>
    <t>Jana</t>
  </si>
  <si>
    <t>Spencer</t>
  </si>
  <si>
    <t>02/14/2024</t>
  </si>
  <si>
    <t>01/27/2024</t>
  </si>
  <si>
    <t>02/05/2024</t>
  </si>
  <si>
    <t>Muneno</t>
  </si>
  <si>
    <t>Xyngular Corporation</t>
  </si>
  <si>
    <t>Gabrielle</t>
  </si>
  <si>
    <t>Thorpe</t>
  </si>
  <si>
    <t>01/11/2024</t>
  </si>
  <si>
    <t>Taylour</t>
  </si>
  <si>
    <t>Carter</t>
  </si>
  <si>
    <t>Alicia</t>
  </si>
  <si>
    <t>Bartholomew</t>
  </si>
  <si>
    <t>SPENCER</t>
  </si>
  <si>
    <t>WALLIN</t>
  </si>
  <si>
    <t>HUGO MAN</t>
  </si>
  <si>
    <t>TAM</t>
  </si>
  <si>
    <t>Alexandra</t>
  </si>
  <si>
    <t>Aprile</t>
  </si>
  <si>
    <t>Borak</t>
  </si>
  <si>
    <t>Samar</t>
  </si>
  <si>
    <t>Nashagh</t>
  </si>
  <si>
    <t>Ray</t>
  </si>
  <si>
    <t>KRISTAL</t>
  </si>
  <si>
    <t>BLACKSMITH</t>
  </si>
  <si>
    <t>Esquivel</t>
  </si>
  <si>
    <t>Haesbaert</t>
  </si>
  <si>
    <t>Jacob</t>
  </si>
  <si>
    <t>Alperin-Sheriff</t>
  </si>
  <si>
    <t>Hugel</t>
  </si>
  <si>
    <t>11/18/2024</t>
  </si>
  <si>
    <t>Maureen</t>
  </si>
  <si>
    <t>Angkawijaya</t>
  </si>
  <si>
    <t>Kyle</t>
  </si>
  <si>
    <t>Niiro</t>
  </si>
  <si>
    <t>Monica</t>
  </si>
  <si>
    <t>Singh</t>
  </si>
  <si>
    <t>DOS should be 9/15/2024-9/20/2024.</t>
  </si>
  <si>
    <t>Anthony</t>
  </si>
  <si>
    <t>Bogran</t>
  </si>
  <si>
    <t>Natalie</t>
  </si>
  <si>
    <t>Jean-Louis</t>
  </si>
  <si>
    <t>06/05/2024</t>
  </si>
  <si>
    <t>Anastasiia</t>
  </si>
  <si>
    <t>Lukasheva</t>
  </si>
  <si>
    <t>Max</t>
  </si>
  <si>
    <t>Robinson</t>
  </si>
  <si>
    <t>Franklin</t>
  </si>
  <si>
    <t>Edgar</t>
  </si>
  <si>
    <t>Garcia</t>
  </si>
  <si>
    <t>11/03/2024</t>
  </si>
  <si>
    <t>Cedar Hill Independent School District</t>
  </si>
  <si>
    <t>ANITA</t>
  </si>
  <si>
    <t>AGUILAR</t>
  </si>
  <si>
    <t>PATRICIA</t>
  </si>
  <si>
    <t>Souk</t>
  </si>
  <si>
    <t>03/26/2024</t>
  </si>
  <si>
    <t>03/14/2024</t>
  </si>
  <si>
    <t>ERIC</t>
  </si>
  <si>
    <t>GIBSON</t>
  </si>
  <si>
    <t>Nisha</t>
  </si>
  <si>
    <t>Momin</t>
  </si>
  <si>
    <t>Cowan</t>
  </si>
  <si>
    <t>07/11/2024</t>
  </si>
  <si>
    <t>Utah Del, Inc</t>
  </si>
  <si>
    <t>Paula</t>
  </si>
  <si>
    <t>Henkel</t>
  </si>
  <si>
    <t>11/10/2024</t>
  </si>
  <si>
    <t>KATHLEEN</t>
  </si>
  <si>
    <t>CONNOLLY</t>
  </si>
  <si>
    <t>Start date should be 07/19/2024, the order date, not the delivery date of 07/24/2024</t>
  </si>
  <si>
    <t>LORI</t>
  </si>
  <si>
    <t>Riley</t>
  </si>
  <si>
    <t>X</t>
  </si>
  <si>
    <t>02/11/2024</t>
  </si>
  <si>
    <t>DEVIN</t>
  </si>
  <si>
    <t>GLAZIER</t>
  </si>
  <si>
    <t>11/09/2024</t>
  </si>
  <si>
    <t>The receipts are for 2 different patients. Each patient was eligible for $120. The full amount claimed was eligible forr reimbursement.</t>
  </si>
  <si>
    <t>KayLynne</t>
  </si>
  <si>
    <t>Reynolds</t>
  </si>
  <si>
    <t xml:space="preserve">Claim was prossesed correctly, but original claim was marked as a pay provider. Don't  forget to mark the pay provider box when reprocessing so the payment goes to the provider and not the EE. </t>
  </si>
  <si>
    <t>The Hawaii School for Girls - ProService</t>
  </si>
  <si>
    <t>Lai</t>
  </si>
  <si>
    <t>North Canyon Medical Center</t>
  </si>
  <si>
    <t>Cory</t>
  </si>
  <si>
    <t>Bates</t>
  </si>
  <si>
    <t>Randall</t>
  </si>
  <si>
    <t>Weis</t>
  </si>
  <si>
    <t>Richardson</t>
  </si>
  <si>
    <t>Austin Independent School District</t>
  </si>
  <si>
    <t>MALLORY</t>
  </si>
  <si>
    <t>STASIO</t>
  </si>
  <si>
    <t>ABBEY</t>
  </si>
  <si>
    <t>RAYMOND</t>
  </si>
  <si>
    <t>BRUCE</t>
  </si>
  <si>
    <t>SHERMAN</t>
  </si>
  <si>
    <t>Eric</t>
  </si>
  <si>
    <t>Pilger</t>
  </si>
  <si>
    <t>Linh</t>
  </si>
  <si>
    <t>La</t>
  </si>
  <si>
    <t>01/05/2024</t>
  </si>
  <si>
    <t>Patricia</t>
  </si>
  <si>
    <t>New</t>
  </si>
  <si>
    <t>Celtic Bank</t>
  </si>
  <si>
    <t>Oglesby</t>
  </si>
  <si>
    <t>Parsons Behle &amp; Latimer</t>
  </si>
  <si>
    <t>Janine</t>
  </si>
  <si>
    <t>Whitley</t>
  </si>
  <si>
    <t>Simmons</t>
  </si>
  <si>
    <t>Luz</t>
  </si>
  <si>
    <t>Franco</t>
  </si>
  <si>
    <t>11/08/2024</t>
  </si>
  <si>
    <t>11/02/2024</t>
  </si>
  <si>
    <t>Parker-Migliorini International, LLC</t>
  </si>
  <si>
    <t>Gina</t>
  </si>
  <si>
    <t>Duarte</t>
  </si>
  <si>
    <t>Outrigger Hotels Hawaii</t>
  </si>
  <si>
    <t>Hawaii Preparatory Academy - ProService</t>
  </si>
  <si>
    <t>Ravaglia</t>
  </si>
  <si>
    <t>Tallie</t>
  </si>
  <si>
    <t>Noble</t>
  </si>
  <si>
    <t>GERALD</t>
  </si>
  <si>
    <t>CASALLO</t>
  </si>
  <si>
    <t>Selaina</t>
  </si>
  <si>
    <t>Broderick</t>
  </si>
  <si>
    <t>TORIE</t>
  </si>
  <si>
    <t>THORNOCK</t>
  </si>
  <si>
    <t>04/26/2023</t>
  </si>
  <si>
    <t>EnergySolutions, LLC</t>
  </si>
  <si>
    <t>Kittredge</t>
  </si>
  <si>
    <t>11/11/2024</t>
  </si>
  <si>
    <t>11/13/2024</t>
  </si>
  <si>
    <t>Brenham Independent School District</t>
  </si>
  <si>
    <t>Brandi</t>
  </si>
  <si>
    <t>Vogl</t>
  </si>
  <si>
    <t>11/07/2024</t>
  </si>
  <si>
    <t>International Archaeology, Inc. -ProService</t>
  </si>
  <si>
    <t>Bell</t>
  </si>
  <si>
    <t>Sharon</t>
  </si>
  <si>
    <t>Crofts-Stewart</t>
  </si>
  <si>
    <t>Looks like we may have shorted funds with the current CR set up. I show the on the HMSA premium statement the HMSA PPP amount per month is $1204.48 and the HDS per month is $69.41 for coverage dates 04/01/2024-12/31/2024, and the CR was set up per month for prorated amounts vs. full monthly amounts (each month was prorated by 10 months) for  amounts of $7.71 HDS and $133.83 for the HMSA PP for total monthly $141.54 vs. a total monthly $1273.89, and the $1273 total  amounts would match what the EE listed on CR form :) So sorry if I am reading that incorrectly :/</t>
  </si>
  <si>
    <t>I have gone in and processed c/u claim for April-Nov $1070.65 for HMSA prem &amp; $61.70 for HDS prem to push out funds that should had paid. I stopped previous Cr and setup new CR in clams launcher for Dec $1204.48 for HMSA &amp; $69.41 for HDS</t>
  </si>
  <si>
    <t>See notes on line 67-same CR set up</t>
  </si>
  <si>
    <t>01/18/2024</t>
  </si>
  <si>
    <t>06/14/2024</t>
  </si>
  <si>
    <t>04/03/2024</t>
  </si>
  <si>
    <t>South Central Kansas Regional Medical Center</t>
  </si>
  <si>
    <t>Darnall</t>
  </si>
  <si>
    <t>Corey</t>
  </si>
  <si>
    <t>Simpson</t>
  </si>
  <si>
    <t>Sonya</t>
  </si>
  <si>
    <t>Baisch</t>
  </si>
  <si>
    <t xml:space="preserve">EOB shows the $50 portion was the deductible and these are for Dental expenses submitted on Dental EOB , not medical insurance EOB.HRA  Claim approved for $478 dental service copay/coinsurance and paid out $254.50. Please review and will need to collect back the $254.50 funds. </t>
  </si>
  <si>
    <t>04/26/2024</t>
  </si>
  <si>
    <t xml:space="preserve">Dental EOB submitted and paid same as line #84 error noted </t>
  </si>
  <si>
    <t>Krista</t>
  </si>
  <si>
    <t>Gneiting</t>
  </si>
  <si>
    <t>Vicki</t>
  </si>
  <si>
    <t>Bloom</t>
  </si>
  <si>
    <t>03/30/2024</t>
  </si>
  <si>
    <t>Hallie</t>
  </si>
  <si>
    <t>Sadovich</t>
  </si>
  <si>
    <t>Leland</t>
  </si>
  <si>
    <t>Zundel</t>
  </si>
  <si>
    <t>Ready Made Trusses and Builders' Supply</t>
  </si>
  <si>
    <t>Fluckiger</t>
  </si>
  <si>
    <t>03/06/2024</t>
  </si>
  <si>
    <t>Ken Garff Automotive, LLC</t>
  </si>
  <si>
    <t>Edward</t>
  </si>
  <si>
    <t>Allen</t>
  </si>
  <si>
    <t>06/27/2024</t>
  </si>
  <si>
    <t>SHAMRA</t>
  </si>
  <si>
    <t>JONES</t>
  </si>
  <si>
    <t>Ockler</t>
  </si>
  <si>
    <t>Box Elder County</t>
  </si>
  <si>
    <t>Westminster University</t>
  </si>
  <si>
    <t>Winter</t>
  </si>
  <si>
    <t>Morse</t>
  </si>
  <si>
    <t>Paragon Press, Inc.</t>
  </si>
  <si>
    <t>CARL</t>
  </si>
  <si>
    <t>BROWN</t>
  </si>
  <si>
    <t>Nicholas</t>
  </si>
  <si>
    <t>Farrall</t>
  </si>
  <si>
    <t>Annabelle</t>
  </si>
  <si>
    <t>Andres</t>
  </si>
  <si>
    <t>Anna</t>
  </si>
  <si>
    <t>Mosher</t>
  </si>
  <si>
    <t>03/23/2024</t>
  </si>
  <si>
    <t>Alexander &amp; Baldwin, LLC</t>
  </si>
  <si>
    <t>Judy</t>
  </si>
  <si>
    <t>Dikibo</t>
  </si>
  <si>
    <t>The SCC code should be vision not dental.</t>
  </si>
  <si>
    <t>Gardena, Inc.</t>
  </si>
  <si>
    <t>Gregory</t>
  </si>
  <si>
    <t>Marks</t>
  </si>
  <si>
    <t>Minetti</t>
  </si>
  <si>
    <t>11/14/2024</t>
  </si>
  <si>
    <t>Brick Township Board Of Education</t>
  </si>
  <si>
    <t>Carol</t>
  </si>
  <si>
    <t>Shaw</t>
  </si>
  <si>
    <t>Okamoto</t>
  </si>
  <si>
    <t>City of Lufkin</t>
  </si>
  <si>
    <t>Bridge Investment Group, LLC</t>
  </si>
  <si>
    <t>Faith</t>
  </si>
  <si>
    <t>Runnells</t>
  </si>
  <si>
    <t xml:space="preserve">You need an itemized billing to verify the amounts per item add up to the amount paid. The SCC is RX and the  Credit card statment says Express scripts, but the description and  statement are from a wellness center and are for vitamins, which would have SCC of medical. Statement and receipt have different date, just not sure they are for the same products. </t>
  </si>
  <si>
    <t>Francisco</t>
  </si>
  <si>
    <t>Fuentes Ayala</t>
  </si>
  <si>
    <t>Jan</t>
  </si>
  <si>
    <t>Sliwa</t>
  </si>
  <si>
    <t>Pollock</t>
  </si>
  <si>
    <t>Fred</t>
  </si>
  <si>
    <t>Reninger</t>
  </si>
  <si>
    <t>11/12/2024</t>
  </si>
  <si>
    <t>Kao</t>
  </si>
  <si>
    <t>Brittni</t>
  </si>
  <si>
    <t>Rosalez</t>
  </si>
  <si>
    <t>Jennie</t>
  </si>
  <si>
    <t>Healia, Inc.</t>
  </si>
  <si>
    <t>Jon</t>
  </si>
  <si>
    <t>Hartman</t>
  </si>
  <si>
    <t>Cesar</t>
  </si>
  <si>
    <t>Huidobro Melo</t>
  </si>
  <si>
    <t>Liliana</t>
  </si>
  <si>
    <t>Solis</t>
  </si>
  <si>
    <t>Lorena</t>
  </si>
  <si>
    <t>Jean-Luc</t>
  </si>
  <si>
    <t>DeMontrichard</t>
  </si>
  <si>
    <t>Martha</t>
  </si>
  <si>
    <t>Charlotte</t>
  </si>
  <si>
    <t>Maijala</t>
  </si>
  <si>
    <t>05/30/2024</t>
  </si>
  <si>
    <t>Veronica</t>
  </si>
  <si>
    <t>Eatchel</t>
  </si>
  <si>
    <t>Edward P. Dudensing Dba the Law Office</t>
  </si>
  <si>
    <t>Fiorella</t>
  </si>
  <si>
    <t>Safra</t>
  </si>
  <si>
    <t>Prokusheva</t>
  </si>
  <si>
    <t>01/24/2024</t>
  </si>
  <si>
    <t>SCOTT</t>
  </si>
  <si>
    <t>GARDNER</t>
  </si>
  <si>
    <t>Charmaine</t>
  </si>
  <si>
    <t>Higashi</t>
  </si>
  <si>
    <t>MARIA DEL ROCIO</t>
  </si>
  <si>
    <t>HOWARTH</t>
  </si>
  <si>
    <t>ALAMAR</t>
  </si>
  <si>
    <t>Panduit Corp.</t>
  </si>
  <si>
    <t>Joel</t>
  </si>
  <si>
    <t>Calallen Independent School District</t>
  </si>
  <si>
    <t>Joyce</t>
  </si>
  <si>
    <t>Compton</t>
  </si>
  <si>
    <t>We use order date, 10/31/24. All items on the document are vitamin/supplements and require a LOMN. There is no LOMN in a PI. This claim should have been pended for the LOMN not approved.</t>
  </si>
  <si>
    <t>MARTIJN</t>
  </si>
  <si>
    <t>HEILIG</t>
  </si>
  <si>
    <t>Noor</t>
  </si>
  <si>
    <t>Akhter</t>
  </si>
  <si>
    <t>Team Emilee Member</t>
  </si>
  <si>
    <t>Logan Oyolo</t>
  </si>
  <si>
    <t>Oyolo</t>
  </si>
  <si>
    <t>LO</t>
  </si>
  <si>
    <t>Oyolo, Logan</t>
  </si>
  <si>
    <t>loganos@nbsbenefits.com</t>
  </si>
  <si>
    <t>Clyde Companies, Inc.</t>
  </si>
  <si>
    <t>Tammy</t>
  </si>
  <si>
    <t>Jensen</t>
  </si>
  <si>
    <t>HON MAN</t>
  </si>
  <si>
    <t>LAI</t>
  </si>
  <si>
    <t>11/16/2024</t>
  </si>
  <si>
    <t>Alma Christina Verbo</t>
  </si>
  <si>
    <t>Undan</t>
  </si>
  <si>
    <t>Fishinger</t>
  </si>
  <si>
    <t>Aimee</t>
  </si>
  <si>
    <t>Duong</t>
  </si>
  <si>
    <t>11/15/2024</t>
  </si>
  <si>
    <t>$191.41 of $202.40 was eligible. The portion eligible should have been approved and ony $10.99, the vitimin pended. We want to pay out as much as we can.</t>
  </si>
  <si>
    <t>Stramaglia</t>
  </si>
  <si>
    <t>Jose</t>
  </si>
  <si>
    <t>Santana</t>
  </si>
  <si>
    <t>01/29/2024</t>
  </si>
  <si>
    <t>EWorld Enterprise Solutions, Inc.</t>
  </si>
  <si>
    <t>Amir</t>
  </si>
  <si>
    <t>Nashat</t>
  </si>
  <si>
    <t>LEE-ANN</t>
  </si>
  <si>
    <t>BREWER</t>
  </si>
  <si>
    <t>Visions In Education</t>
  </si>
  <si>
    <t>Alexia</t>
  </si>
  <si>
    <t>Thomas</t>
  </si>
  <si>
    <t>Jung</t>
  </si>
  <si>
    <t>STEPHEN</t>
  </si>
  <si>
    <t>SHOLTIS</t>
  </si>
  <si>
    <t>Charissa</t>
  </si>
  <si>
    <t>Minato</t>
  </si>
  <si>
    <t>Gail</t>
  </si>
  <si>
    <t>Abrena-Agas</t>
  </si>
  <si>
    <t>MARI</t>
  </si>
  <si>
    <t>TSANG</t>
  </si>
  <si>
    <t>03/28/2024</t>
  </si>
  <si>
    <t>LYNN</t>
  </si>
  <si>
    <t>TOMOYASU</t>
  </si>
  <si>
    <t>Floyd</t>
  </si>
  <si>
    <t>Actual DOS 9/29/24-10/9/24</t>
  </si>
  <si>
    <t>Actual DOS 7/24/24-8/19/24</t>
  </si>
  <si>
    <t>01/03/2024</t>
  </si>
  <si>
    <t>There were 3 different RX's and only 1 listed on claim and the total amount was only $28.  Please go and collect back the overpayment.</t>
  </si>
  <si>
    <t>Las Vegas-Clark County Library District</t>
  </si>
  <si>
    <t>Annmarie</t>
  </si>
  <si>
    <t>Powell</t>
  </si>
  <si>
    <t>Jura Pentium Inc.</t>
  </si>
  <si>
    <t>Aaron</t>
  </si>
  <si>
    <t>Price</t>
  </si>
  <si>
    <t>11/27/2024</t>
  </si>
  <si>
    <t>Parking/Transit claims don't need to be denied for future services. Another claim was submitted.</t>
  </si>
  <si>
    <t>Ocean Bank</t>
  </si>
  <si>
    <t>Etienne</t>
  </si>
  <si>
    <t>Behety</t>
  </si>
  <si>
    <t>Xavier</t>
  </si>
  <si>
    <t>Arellano</t>
  </si>
  <si>
    <t>Nan Mckay &amp; Associates</t>
  </si>
  <si>
    <t>Heredia</t>
  </si>
  <si>
    <t>Nutraceutical Corporation</t>
  </si>
  <si>
    <t>Hubbard</t>
  </si>
  <si>
    <t>11/21/2024</t>
  </si>
  <si>
    <t>Medical Network of Alaska</t>
  </si>
  <si>
    <t>LINDSAY</t>
  </si>
  <si>
    <t>HIXON</t>
  </si>
  <si>
    <t>Javier</t>
  </si>
  <si>
    <t>Perez</t>
  </si>
  <si>
    <t>Keiko</t>
  </si>
  <si>
    <t>Nurre</t>
  </si>
  <si>
    <t>Parking/Transit amounts don't carry over from month to month. Going forward claims need to be separated out by month.</t>
  </si>
  <si>
    <t>Gunn</t>
  </si>
  <si>
    <t>Public Risk Innovation, Solutions and Management-P</t>
  </si>
  <si>
    <t>Sykes</t>
  </si>
  <si>
    <t>Destiny</t>
  </si>
  <si>
    <t>Utah Symphony And Opera</t>
  </si>
  <si>
    <t>Melanie</t>
  </si>
  <si>
    <t>Giles</t>
  </si>
  <si>
    <t>Horizon Utah Federal Credit Union</t>
  </si>
  <si>
    <t>Rushforth</t>
  </si>
  <si>
    <t>Strong Auto Group</t>
  </si>
  <si>
    <t>Colter</t>
  </si>
  <si>
    <t>ANNELIES</t>
  </si>
  <si>
    <t>PALUSO</t>
  </si>
  <si>
    <t>Kami</t>
  </si>
  <si>
    <t>Spectrum Academy</t>
  </si>
  <si>
    <t>Sherry</t>
  </si>
  <si>
    <t>Mariana</t>
  </si>
  <si>
    <t>Yasma</t>
  </si>
  <si>
    <t>11/19/2024</t>
  </si>
  <si>
    <t>Mount Pleasant Isd</t>
  </si>
  <si>
    <t>TAMMY S</t>
  </si>
  <si>
    <t>BRAGG</t>
  </si>
  <si>
    <t>01/20/2024</t>
  </si>
  <si>
    <t>CORINNE</t>
  </si>
  <si>
    <t>SIMONS</t>
  </si>
  <si>
    <t>Guillen</t>
  </si>
  <si>
    <t>Peninsula Open Space Trust</t>
  </si>
  <si>
    <t>Melo Walther</t>
  </si>
  <si>
    <t>Yuxin</t>
  </si>
  <si>
    <t>Zhong</t>
  </si>
  <si>
    <t>Actual DOS 07/02/2024</t>
  </si>
  <si>
    <t>Denise</t>
  </si>
  <si>
    <t>Gilliland</t>
  </si>
  <si>
    <t>05/02/2024</t>
  </si>
  <si>
    <t>Nichols</t>
  </si>
  <si>
    <t>11/20/2024</t>
  </si>
  <si>
    <t>Ewa</t>
  </si>
  <si>
    <t>Dadok</t>
  </si>
  <si>
    <t>Milstein</t>
  </si>
  <si>
    <t>Crocker</t>
  </si>
  <si>
    <t>Cameron</t>
  </si>
  <si>
    <t>Jedediah</t>
  </si>
  <si>
    <t>Schlueter</t>
  </si>
  <si>
    <t>Mesa Systems Inc</t>
  </si>
  <si>
    <t>Mills</t>
  </si>
  <si>
    <t>Khiem</t>
  </si>
  <si>
    <t>Grindley</t>
  </si>
  <si>
    <t>11/17/2024</t>
  </si>
  <si>
    <t xml:space="preserve">Amazon Order date is 11/15/2024  and claim processed with the 11/17/2024 delivery date. </t>
  </si>
  <si>
    <t>ELVEDIN</t>
  </si>
  <si>
    <t>Fisic</t>
  </si>
  <si>
    <t>Van Boerum &amp; Frank Associates, Inc.</t>
  </si>
  <si>
    <t>Shelby</t>
  </si>
  <si>
    <t>Roundy</t>
  </si>
  <si>
    <t>Mary</t>
  </si>
  <si>
    <t>Peninoy</t>
  </si>
  <si>
    <t>Siegel</t>
  </si>
  <si>
    <t>05/25/2024</t>
  </si>
  <si>
    <t>Jasti</t>
  </si>
  <si>
    <t>05/07/2024</t>
  </si>
  <si>
    <t>11/20/2023</t>
  </si>
  <si>
    <t>MEGHAN</t>
  </si>
  <si>
    <t>COURTNEY</t>
  </si>
  <si>
    <t>Heartflow, Inc.</t>
  </si>
  <si>
    <t>Cunningham</t>
  </si>
  <si>
    <t>The ortho contract is for 18 months. The first monthly payment of $136  was due on 6/2023. That would put the last payment on 11/2024. In the plan year you can approve Jan-Nov which would be $1496. Please reverse and pend the $497.75 for an updated contract as we can not approve more than the contract states.</t>
  </si>
  <si>
    <t>Alysha</t>
  </si>
  <si>
    <t>Roach</t>
  </si>
  <si>
    <t>BUPPA</t>
  </si>
  <si>
    <t>BENNETT</t>
  </si>
  <si>
    <t>08/10/2024</t>
  </si>
  <si>
    <t>JODIE</t>
  </si>
  <si>
    <t>TSUBONE</t>
  </si>
  <si>
    <t>Nederland Independent School District</t>
  </si>
  <si>
    <t>JUSTIN</t>
  </si>
  <si>
    <t>WALKER</t>
  </si>
  <si>
    <t>Saul</t>
  </si>
  <si>
    <t>Covarrubias</t>
  </si>
  <si>
    <t>Brianna</t>
  </si>
  <si>
    <t>Watts</t>
  </si>
  <si>
    <t>ABIGAIL</t>
  </si>
  <si>
    <t>HAMMOND</t>
  </si>
  <si>
    <t>1-800 Contacts</t>
  </si>
  <si>
    <t>Kristina</t>
  </si>
  <si>
    <t>FRANCESCA</t>
  </si>
  <si>
    <t>HOLBROOK</t>
  </si>
  <si>
    <t>NATALIA</t>
  </si>
  <si>
    <t>RAMOS</t>
  </si>
  <si>
    <t>Brock ISD</t>
  </si>
  <si>
    <t>ASHTEN</t>
  </si>
  <si>
    <t>PATINO</t>
  </si>
  <si>
    <t>Callie</t>
  </si>
  <si>
    <t>Hoblit</t>
  </si>
  <si>
    <t>City View Ind Sd</t>
  </si>
  <si>
    <t>MORGAN</t>
  </si>
  <si>
    <t>SCHLEGEL</t>
  </si>
  <si>
    <t>Forsan Independent School District</t>
  </si>
  <si>
    <t>EUDY</t>
  </si>
  <si>
    <t>Estes</t>
  </si>
  <si>
    <t>JAMIE</t>
  </si>
  <si>
    <t>SENNINGER</t>
  </si>
  <si>
    <t>STEWART</t>
  </si>
  <si>
    <t>WILSON</t>
  </si>
  <si>
    <t>BRYANT</t>
  </si>
  <si>
    <t>Brooks</t>
  </si>
  <si>
    <t>Encompass Community Services</t>
  </si>
  <si>
    <t>HUTCHINSON</t>
  </si>
  <si>
    <t>Sonam</t>
  </si>
  <si>
    <t>Kapoor</t>
  </si>
  <si>
    <t>Alida</t>
  </si>
  <si>
    <t>Lobban</t>
  </si>
  <si>
    <t>Alissa</t>
  </si>
  <si>
    <t>Mellem</t>
  </si>
  <si>
    <t>Pisaryuk</t>
  </si>
  <si>
    <t>Jim</t>
  </si>
  <si>
    <t>Harvest Management, LLC Terminated EE's</t>
  </si>
  <si>
    <t>FREDRICK</t>
  </si>
  <si>
    <t>Domino Data Lab, Inc</t>
  </si>
  <si>
    <t>Kukura</t>
  </si>
  <si>
    <t>MING HUI</t>
  </si>
  <si>
    <t>CHAN</t>
  </si>
  <si>
    <t>03/12/2024</t>
  </si>
  <si>
    <t xml:space="preserve">Movement Generation </t>
  </si>
  <si>
    <t>Aspen</t>
  </si>
  <si>
    <t>SONYA</t>
  </si>
  <si>
    <t>BRISENDINE</t>
  </si>
  <si>
    <t>Stampin' Up</t>
  </si>
  <si>
    <t>Lindsey</t>
  </si>
  <si>
    <t>May</t>
  </si>
  <si>
    <t>Pinson</t>
  </si>
  <si>
    <t>SARAH</t>
  </si>
  <si>
    <t>TUCKETT</t>
  </si>
  <si>
    <t>11/22/2024</t>
  </si>
  <si>
    <t>Receipt states RX and can be approved.</t>
  </si>
  <si>
    <t>Same issue-please reprocess and approve.</t>
  </si>
  <si>
    <t xml:space="preserve">This was denied as a duplciate, but both claims were denied. $226.40 of the statement has already been claimed, $432.20 needs to be approved, please reprocess. </t>
  </si>
  <si>
    <t xml:space="preserve">Same issue- Please reprocess as receipt states RX. </t>
  </si>
  <si>
    <t>11/26/2024</t>
  </si>
  <si>
    <t>Rx should be entered separately per each Rx vs. lump sum for the 3 Rx</t>
  </si>
  <si>
    <t>GREGORY</t>
  </si>
  <si>
    <t>HORA</t>
  </si>
  <si>
    <t>Central Bank</t>
  </si>
  <si>
    <t>Schofield</t>
  </si>
  <si>
    <t>Tabios</t>
  </si>
  <si>
    <t>Chao</t>
  </si>
  <si>
    <t>Chen</t>
  </si>
  <si>
    <t>Gomes</t>
  </si>
  <si>
    <t xml:space="preserve">For parking we use service dates, not payment/invoice date. Receipt shows service dates are for November. </t>
  </si>
  <si>
    <t>11/23/2024</t>
  </si>
  <si>
    <t>For parking we use service dates, not payment/invoice date. Receipt shows service dates are for December.</t>
  </si>
  <si>
    <t>Lori</t>
  </si>
  <si>
    <t>Ky</t>
  </si>
  <si>
    <t>Starn O'Toole Marcus &amp; Fisher</t>
  </si>
  <si>
    <t>Norman</t>
  </si>
  <si>
    <t>Cheng</t>
  </si>
  <si>
    <t>Pat</t>
  </si>
  <si>
    <t>Townsend</t>
  </si>
  <si>
    <t>Katayama</t>
  </si>
  <si>
    <t>The Gas Company, LLC dba Hawaii Gas</t>
  </si>
  <si>
    <t>ALINNA</t>
  </si>
  <si>
    <t>FIGUEROA</t>
  </si>
  <si>
    <t>The Emergency Group</t>
  </si>
  <si>
    <t>CYNTHIA</t>
  </si>
  <si>
    <t>COTE</t>
  </si>
  <si>
    <t>TRICIA</t>
  </si>
  <si>
    <t>HOLTKAMP</t>
  </si>
  <si>
    <t>Wnek</t>
  </si>
  <si>
    <t>LISA</t>
  </si>
  <si>
    <t>MOORE</t>
  </si>
  <si>
    <t>Mama's Kitchen</t>
  </si>
  <si>
    <t>Martini</t>
  </si>
  <si>
    <t>Pueblo Community Health Center</t>
  </si>
  <si>
    <t>SHYANNA</t>
  </si>
  <si>
    <t>NEU</t>
  </si>
  <si>
    <t>BRETT</t>
  </si>
  <si>
    <t>MCPHERSON</t>
  </si>
  <si>
    <t>JOANNE</t>
  </si>
  <si>
    <t>LOOS</t>
  </si>
  <si>
    <t>DOS on this type of receipt is ok to accept.  This was reprocessed when more documents were sent in.</t>
  </si>
  <si>
    <t>CORTNEY</t>
  </si>
  <si>
    <t>HAMILTON</t>
  </si>
  <si>
    <t>WATTS</t>
  </si>
  <si>
    <t>DOS was on one of the receipts provided.  This was reprocessed when more docs were sent in.</t>
  </si>
  <si>
    <t>No other payments had been paid out in 2024.  This could have been approved as Jun-Aug payments.</t>
  </si>
  <si>
    <t>ANDERSEN</t>
  </si>
  <si>
    <t>Monchazz</t>
  </si>
  <si>
    <t>Stafford</t>
  </si>
  <si>
    <t>Erin</t>
  </si>
  <si>
    <t>McCuen</t>
  </si>
  <si>
    <t>YUAN</t>
  </si>
  <si>
    <t>ANNIE</t>
  </si>
  <si>
    <t>QUEIROLO</t>
  </si>
  <si>
    <t>TAMMI</t>
  </si>
  <si>
    <t>YOKOGAWA-KING</t>
  </si>
  <si>
    <t>Nobuko</t>
  </si>
  <si>
    <t>Conroy</t>
  </si>
  <si>
    <t>JORGINA</t>
  </si>
  <si>
    <t>DA SILVA</t>
  </si>
  <si>
    <t>HARRY</t>
  </si>
  <si>
    <t>TAKIUE JR</t>
  </si>
  <si>
    <t>TRACIE</t>
  </si>
  <si>
    <t>MURAKI</t>
  </si>
  <si>
    <t>11/25/2024</t>
  </si>
  <si>
    <t>FUJIKAWA</t>
  </si>
  <si>
    <t>OLI</t>
  </si>
  <si>
    <t>YAMADA</t>
  </si>
  <si>
    <t>UnCommon Law</t>
  </si>
  <si>
    <t>Natasha</t>
  </si>
  <si>
    <t>Live Tula - LSA</t>
  </si>
  <si>
    <t>Nicolaas</t>
  </si>
  <si>
    <t>Wildeboer</t>
  </si>
  <si>
    <t>Russell</t>
  </si>
  <si>
    <t>Paulina</t>
  </si>
  <si>
    <t>Cortes Mancilla</t>
  </si>
  <si>
    <t>05/08/2024</t>
  </si>
  <si>
    <t>Gardner</t>
  </si>
  <si>
    <t>Y. Hata &amp; Co. Ltd.</t>
  </si>
  <si>
    <t>De Jesus Mojica</t>
  </si>
  <si>
    <t>06/23/2024</t>
  </si>
  <si>
    <t>07/13/2024</t>
  </si>
  <si>
    <t>Derr</t>
  </si>
  <si>
    <t>The claim form has the EE phone number but that was not updated on the demographics page.</t>
  </si>
  <si>
    <t>Gary</t>
  </si>
  <si>
    <t>Sheridan</t>
  </si>
  <si>
    <t>Crystal</t>
  </si>
  <si>
    <t>Balthrop</t>
  </si>
  <si>
    <t xml:space="preserve">reprocessed and denied per EE request- okay since reprocessed to deny for this HRA claim from non-HRA processor </t>
  </si>
  <si>
    <t>Salini</t>
  </si>
  <si>
    <t>Nandipati</t>
  </si>
  <si>
    <t>Daingerfield-Lone Star ISD</t>
  </si>
  <si>
    <t>TERENCE</t>
  </si>
  <si>
    <t>JIMERSON</t>
  </si>
  <si>
    <t>MONYA</t>
  </si>
  <si>
    <t>CROW</t>
  </si>
  <si>
    <t>Bailey's Consolidated Services, LLC</t>
  </si>
  <si>
    <t>Burandt</t>
  </si>
  <si>
    <t>03/21/2024</t>
  </si>
  <si>
    <t>Rock West, Inc.</t>
  </si>
  <si>
    <t>Willis</t>
  </si>
  <si>
    <t>Galileo Technologies Corporation</t>
  </si>
  <si>
    <t>Ronald</t>
  </si>
  <si>
    <t>Foster</t>
  </si>
  <si>
    <t>Rachael</t>
  </si>
  <si>
    <t>Fenlon-Johnson</t>
  </si>
  <si>
    <t>Michaela</t>
  </si>
  <si>
    <t>Miracle</t>
  </si>
  <si>
    <t>CPS HR Consulting</t>
  </si>
  <si>
    <t>Atkinson</t>
  </si>
  <si>
    <t>City of Hudson Oaks</t>
  </si>
  <si>
    <t>SHELLEY</t>
  </si>
  <si>
    <t>SCAZZERO</t>
  </si>
  <si>
    <t xml:space="preserve">The service start date on claim was 7/30/24. However, the statement submitted has a start day of 8/5/24. </t>
  </si>
  <si>
    <t>BARRY</t>
  </si>
  <si>
    <t>11/24/2024</t>
  </si>
  <si>
    <t>DENISE</t>
  </si>
  <si>
    <t>RICARDO</t>
  </si>
  <si>
    <t>Philip</t>
  </si>
  <si>
    <t>Friend</t>
  </si>
  <si>
    <t>Cleburne ISD</t>
  </si>
  <si>
    <t>Angelica</t>
  </si>
  <si>
    <t>Campos</t>
  </si>
  <si>
    <t>Nozomi</t>
  </si>
  <si>
    <t>Tamanaha</t>
  </si>
  <si>
    <t>Wilkins</t>
  </si>
  <si>
    <t>KNOWLES</t>
  </si>
  <si>
    <t>12/01/2024</t>
  </si>
  <si>
    <t>VanHoften</t>
  </si>
  <si>
    <t>Brenda</t>
  </si>
  <si>
    <t>Chacon</t>
  </si>
  <si>
    <t>Timothy</t>
  </si>
  <si>
    <t>Peltier</t>
  </si>
  <si>
    <t>Houchens</t>
  </si>
  <si>
    <t>Schreifels</t>
  </si>
  <si>
    <t>Hayley</t>
  </si>
  <si>
    <t>Magann</t>
  </si>
  <si>
    <t>LSA</t>
  </si>
  <si>
    <t>Alegeus Technologies, LLC LSA</t>
  </si>
  <si>
    <t>Habraken</t>
  </si>
  <si>
    <t>4/11/20254/11/2025</t>
  </si>
  <si>
    <t>Mescall</t>
  </si>
  <si>
    <t>American River Healthcare</t>
  </si>
  <si>
    <t>Macaspac</t>
  </si>
  <si>
    <t>Tse</t>
  </si>
  <si>
    <t>RICHARD</t>
  </si>
  <si>
    <t>FRANCO, JR</t>
  </si>
  <si>
    <t>Jagadeesh</t>
  </si>
  <si>
    <t>Anbalagan</t>
  </si>
  <si>
    <t>Kuo</t>
  </si>
  <si>
    <t>HAWLEY</t>
  </si>
  <si>
    <t>GURFINKEL</t>
  </si>
  <si>
    <t>Roger</t>
  </si>
  <si>
    <t>Bodnar</t>
  </si>
  <si>
    <t>BRIAN</t>
  </si>
  <si>
    <t>KEAVENEY</t>
  </si>
  <si>
    <t>CMI Radiology Group</t>
  </si>
  <si>
    <t>DANYAH</t>
  </si>
  <si>
    <t>ABDELQADER</t>
  </si>
  <si>
    <t>4/112025</t>
  </si>
  <si>
    <t>America Chung Nam, LLC</t>
  </si>
  <si>
    <t>Sixiang</t>
  </si>
  <si>
    <t>Yu</t>
  </si>
  <si>
    <t>SUMMERS</t>
  </si>
  <si>
    <t>Rafael Jonathan</t>
  </si>
  <si>
    <t>de Guzman</t>
  </si>
  <si>
    <t>DANIEL</t>
  </si>
  <si>
    <t>ALVES DE BRITO FILHO</t>
  </si>
  <si>
    <t>KEITH</t>
  </si>
  <si>
    <t>BETHUNE</t>
  </si>
  <si>
    <t>Kamich</t>
  </si>
  <si>
    <t>Camille</t>
  </si>
  <si>
    <t>Banzon</t>
  </si>
  <si>
    <t>12/02/2024</t>
  </si>
  <si>
    <t>Reiffenstein</t>
  </si>
  <si>
    <t>Meridian Institute</t>
  </si>
  <si>
    <t>Seefeldt</t>
  </si>
  <si>
    <t>Leigh</t>
  </si>
  <si>
    <t>Shiroma</t>
  </si>
  <si>
    <t>02/02/2024</t>
  </si>
  <si>
    <t>03/02/2024</t>
  </si>
  <si>
    <t>Hok Keung</t>
  </si>
  <si>
    <t>Hui</t>
  </si>
  <si>
    <t>Judah</t>
  </si>
  <si>
    <t>Lesser</t>
  </si>
  <si>
    <t>Noele</t>
  </si>
  <si>
    <t>11/28/2024</t>
  </si>
  <si>
    <t>Rose</t>
  </si>
  <si>
    <t>DAR19781</t>
  </si>
  <si>
    <t>Luciana</t>
  </si>
  <si>
    <t>Oliva Banci</t>
  </si>
  <si>
    <t>LUO35477</t>
  </si>
  <si>
    <t>Monia</t>
  </si>
  <si>
    <t>Dridi - Vial</t>
  </si>
  <si>
    <t>MOV41412</t>
  </si>
  <si>
    <t>Yaxin</t>
  </si>
  <si>
    <t>Wang</t>
  </si>
  <si>
    <t>YAW24998</t>
  </si>
  <si>
    <t>Miriam</t>
  </si>
  <si>
    <t>Warren</t>
  </si>
  <si>
    <t>M&amp;A Technology</t>
  </si>
  <si>
    <t>Thompson</t>
  </si>
  <si>
    <t>12/03/2024</t>
  </si>
  <si>
    <t>Shona</t>
  </si>
  <si>
    <t>Windsay</t>
  </si>
  <si>
    <t>Mortaloni</t>
  </si>
  <si>
    <t>Summer</t>
  </si>
  <si>
    <t>Hall</t>
  </si>
  <si>
    <t>JING</t>
  </si>
  <si>
    <t>DING</t>
  </si>
  <si>
    <t>12/04/2024</t>
  </si>
  <si>
    <t>Ballard</t>
  </si>
  <si>
    <t>Mineola Independent School District</t>
  </si>
  <si>
    <t>ROBERT</t>
  </si>
  <si>
    <t>SPARKMAN</t>
  </si>
  <si>
    <t>11/30/2024</t>
  </si>
  <si>
    <t>Alpine Independent School District</t>
  </si>
  <si>
    <t>CORY</t>
  </si>
  <si>
    <t>CASON</t>
  </si>
  <si>
    <t>12/05/2024</t>
  </si>
  <si>
    <t>ST CLAIR</t>
  </si>
  <si>
    <t>Freer Independent School District</t>
  </si>
  <si>
    <t>AMANDA</t>
  </si>
  <si>
    <t>AGUIRRE</t>
  </si>
  <si>
    <t>Fedor</t>
  </si>
  <si>
    <t>Rebekah</t>
  </si>
  <si>
    <t>Kessab</t>
  </si>
  <si>
    <t>The Franklin Group, Inc</t>
  </si>
  <si>
    <t>Levi</t>
  </si>
  <si>
    <t>01/14/2024</t>
  </si>
  <si>
    <t>04/30/2024</t>
  </si>
  <si>
    <t>04/13/2024</t>
  </si>
  <si>
    <t>02/07/2024</t>
  </si>
  <si>
    <t>07/14/2024</t>
  </si>
  <si>
    <t>Wellington Ind Sd</t>
  </si>
  <si>
    <t>KAROLINE</t>
  </si>
  <si>
    <t>ASHMORE</t>
  </si>
  <si>
    <t>Mahaffey</t>
  </si>
  <si>
    <t>Siskin Enterprises</t>
  </si>
  <si>
    <t>Duran</t>
  </si>
  <si>
    <t>Webb County</t>
  </si>
  <si>
    <t>Canales</t>
  </si>
  <si>
    <t>03/08/2024</t>
  </si>
  <si>
    <t>Grapevine-Colleyville ISD</t>
  </si>
  <si>
    <t>STEVE</t>
  </si>
  <si>
    <t>PAVLICK</t>
  </si>
  <si>
    <t>Utah Community Credit Union</t>
  </si>
  <si>
    <t>Meyers</t>
  </si>
  <si>
    <t>Codi</t>
  </si>
  <si>
    <t>Van Duzee</t>
  </si>
  <si>
    <t>08/07/2023</t>
  </si>
  <si>
    <t>Ortiz</t>
  </si>
  <si>
    <t>Uinta County School District Number One, State Of</t>
  </si>
  <si>
    <t>Groll</t>
  </si>
  <si>
    <t>DOUG</t>
  </si>
  <si>
    <t>ANDERSON</t>
  </si>
  <si>
    <t>04/16/2024</t>
  </si>
  <si>
    <t>West Wichita Family Physicians, PA</t>
  </si>
  <si>
    <t>Brooke</t>
  </si>
  <si>
    <t>ChargeBee, Inc.</t>
  </si>
  <si>
    <t>02/09/2024</t>
  </si>
  <si>
    <t>Delivery date was used, not order date.</t>
  </si>
  <si>
    <t>08/11/2024</t>
  </si>
  <si>
    <t>SHULTS</t>
  </si>
  <si>
    <t>San Juan County</t>
  </si>
  <si>
    <t>Perkins</t>
  </si>
  <si>
    <t>Upper Valley Community Health</t>
  </si>
  <si>
    <t>Zakery</t>
  </si>
  <si>
    <t>Marsh</t>
  </si>
  <si>
    <t>Jordan Valley Water Conservancy District</t>
  </si>
  <si>
    <t>Troy</t>
  </si>
  <si>
    <t>Black</t>
  </si>
  <si>
    <t>The Broadmoor Hotel</t>
  </si>
  <si>
    <t>Pradab</t>
  </si>
  <si>
    <t>Barnes</t>
  </si>
  <si>
    <t>Weber Basin Water Conservancy District</t>
  </si>
  <si>
    <t>DELGADO</t>
  </si>
  <si>
    <t>DIZON</t>
  </si>
  <si>
    <t>Alice</t>
  </si>
  <si>
    <t>Morgan</t>
  </si>
  <si>
    <t>Katusian</t>
  </si>
  <si>
    <t>PBK Architects, Inc.</t>
  </si>
  <si>
    <t>Wu</t>
  </si>
  <si>
    <t xml:space="preserve">The DOS is 11/13. The Dr.'s note is dated 11/21. Should not have been approved. We needed to get an updated Dr.'s note dated prior to purchase date. You can reverse and pend for updated Dr's note. </t>
  </si>
  <si>
    <t>Westlake Academy</t>
  </si>
  <si>
    <t>BUSICO de FLIGHT</t>
  </si>
  <si>
    <t>The docs submitted don't show the dates of service. You can reverse and pend for the DOS</t>
  </si>
  <si>
    <t>Jeromy</t>
  </si>
  <si>
    <t>Bailey</t>
  </si>
  <si>
    <t>The total for services on statement is $798. After the $5 credit the EE owes $793. Should not have  been approved for the full $1200. Reverse and pend for additional itemzied statement for the remaining $407.</t>
  </si>
  <si>
    <t>MARGARITA</t>
  </si>
  <si>
    <t>MARTINEZ</t>
  </si>
  <si>
    <t xml:space="preserve">EE was terminated so the claim was denied by the system. A note should be left for participant. </t>
  </si>
  <si>
    <t>Reprocessed with a note that the docs were received received 11/27. However, it shows the origianl doc was submitted 12/2 which is after the last day to submit of 11/30. Claim should not be approved. Reverse.</t>
  </si>
  <si>
    <t>MIN</t>
  </si>
  <si>
    <t>BU</t>
  </si>
  <si>
    <t>Galina</t>
  </si>
  <si>
    <t>Chernova</t>
  </si>
  <si>
    <t>The statement received only shows payments not serviceds. Reverse and pend for itemized statement.</t>
  </si>
  <si>
    <t>YANMEI</t>
  </si>
  <si>
    <t>ZHENG</t>
  </si>
  <si>
    <t>JEM61356</t>
  </si>
  <si>
    <t>Alameda County Office of Education</t>
  </si>
  <si>
    <t>Ting Chu Mandy</t>
  </si>
  <si>
    <t>Chou</t>
  </si>
  <si>
    <t>Dennis</t>
  </si>
  <si>
    <t>Jenna</t>
  </si>
  <si>
    <t>Gunter</t>
  </si>
  <si>
    <t>Community Clinic of Maui, Inc. dba Malama I Ke Ola</t>
  </si>
  <si>
    <t>Christina</t>
  </si>
  <si>
    <t>Nardi</t>
  </si>
  <si>
    <t>Amer Sports Winter And Outdoor</t>
  </si>
  <si>
    <t>Peter</t>
  </si>
  <si>
    <t>Bornholdt</t>
  </si>
  <si>
    <t>Sunitha</t>
  </si>
  <si>
    <t>Yarlagadda</t>
  </si>
  <si>
    <t>01/19/2024</t>
  </si>
  <si>
    <t>07/27/2024</t>
  </si>
  <si>
    <t>Cheryl</t>
  </si>
  <si>
    <t>Anae</t>
  </si>
  <si>
    <t>04/112025</t>
  </si>
  <si>
    <t>Kaitlyn</t>
  </si>
  <si>
    <t>Cox</t>
  </si>
  <si>
    <t>Qiang</t>
  </si>
  <si>
    <t>Haiyan</t>
  </si>
  <si>
    <t>Zhou</t>
  </si>
  <si>
    <t>Polzella</t>
  </si>
  <si>
    <t>Harder</t>
  </si>
  <si>
    <t>Zoe</t>
  </si>
  <si>
    <t>Poohachoff</t>
  </si>
  <si>
    <t>10/01/2023</t>
  </si>
  <si>
    <t>Breen</t>
  </si>
  <si>
    <t>Lauria Tokunaga Gates And Linn, LLP</t>
  </si>
  <si>
    <t>Fanzone</t>
  </si>
  <si>
    <t>Giovannoni</t>
  </si>
  <si>
    <t>Tokin</t>
  </si>
  <si>
    <t>Grace</t>
  </si>
  <si>
    <t>Araki</t>
  </si>
  <si>
    <t>DEAN</t>
  </si>
  <si>
    <t>WATASE</t>
  </si>
  <si>
    <t>11/29/2024</t>
  </si>
  <si>
    <t>BLAINE</t>
  </si>
  <si>
    <t>KOBAYASHI</t>
  </si>
  <si>
    <t>NBS Demo Employer Test CRM</t>
  </si>
  <si>
    <t>Krampus</t>
  </si>
  <si>
    <t xml:space="preserve">Employer test claim </t>
  </si>
  <si>
    <t>Nakanishi</t>
  </si>
  <si>
    <t>TODD</t>
  </si>
  <si>
    <t>HAYASHI</t>
  </si>
  <si>
    <t>DNEG North America Inc.</t>
  </si>
  <si>
    <t>Jefcoat</t>
  </si>
  <si>
    <t>FRED</t>
  </si>
  <si>
    <t>12/06/2024</t>
  </si>
  <si>
    <t>Headwaters Construction Company</t>
  </si>
  <si>
    <t>Richie</t>
  </si>
  <si>
    <t>Attebury</t>
  </si>
  <si>
    <t>05/10/2024</t>
  </si>
  <si>
    <t>Carolina</t>
  </si>
  <si>
    <t>D Atri</t>
  </si>
  <si>
    <t>McNary</t>
  </si>
  <si>
    <t>05/29/2024</t>
  </si>
  <si>
    <t>Cooley</t>
  </si>
  <si>
    <t>Walker</t>
  </si>
  <si>
    <t>Encina Wastewater Authority</t>
  </si>
  <si>
    <t>Danny</t>
  </si>
  <si>
    <t>Kirbyville Cisd</t>
  </si>
  <si>
    <t>dustin</t>
  </si>
  <si>
    <t>rutherford</t>
  </si>
  <si>
    <t>ABBIE</t>
  </si>
  <si>
    <t>FINLINSON</t>
  </si>
  <si>
    <t>01/28/2024</t>
  </si>
  <si>
    <t>TYSON</t>
  </si>
  <si>
    <t>CRANE</t>
  </si>
  <si>
    <t>12/10/2024</t>
  </si>
  <si>
    <t>Conservice, LLC</t>
  </si>
  <si>
    <t>ALEX</t>
  </si>
  <si>
    <t>BENTLEY</t>
  </si>
  <si>
    <t>Mechanics Bank</t>
  </si>
  <si>
    <t>Helems</t>
  </si>
  <si>
    <t>Maren</t>
  </si>
  <si>
    <t>Dellin</t>
  </si>
  <si>
    <t>Qi</t>
  </si>
  <si>
    <t>Zhi</t>
  </si>
  <si>
    <t>Koreatown Youth and Community Center, Inc.</t>
  </si>
  <si>
    <t>Hayoung</t>
  </si>
  <si>
    <t>Protegrity USA</t>
  </si>
  <si>
    <t>Bruce</t>
  </si>
  <si>
    <t>Vaporizer was FSA eleigible and NBS rule for humidifier was eleigible and do not required an LOMN for this Vaporizer/humidifier  cold/sinus device</t>
  </si>
  <si>
    <t>Amazon order date was 11/24/2024, claim processed with shipping date 11/25/2024</t>
  </si>
  <si>
    <t>F. Michael Stone, An Accountancy Corp.</t>
  </si>
  <si>
    <t>Samir</t>
  </si>
  <si>
    <t>Aiyana</t>
  </si>
  <si>
    <t>Mourtos</t>
  </si>
  <si>
    <t xml:space="preserve">EE request to deny- okay that it was non HRA processor as claim was pended, nothing  paid </t>
  </si>
  <si>
    <t>Gibby</t>
  </si>
  <si>
    <t>WSRP Advisory LLC</t>
  </si>
  <si>
    <t>SAMANTHA</t>
  </si>
  <si>
    <t>SWANEY</t>
  </si>
  <si>
    <t>DOUGLAS</t>
  </si>
  <si>
    <t>HOSNER</t>
  </si>
  <si>
    <t>KIRA</t>
  </si>
  <si>
    <t>BRADSHAW</t>
  </si>
  <si>
    <t>Sutton</t>
  </si>
  <si>
    <t>NOELLE</t>
  </si>
  <si>
    <t>GUTIERREZ</t>
  </si>
  <si>
    <t>Siemers</t>
  </si>
  <si>
    <t>Jaime</t>
  </si>
  <si>
    <t>NANCY</t>
  </si>
  <si>
    <t>ZEREGA</t>
  </si>
  <si>
    <t>Lonergan</t>
  </si>
  <si>
    <t>Logan City School District</t>
  </si>
  <si>
    <t>TREVOR</t>
  </si>
  <si>
    <t>Williams</t>
  </si>
  <si>
    <t>Adriana</t>
  </si>
  <si>
    <t>Prause</t>
  </si>
  <si>
    <t>Service dates on sub doc are 10/24/2024-10/26/2024 vs 10/24/2024-11/24/2024 on reprocessed approved claim dates- No notes in PI or on claim notes/processing notes on account</t>
  </si>
  <si>
    <t>Kenan</t>
  </si>
  <si>
    <t>Delgado</t>
  </si>
  <si>
    <t>Mayr</t>
  </si>
  <si>
    <t>12/08/2024</t>
  </si>
  <si>
    <t>Huebner</t>
  </si>
  <si>
    <t>Ronaldo</t>
  </si>
  <si>
    <t>Guevara</t>
  </si>
  <si>
    <t>Justice</t>
  </si>
  <si>
    <t>Gonzales</t>
  </si>
  <si>
    <t>SARA</t>
  </si>
  <si>
    <t>MCGARRY</t>
  </si>
  <si>
    <t>Ricky</t>
  </si>
  <si>
    <t>GABRIEL</t>
  </si>
  <si>
    <t>BARAJAS</t>
  </si>
  <si>
    <t>04/18/2024</t>
  </si>
  <si>
    <t>04/17/20225</t>
  </si>
  <si>
    <t>Henze</t>
  </si>
  <si>
    <t>King</t>
  </si>
  <si>
    <t>NuStar GP, LLC</t>
  </si>
  <si>
    <t>Howard</t>
  </si>
  <si>
    <t>Oubre</t>
  </si>
  <si>
    <t>12/31/2024</t>
  </si>
  <si>
    <t>Brandy</t>
  </si>
  <si>
    <t>Bonner</t>
  </si>
  <si>
    <t>ARMSTRONG</t>
  </si>
  <si>
    <t>Weber County Corp</t>
  </si>
  <si>
    <t>Shaner</t>
  </si>
  <si>
    <t>Oler</t>
  </si>
  <si>
    <t>12/07/2024</t>
  </si>
  <si>
    <t>Grube</t>
  </si>
  <si>
    <t>THURBER</t>
  </si>
  <si>
    <t>Curry</t>
  </si>
  <si>
    <t>Brenna</t>
  </si>
  <si>
    <t>Because there is no payment receipt, we use the fill date which is 09/23/24</t>
  </si>
  <si>
    <t>Controlled Entry Distributors, Inc.</t>
  </si>
  <si>
    <t>Dillingham</t>
  </si>
  <si>
    <t>05/27/2024</t>
  </si>
  <si>
    <t>order date was 07/03/2024</t>
  </si>
  <si>
    <t>JENSEN</t>
  </si>
  <si>
    <t>Comagine Health</t>
  </si>
  <si>
    <t>Shireen</t>
  </si>
  <si>
    <t>Bank Of Idaho</t>
  </si>
  <si>
    <t>Killian</t>
  </si>
  <si>
    <t>Watanabe Ing LLP</t>
  </si>
  <si>
    <t>Denisa</t>
  </si>
  <si>
    <t>Matsuda</t>
  </si>
  <si>
    <t>Tana</t>
  </si>
  <si>
    <t>Kekina-Cabaniero</t>
  </si>
  <si>
    <t>LookingPoint, Inc.</t>
  </si>
  <si>
    <t>Higgins</t>
  </si>
  <si>
    <t>Amy</t>
  </si>
  <si>
    <t>Thompson-Ingraham</t>
  </si>
  <si>
    <t>NAOMI</t>
  </si>
  <si>
    <t>HERNANDEZ-SCHLEMMER</t>
  </si>
  <si>
    <t xml:space="preserve">The discription of service is office visit (OV) insurance paid $145 leaving patient balance of $34.42. Please reprocess claim. </t>
  </si>
  <si>
    <t>Boy Scouts of America- Aloha Council</t>
  </si>
  <si>
    <t>Blakely</t>
  </si>
  <si>
    <t>Parsons</t>
  </si>
  <si>
    <t>Korshin</t>
  </si>
  <si>
    <t>12/11/2024</t>
  </si>
  <si>
    <t>MEREDITH</t>
  </si>
  <si>
    <t>KLEMAN</t>
  </si>
  <si>
    <t>DHIRAPRASIDDHI</t>
  </si>
  <si>
    <t>After insurance payments, only $221.10 is eligible. The account credit is not eligible.</t>
  </si>
  <si>
    <t>BRITTANY</t>
  </si>
  <si>
    <t>DEGENNARO</t>
  </si>
  <si>
    <t xml:space="preserve">Rule x3 can be used with this claim. Monthly payments of $335 was paid on the first of each month Jan-June. Doc says its for before and after care. </t>
  </si>
  <si>
    <t>SHANNON</t>
  </si>
  <si>
    <t>COCHRAN</t>
  </si>
  <si>
    <t>CHAD</t>
  </si>
  <si>
    <t>GEORGE</t>
  </si>
  <si>
    <t>Finser Corporation</t>
  </si>
  <si>
    <t>Carlos</t>
  </si>
  <si>
    <t>Fermin</t>
  </si>
  <si>
    <t>12/09/2024</t>
  </si>
  <si>
    <t>Karina</t>
  </si>
  <si>
    <t>Pinduisaca</t>
  </si>
  <si>
    <t>Castonguay</t>
  </si>
  <si>
    <t>Shafer</t>
  </si>
  <si>
    <t>CASSIDY</t>
  </si>
  <si>
    <t>CRUZ</t>
  </si>
  <si>
    <t>VIVIAN</t>
  </si>
  <si>
    <t>LI</t>
  </si>
  <si>
    <t>Tom</t>
  </si>
  <si>
    <t>Carishia</t>
  </si>
  <si>
    <t>United Way of San Antonio and Bexar County</t>
  </si>
  <si>
    <t>Valerie</t>
  </si>
  <si>
    <t>Ocran</t>
  </si>
  <si>
    <t>Valerian</t>
  </si>
  <si>
    <t>Dante</t>
  </si>
  <si>
    <t>Douglas</t>
  </si>
  <si>
    <t>Burlingame</t>
  </si>
  <si>
    <t>Charges and payment for the $85.00 is dated 12/01/2023 and 12/05/2023. Claim processed with 12/01/2024-12/06/2024 dates, but  charges and payment dates are 12/01/2023 and 12/05/2023 for the $85.00</t>
  </si>
  <si>
    <t>KATHLEEN ANNE</t>
  </si>
  <si>
    <t>Mara</t>
  </si>
  <si>
    <t>de la Cruz</t>
  </si>
  <si>
    <t>Dena</t>
  </si>
  <si>
    <t>Kobayashi</t>
  </si>
  <si>
    <t>St. James Parish Hospital</t>
  </si>
  <si>
    <t>Theresa</t>
  </si>
  <si>
    <t>Jenkins</t>
  </si>
  <si>
    <t>Maypearl ISD</t>
  </si>
  <si>
    <t>Darla</t>
  </si>
  <si>
    <t>Calvery</t>
  </si>
  <si>
    <t>JEFF</t>
  </si>
  <si>
    <t>COOK</t>
  </si>
  <si>
    <t>12/17/2024</t>
  </si>
  <si>
    <t>SHARP</t>
  </si>
  <si>
    <t>total of both RX was $23. claim was approved for $23.90</t>
  </si>
  <si>
    <t>Remember to put the RX number in the description line.</t>
  </si>
  <si>
    <t>National Tropical Botanical Gdn-ProServi</t>
  </si>
  <si>
    <t>TIMOTHY</t>
  </si>
  <si>
    <t>FLYNN</t>
  </si>
  <si>
    <t>Troy Independent School District</t>
  </si>
  <si>
    <t>MYERS-JOLLIFF</t>
  </si>
  <si>
    <t>Archer City ISD</t>
  </si>
  <si>
    <t>VICKY</t>
  </si>
  <si>
    <t>LOPEZ</t>
  </si>
  <si>
    <t>Tiffany</t>
  </si>
  <si>
    <t>Whaley</t>
  </si>
  <si>
    <t>The original claim was submitted before the runout. Was corrected with claim below</t>
  </si>
  <si>
    <t>Good catch realizing the claim was no approved and reprocessing to  pay out.</t>
  </si>
  <si>
    <t>Jagee Management, LLC</t>
  </si>
  <si>
    <t>HARVEY  REECE</t>
  </si>
  <si>
    <t>PETTIGREW</t>
  </si>
  <si>
    <t>WAHLIA</t>
  </si>
  <si>
    <t>JONES-WOOLLEY</t>
  </si>
  <si>
    <t>Stephen</t>
  </si>
  <si>
    <t>Van Zee</t>
  </si>
  <si>
    <t>RBS Holdings, LLC</t>
  </si>
  <si>
    <t>Jay</t>
  </si>
  <si>
    <t>Heiligenstein</t>
  </si>
  <si>
    <t>Walls</t>
  </si>
  <si>
    <t>There were additional pages included with claim. The entire claim should have been approved. Make sure to always scroll to the end.</t>
  </si>
  <si>
    <t>LILLIAN</t>
  </si>
  <si>
    <t>FORTISCUE</t>
  </si>
  <si>
    <t>RAECHEL</t>
  </si>
  <si>
    <t>FRENCH</t>
  </si>
  <si>
    <t>DALTON</t>
  </si>
  <si>
    <t>POOL</t>
  </si>
  <si>
    <t>Caption Call, LLC</t>
  </si>
  <si>
    <t>Nuttall</t>
  </si>
  <si>
    <t>03/25/2024</t>
  </si>
  <si>
    <t>02/08/2024</t>
  </si>
  <si>
    <t>Si In</t>
  </si>
  <si>
    <t>Iong</t>
  </si>
  <si>
    <t>DAI50627</t>
  </si>
  <si>
    <t>ADAM</t>
  </si>
  <si>
    <t>ZURBRUGG</t>
  </si>
  <si>
    <t>Jolly</t>
  </si>
  <si>
    <t>Kasper</t>
  </si>
  <si>
    <t>Gluzman</t>
  </si>
  <si>
    <t>Receipt attached to the claim is missing DOS. Please get and updated receipt from the EE. Thanks</t>
  </si>
  <si>
    <t>Charan Tej Reddy</t>
  </si>
  <si>
    <t>Kalluri</t>
  </si>
  <si>
    <t>12/12/2024</t>
  </si>
  <si>
    <t>Mission Cloud Services, Inc. dba Mission</t>
  </si>
  <si>
    <t>Zijada</t>
  </si>
  <si>
    <t>Beganovic</t>
  </si>
  <si>
    <t>Aspire</t>
  </si>
  <si>
    <t>Betene</t>
  </si>
  <si>
    <t>Lumpp</t>
  </si>
  <si>
    <t>KARL</t>
  </si>
  <si>
    <t>KUEHN</t>
  </si>
  <si>
    <t>MCCOY-ALCHUS</t>
  </si>
  <si>
    <t>LORNA</t>
  </si>
  <si>
    <t>KIDD</t>
  </si>
  <si>
    <t>BROOKE</t>
  </si>
  <si>
    <t>JACINTHO</t>
  </si>
  <si>
    <t>12/13/2024</t>
  </si>
  <si>
    <t>R.M. Towill Corporation</t>
  </si>
  <si>
    <t>Tsung I</t>
  </si>
  <si>
    <t>Liao</t>
  </si>
  <si>
    <t xml:space="preserve">Statement provided shows DOS 7/27/24. Please review and reprocess with correct account since funds have rolled. Thanks </t>
  </si>
  <si>
    <t>Neal</t>
  </si>
  <si>
    <t>Jeffery</t>
  </si>
  <si>
    <t>Beginning and ending dates of service are the same. End date should be 11/30/24</t>
  </si>
  <si>
    <t>12/14/2024</t>
  </si>
  <si>
    <t>Kaya</t>
  </si>
  <si>
    <t>Mercier</t>
  </si>
  <si>
    <t>Allan</t>
  </si>
  <si>
    <t>Garde</t>
  </si>
  <si>
    <t>Bruno</t>
  </si>
  <si>
    <t>Kaly</t>
  </si>
  <si>
    <t>Shippen</t>
  </si>
  <si>
    <t>01/26/2024</t>
  </si>
  <si>
    <t>01/25/2024</t>
  </si>
  <si>
    <t>Airlines Reporting Corporation</t>
  </si>
  <si>
    <t>12/18/2024</t>
  </si>
  <si>
    <t>SERINA</t>
  </si>
  <si>
    <t>KNAGGS</t>
  </si>
  <si>
    <t>Young</t>
  </si>
  <si>
    <t>Barbara</t>
  </si>
  <si>
    <t>Vaher</t>
  </si>
  <si>
    <t>Cascade Family Dental</t>
  </si>
  <si>
    <t>Keeler</t>
  </si>
  <si>
    <t>12/15/2024</t>
  </si>
  <si>
    <t>This is an HRA all213 plan and should only be processed by HRA processors. Please make sure you are double checking the plan type. Thanks :)</t>
  </si>
  <si>
    <t>TOMIELLO</t>
  </si>
  <si>
    <t>RUBOW</t>
  </si>
  <si>
    <t>Tivity Health, Inc.</t>
  </si>
  <si>
    <t>Brandon</t>
  </si>
  <si>
    <t>Nahale</t>
  </si>
  <si>
    <t>03/05/2024</t>
  </si>
  <si>
    <t>Roseanne</t>
  </si>
  <si>
    <t>Ranada</t>
  </si>
  <si>
    <t>GRACIE</t>
  </si>
  <si>
    <t>02/16/2024</t>
  </si>
  <si>
    <t>04/05/2024</t>
  </si>
  <si>
    <t>Villeza</t>
  </si>
  <si>
    <t>Amer Sports Company</t>
  </si>
  <si>
    <t>Landeryou</t>
  </si>
  <si>
    <t>Kimberley</t>
  </si>
  <si>
    <t>Lawrence</t>
  </si>
  <si>
    <t>In Tech Collegiate High School</t>
  </si>
  <si>
    <t>Stull</t>
  </si>
  <si>
    <t>QUARLES</t>
  </si>
  <si>
    <t>Mt. San Antonio Gardens</t>
  </si>
  <si>
    <t>Fabela</t>
  </si>
  <si>
    <t>Sheila</t>
  </si>
  <si>
    <t>Holmes</t>
  </si>
  <si>
    <t>Denyelle</t>
  </si>
  <si>
    <t>Thomson</t>
  </si>
  <si>
    <t>01/06/2024</t>
  </si>
  <si>
    <t>Brisbay</t>
  </si>
  <si>
    <t>Toller</t>
  </si>
  <si>
    <t>Jane</t>
  </si>
  <si>
    <t>Wen</t>
  </si>
  <si>
    <t>Clayton</t>
  </si>
  <si>
    <t>Dickson</t>
  </si>
  <si>
    <t>Katherine</t>
  </si>
  <si>
    <t>Hegland</t>
  </si>
  <si>
    <t>12/16/2024</t>
  </si>
  <si>
    <t>Hansen</t>
  </si>
  <si>
    <t>Raja Sehdev</t>
  </si>
  <si>
    <t>Handa</t>
  </si>
  <si>
    <t>Patience-Ann</t>
  </si>
  <si>
    <t>TAN</t>
  </si>
  <si>
    <t>Springston</t>
  </si>
  <si>
    <t>ROS87556</t>
  </si>
  <si>
    <t>Syed</t>
  </si>
  <si>
    <t>Bukhari</t>
  </si>
  <si>
    <t>Peggy</t>
  </si>
  <si>
    <t>Leung</t>
  </si>
  <si>
    <t>08/31/2023</t>
  </si>
  <si>
    <t>Yesco, LLC</t>
  </si>
  <si>
    <t>Brent</t>
  </si>
  <si>
    <t>Nolen</t>
  </si>
  <si>
    <t>Document did show service date, this could have been approved.</t>
  </si>
  <si>
    <t>Oberhofer</t>
  </si>
  <si>
    <t>Ines</t>
  </si>
  <si>
    <t>PAMELA</t>
  </si>
  <si>
    <t>OLSON</t>
  </si>
  <si>
    <t xml:space="preserve">Document provided shows amount charged was $174, insurance $68.73 and patient portion$105.07.  There are no 2024 funds left so reprocessing isn't necessary. </t>
  </si>
  <si>
    <t xml:space="preserve">Document provided shows amount charged was $333, insurance $121.78 and patient portion $211.22. There are no 2024 funds left so reprocessing isn't necessary. Part of the above claim so marking correct.  </t>
  </si>
  <si>
    <t xml:space="preserve">This claim was pened and then reprocessed in WEBs. Claiim was eligible.   Part of the above claim so marking correct.  </t>
  </si>
  <si>
    <t>VIRGINIA LEE</t>
  </si>
  <si>
    <t>LAURIE</t>
  </si>
  <si>
    <t>CHRISTAL</t>
  </si>
  <si>
    <t>RAEHL</t>
  </si>
  <si>
    <t xml:space="preserve">Claim shows at the bottom and the top "amount owed provider".  Tthis was later reprocessed by you.   </t>
  </si>
  <si>
    <t>VICTORIA</t>
  </si>
  <si>
    <t>MARSH</t>
  </si>
  <si>
    <t xml:space="preserve">C </t>
  </si>
  <si>
    <t>RASMUSSEN</t>
  </si>
  <si>
    <t>Gravelle</t>
  </si>
  <si>
    <t>ANNA</t>
  </si>
  <si>
    <t>KAMMERMAN</t>
  </si>
  <si>
    <t>Kaitlin</t>
  </si>
  <si>
    <t>Holton</t>
  </si>
  <si>
    <t>12/22/2024</t>
  </si>
  <si>
    <t>Wendy</t>
  </si>
  <si>
    <t>MONTIQUE</t>
  </si>
  <si>
    <t>KALILIKANE</t>
  </si>
  <si>
    <t>Namyoung Lisa</t>
  </si>
  <si>
    <t>Kim</t>
  </si>
  <si>
    <t>03/16/2024</t>
  </si>
  <si>
    <t>Orion Construction</t>
  </si>
  <si>
    <t>Dowsing</t>
  </si>
  <si>
    <t>Xotchil</t>
  </si>
  <si>
    <t>Montenegro Garcia</t>
  </si>
  <si>
    <t>Modere Inc.</t>
  </si>
  <si>
    <t>Ash</t>
  </si>
  <si>
    <t>Walton</t>
  </si>
  <si>
    <t>12/19/2024</t>
  </si>
  <si>
    <t>12/21/2024</t>
  </si>
  <si>
    <t>Bobby</t>
  </si>
  <si>
    <t>Pohan</t>
  </si>
  <si>
    <t>Myrick</t>
  </si>
  <si>
    <t>Some of the item on receipt were eligible. Please approve the portion that is eligible instead of dening all of the claim. The claim was resubmitted and eligible portion was approved by another processor.</t>
  </si>
  <si>
    <t>Oakland Tech Exchange</t>
  </si>
  <si>
    <t>Martinez Aristondo</t>
  </si>
  <si>
    <t>12/20/2024</t>
  </si>
  <si>
    <t>Maca Castings and Machine, Inc</t>
  </si>
  <si>
    <t>Broekhuijsen</t>
  </si>
  <si>
    <t>Bronson</t>
  </si>
  <si>
    <t>12/26/2024</t>
  </si>
  <si>
    <t>PATRICE</t>
  </si>
  <si>
    <t>FLOWERS</t>
  </si>
  <si>
    <t>Seitz</t>
  </si>
  <si>
    <t>TARNAS</t>
  </si>
  <si>
    <t>Pflug</t>
  </si>
  <si>
    <t>Texas City ISD</t>
  </si>
  <si>
    <t>Haywood</t>
  </si>
  <si>
    <t>Neely</t>
  </si>
  <si>
    <t>CINDY</t>
  </si>
  <si>
    <t>NAWILIS</t>
  </si>
  <si>
    <t>12/24/2024</t>
  </si>
  <si>
    <t xml:space="preserve">Babel Street Inc. </t>
  </si>
  <si>
    <t>McDaniel</t>
  </si>
  <si>
    <t>Wicker</t>
  </si>
  <si>
    <t>12/25/2024</t>
  </si>
  <si>
    <t>Gainesville Independent School District</t>
  </si>
  <si>
    <t>JANA</t>
  </si>
  <si>
    <t>STOFFELS</t>
  </si>
  <si>
    <t>Weslaco Isd</t>
  </si>
  <si>
    <t>GRISELDA</t>
  </si>
  <si>
    <t>GUERRA</t>
  </si>
  <si>
    <t>02/22/2024</t>
  </si>
  <si>
    <t>Hurd</t>
  </si>
  <si>
    <t>HOLDEN</t>
  </si>
  <si>
    <t>TENY</t>
  </si>
  <si>
    <t>Adrienne</t>
  </si>
  <si>
    <t>Suggs</t>
  </si>
  <si>
    <t>FFKR Architects Planners II</t>
  </si>
  <si>
    <t>Wright</t>
  </si>
  <si>
    <t>MarCom, LLC</t>
  </si>
  <si>
    <t>Milloway</t>
  </si>
  <si>
    <t>03/13/2024</t>
  </si>
  <si>
    <t>Dustin</t>
  </si>
  <si>
    <t>Glen</t>
  </si>
  <si>
    <t>Ashcraft</t>
  </si>
  <si>
    <t>TIERRA</t>
  </si>
  <si>
    <t>CHOICE</t>
  </si>
  <si>
    <t>Incommons Bank</t>
  </si>
  <si>
    <t>Stubbs</t>
  </si>
  <si>
    <t>Claims were entered on the wrong EE's account.</t>
  </si>
  <si>
    <t>Ling</t>
  </si>
  <si>
    <t>03/15/2024</t>
  </si>
  <si>
    <t>Lucero</t>
  </si>
  <si>
    <t>Shane</t>
  </si>
  <si>
    <t>Sorbom</t>
  </si>
  <si>
    <t>Service dates are 05/28/24-08/01/24</t>
  </si>
  <si>
    <t>Villegas</t>
  </si>
  <si>
    <t>02/03/2024</t>
  </si>
  <si>
    <t xml:space="preserve">DOS 02/01/24. For discription you are putting the insurance provider not the Provider who rendered service. </t>
  </si>
  <si>
    <t>Edel</t>
  </si>
  <si>
    <t>Said it was submitted after deadline, but I see with the next claim you fixed it. Good catch.</t>
  </si>
  <si>
    <t>PAOLILLO</t>
  </si>
  <si>
    <t>Teton County School District #401</t>
  </si>
  <si>
    <t>Loudenslager</t>
  </si>
  <si>
    <t>Leon</t>
  </si>
  <si>
    <t>Smyers</t>
  </si>
  <si>
    <t>THADDEUS</t>
  </si>
  <si>
    <t>MORSE</t>
  </si>
  <si>
    <t>Chelby</t>
  </si>
  <si>
    <t>Kjell</t>
  </si>
  <si>
    <t>Carlsson</t>
  </si>
  <si>
    <t>Maloney</t>
  </si>
  <si>
    <t>Rosenthal</t>
  </si>
  <si>
    <t>Maughan-Thyme Pub., LLC dba Premier Tech Partners</t>
  </si>
  <si>
    <t>Knowles</t>
  </si>
  <si>
    <t>Corinna</t>
  </si>
  <si>
    <t>Pinzari</t>
  </si>
  <si>
    <t>Swee</t>
  </si>
  <si>
    <t>Wah</t>
  </si>
  <si>
    <t>JIM</t>
  </si>
  <si>
    <t>CAMPBELL</t>
  </si>
  <si>
    <t>Expertvoice</t>
  </si>
  <si>
    <t>Shanley</t>
  </si>
  <si>
    <t>Irina</t>
  </si>
  <si>
    <t>Nekrasova</t>
  </si>
  <si>
    <t xml:space="preserve">Please do not process HRA claims.  Those should be sent as a lunchticket to the HRA team to process. </t>
  </si>
  <si>
    <t>Claims Audit Team Completion Summary</t>
  </si>
  <si>
    <t>2024 4th Quarter</t>
  </si>
  <si>
    <t>2024 Q4 Audit Weeks</t>
  </si>
  <si>
    <t>C: Complete     I: Incomplete     PD: Past Due     SA: Secondary Auditor</t>
  </si>
  <si>
    <t>Corresponding Tab</t>
  </si>
  <si>
    <t>09_30_10_06</t>
  </si>
  <si>
    <t>10_07_10_13</t>
  </si>
  <si>
    <t>10_14_10_20</t>
  </si>
  <si>
    <t>10_21_10_27</t>
  </si>
  <si>
    <t>10_28_11_03</t>
  </si>
  <si>
    <t>11_04_11_10</t>
  </si>
  <si>
    <t>11_11_11_17</t>
  </si>
  <si>
    <t>11_18_11_24</t>
  </si>
  <si>
    <t>11_25_12_01</t>
  </si>
  <si>
    <t>12_02_12_08</t>
  </si>
  <si>
    <t>12_09_12_15</t>
  </si>
  <si>
    <t>12_16_12_22</t>
  </si>
  <si>
    <t>12_23_12_29</t>
  </si>
  <si>
    <t>12_30_01_05</t>
  </si>
  <si>
    <t>Complete By</t>
  </si>
  <si>
    <t>Audit Status</t>
  </si>
  <si>
    <t>I</t>
  </si>
  <si>
    <t>PD</t>
  </si>
  <si>
    <t>SA</t>
  </si>
  <si>
    <t>Total Assigned</t>
  </si>
  <si>
    <t>Completion %</t>
  </si>
  <si>
    <t>Get Overview Report Work Totals</t>
  </si>
  <si>
    <t>Send Completed Audit Emails</t>
  </si>
  <si>
    <t>Add PD/SA, Audit % to Overview Report</t>
  </si>
  <si>
    <t>Import Completed O.Rpts to MC SS</t>
  </si>
  <si>
    <t>Claims Audit Accuracy Summary</t>
  </si>
  <si>
    <t>Name</t>
  </si>
  <si>
    <t>Total</t>
  </si>
  <si>
    <t>Team</t>
  </si>
  <si>
    <t>Count</t>
  </si>
  <si>
    <t>Error %</t>
  </si>
  <si>
    <t>Kaylee Brown</t>
  </si>
  <si>
    <t>KAYLEEB</t>
  </si>
  <si>
    <t>KB</t>
  </si>
  <si>
    <t>Brown, Kaylee</t>
  </si>
  <si>
    <t>kayleeb@nbsbenefits.com</t>
  </si>
  <si>
    <t>MiKayla Aaron</t>
  </si>
  <si>
    <t>MiKayla</t>
  </si>
  <si>
    <t>MA</t>
  </si>
  <si>
    <t>Aaron, MiKayla</t>
  </si>
  <si>
    <t>mikaylaa@nbsbenefits.com</t>
  </si>
  <si>
    <t>New Week Creation Macro Back-End Controls</t>
  </si>
  <si>
    <t>(Updating information in the tables on this sheet will affect the New Week Creation Macro)</t>
  </si>
  <si>
    <t>Audit Team List</t>
  </si>
  <si>
    <t>Auditor Lists for New Week Creation Macro</t>
  </si>
  <si>
    <t>Audit Half Portion Amount</t>
  </si>
  <si>
    <t>FSA Claim Types</t>
  </si>
  <si>
    <t>Load</t>
  </si>
  <si>
    <t>SubGroup</t>
  </si>
  <si>
    <t>HRA/FSA Auditors</t>
  </si>
  <si>
    <t>FSA Only Auditors</t>
  </si>
  <si>
    <t>ABH</t>
  </si>
  <si>
    <t>Full</t>
  </si>
  <si>
    <t>FSA Only</t>
  </si>
  <si>
    <t>Amount</t>
  </si>
  <si>
    <t>DCAP</t>
  </si>
  <si>
    <t>Half</t>
  </si>
  <si>
    <t>FSA/HRA</t>
  </si>
  <si>
    <t>FSN</t>
  </si>
  <si>
    <t>LTD</t>
  </si>
  <si>
    <t>PNC</t>
  </si>
  <si>
    <t>RO1</t>
  </si>
  <si>
    <t>RO2</t>
  </si>
  <si>
    <t>*REMOVE AUDITORS FROM THIS LIST IF THEY SHOULD NOT HAVE AUDITS ASSIGNED</t>
  </si>
  <si>
    <t>RO3</t>
  </si>
  <si>
    <t>*UPDATE THIS LIST AS NEEDED</t>
  </si>
  <si>
    <t>*PLEASE MAKE SURE THERE IS NOT AN EMPTY ROW BETWEEN TEAM MEMBERS</t>
  </si>
  <si>
    <t>RO4</t>
  </si>
  <si>
    <t>*FOR REFERENCE ONLY - MACRO DOES NOT USE</t>
  </si>
  <si>
    <t>*AT LEAST ONE HRA/FSA AUDITOR IS REQUIRED</t>
  </si>
  <si>
    <t>DC2</t>
  </si>
  <si>
    <t>Cafeteria Teams Directory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</si>
</sst>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10409]&quot;$&quot;#,##0.00;\(&quot;$&quot;#,##0.00\);&quot;$0.00&quot;"/>
  </numFmts>
  <fonts count="32" x14ac:knownFonts="1">
    <font>
      <sz val="11"/>
      <color theme="1"/>
      <name val="Aptos Narrow"/>
      <family val="2"/>
      <scheme val="minor"/>
    </font>
    <font>
      <b/>
      <sz val="11"/>
      <color theme="0"/>
      <name val="Aptos Narrow"/>
      <family val="2"/>
      <scheme val="minor"/>
    </font>
    <font>
      <sz val="14"/>
      <color theme="1"/>
      <name val="Aptos Narrow"/>
      <family val="2"/>
      <scheme val="minor"/>
    </font>
    <font>
      <sz val="8"/>
      <color theme="1"/>
      <name val="Aptos Narrow"/>
      <family val="2"/>
      <scheme val="minor"/>
    </font>
    <font>
      <sz val="11"/>
      <color rgb="FF000000"/>
      <name val="Aptos Narrow"/>
      <family val="2"/>
      <scheme val="minor"/>
    </font>
    <font>
      <sz val="26"/>
      <color theme="1"/>
      <name val="Aptos Narrow"/>
      <family val="2"/>
      <scheme val="minor"/>
    </font>
    <font>
      <b/>
      <sz val="18"/>
      <color theme="0"/>
      <name val="Aptos Narrow"/>
      <family val="2"/>
      <scheme val="minor"/>
    </font>
    <font>
      <b/>
      <sz val="9"/>
      <color theme="0"/>
      <name val="Aptos Narrow"/>
      <family val="2"/>
      <scheme val="minor"/>
    </font>
    <font>
      <sz val="18"/>
      <color theme="1"/>
      <name val="Aptos Narrow"/>
      <family val="2"/>
      <scheme val="minor"/>
    </font>
    <font>
      <b/>
      <sz val="12"/>
      <color theme="0"/>
      <name val="Aptos Narrow"/>
      <family val="2"/>
      <scheme val="minor"/>
    </font>
    <font>
      <b/>
      <sz val="20"/>
      <name val="Arial"/>
      <family val="2"/>
    </font>
    <font>
      <sz val="20"/>
      <color theme="0"/>
      <name val="Aptos Narrow"/>
      <family val="2"/>
      <scheme val="minor"/>
    </font>
    <font>
      <sz val="22"/>
      <color theme="1"/>
      <name val="Aptos Narrow"/>
      <family val="2"/>
      <scheme val="minor"/>
    </font>
    <font>
      <sz val="10"/>
      <name val="Arial"/>
      <family val="2"/>
    </font>
    <font>
      <b/>
      <sz val="9"/>
      <color indexed="81"/>
      <name val="Tahoma"/>
      <family val="2"/>
    </font>
    <font>
      <sz val="9"/>
      <color indexed="81"/>
      <name val="Tahoma"/>
      <family val="2"/>
    </font>
    <font>
      <sz val="18"/>
      <name val="Arial"/>
      <family val="2"/>
    </font>
    <font>
      <sz val="26"/>
      <name val="Aptos Narrow"/>
      <family val="2"/>
    </font>
    <font>
      <sz val="11"/>
      <name val="Arial"/>
      <family val="2"/>
    </font>
    <font>
      <sz val="14"/>
      <name val="Arial"/>
      <family val="2"/>
    </font>
    <font>
      <b/>
      <sz val="10"/>
      <name val="Arial"/>
      <family val="2"/>
    </font>
    <font>
      <sz val="12"/>
      <name val="Arial"/>
      <family val="2"/>
    </font>
    <font>
      <b/>
      <sz val="10"/>
      <color indexed="8"/>
      <name val="Arial"/>
      <family val="2"/>
    </font>
    <font>
      <sz val="10"/>
      <color indexed="8"/>
      <name val="Arial"/>
      <family val="2"/>
    </font>
    <font>
      <sz val="10"/>
      <color rgb="FF484848"/>
      <name val="Calibri"/>
      <family val="2"/>
      <charset val="1"/>
    </font>
    <font>
      <sz val="11"/>
      <name val="Aptos Narrow"/>
      <family val="2"/>
      <scheme val="minor"/>
    </font>
    <font>
      <sz val="11"/>
      <color theme="0"/>
      <name val="Aptos Narrow"/>
      <family val="2"/>
      <scheme val="minor"/>
    </font>
    <font>
      <sz val="10"/>
      <color rgb="FF000000"/>
      <name val="Arial"/>
      <family val="2"/>
    </font>
    <font>
      <sz val="11"/>
      <color rgb="FF000000"/>
      <name val="Aptos Narrow"/>
      <family val="2"/>
    </font>
    <font>
      <sz val="10"/>
      <color rgb="FFFF0000"/>
      <name val="Arial"/>
      <family val="2"/>
    </font>
    <font>
      <sz val="10"/>
      <color rgb="FF000000"/>
      <name val="Arial"/>
      <charset val="1"/>
    </font>
    <font>
      <sz val="10"/>
      <color indexed="8"/>
      <name val="Arial"/>
    </font>
  </fonts>
  <fills count="19">
    <fill>
      <patternFill patternType="none"/>
    </fill>
    <fill>
      <patternFill patternType="gray125"/>
    </fill>
    <fill>
      <patternFill patternType="solid">
        <fgColor theme="0" tint="-0.14999847407452621"/>
        <bgColor indexed="64"/>
      </patternFill>
    </fill>
    <fill>
      <patternFill patternType="solid">
        <fgColor theme="9" tint="0.59999389629810485"/>
        <bgColor indexed="64"/>
      </patternFill>
    </fill>
    <fill>
      <patternFill patternType="solid">
        <fgColor theme="2"/>
        <bgColor indexed="64"/>
      </patternFill>
    </fill>
    <fill>
      <patternFill patternType="solid">
        <fgColor theme="0" tint="-0.34998626667073579"/>
        <bgColor indexed="64"/>
      </patternFill>
    </fill>
    <fill>
      <patternFill patternType="solid">
        <fgColor theme="4" tint="0.59999389629810485"/>
        <bgColor indexed="64"/>
      </patternFill>
    </fill>
    <fill>
      <patternFill patternType="solid">
        <fgColor theme="4" tint="-0.499984740745262"/>
        <bgColor indexed="64"/>
      </patternFill>
    </fill>
    <fill>
      <patternFill patternType="solid">
        <fgColor theme="4" tint="-0.249977111117893"/>
        <bgColor indexed="64"/>
      </patternFill>
    </fill>
    <fill>
      <patternFill patternType="solid">
        <fgColor theme="0" tint="-0.499984740745262"/>
        <bgColor indexed="64"/>
      </patternFill>
    </fill>
    <fill>
      <patternFill patternType="solid">
        <fgColor theme="4"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indexed="9"/>
        <bgColor indexed="0"/>
      </patternFill>
    </fill>
    <fill>
      <patternFill patternType="solid">
        <fgColor rgb="FFF2F2F2"/>
        <bgColor indexed="64"/>
      </patternFill>
    </fill>
    <fill>
      <patternFill patternType="solid">
        <fgColor rgb="FFD9D9D9"/>
        <bgColor indexed="0"/>
      </patternFill>
    </fill>
    <fill>
      <patternFill patternType="solid">
        <fgColor rgb="FFFCFCFC"/>
        <bgColor indexed="64"/>
      </patternFill>
    </fill>
    <fill>
      <patternFill patternType="solid">
        <fgColor rgb="FFFFFF00"/>
        <bgColor indexed="64"/>
      </patternFill>
    </fill>
  </fills>
  <borders count="31">
    <border>
      <left/>
      <right/>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thin">
        <color indexed="64"/>
      </right>
      <top/>
      <bottom/>
      <diagonal/>
    </border>
    <border>
      <left/>
      <right style="thin">
        <color indexed="64"/>
      </right>
      <top/>
      <bottom style="thin">
        <color auto="1"/>
      </bottom>
      <diagonal/>
    </border>
    <border>
      <left style="thin">
        <color indexed="8"/>
      </left>
      <right style="thin">
        <color indexed="8"/>
      </right>
      <top/>
      <bottom/>
      <diagonal/>
    </border>
    <border>
      <left style="thin">
        <color auto="1"/>
      </left>
      <right style="thin">
        <color auto="1"/>
      </right>
      <top style="thin">
        <color auto="1"/>
      </top>
      <bottom style="thin">
        <color auto="1"/>
      </bottom>
      <diagonal/>
    </border>
    <border>
      <left style="thin">
        <color indexed="8"/>
      </left>
      <right style="thin">
        <color indexed="8"/>
      </right>
      <top style="thin">
        <color indexed="8"/>
      </top>
      <bottom style="thin">
        <color indexed="8"/>
      </bottom>
      <diagonal/>
    </border>
    <border>
      <left style="thin">
        <color rgb="FF000000"/>
      </left>
      <right style="thin">
        <color rgb="FF000000"/>
      </right>
      <top style="thin">
        <color rgb="FF000000"/>
      </top>
      <bottom style="thin">
        <color rgb="FF000000"/>
      </bottom>
      <diagonal/>
    </border>
    <border>
      <left style="thin">
        <color indexed="8"/>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style="medium">
        <color indexed="64"/>
      </right>
      <top style="thin">
        <color indexed="64"/>
      </top>
      <bottom/>
      <diagonal/>
    </border>
  </borders>
  <cellStyleXfs count="2">
    <xf numFmtId="0" fontId="0" fillId="0" borderId="0"/>
    <xf numFmtId="0" fontId="13" fillId="0" borderId="0"/>
  </cellStyleXfs>
  <cellXfs count="130">
    <xf numFmtId="0" fontId="0" fillId="0" borderId="0" xfId="0"/>
    <xf numFmtId="0" fontId="0" fillId="0" borderId="0" xfId="0" applyAlignment="1">
      <alignment vertical="top" wrapText="1"/>
    </xf>
    <xf numFmtId="10" fontId="0" fillId="0" borderId="0" xfId="0" applyNumberFormat="1" applyAlignment="1">
      <alignment vertical="top" wrapText="1"/>
    </xf>
    <xf numFmtId="0" fontId="5" fillId="0" borderId="0" xfId="0" applyFont="1"/>
    <xf numFmtId="0" fontId="0" fillId="0" borderId="0" xfId="0" applyAlignment="1">
      <alignment horizontal="right"/>
    </xf>
    <xf numFmtId="0" fontId="7" fillId="9" borderId="5" xfId="0" applyFont="1" applyFill="1" applyBorder="1" applyAlignment="1">
      <alignment horizontal="center"/>
    </xf>
    <xf numFmtId="10" fontId="0" fillId="0" borderId="0" xfId="0" applyNumberFormat="1"/>
    <xf numFmtId="0" fontId="0" fillId="13" borderId="0" xfId="0" applyFill="1" applyAlignment="1">
      <alignment vertical="top" wrapText="1"/>
    </xf>
    <xf numFmtId="10" fontId="0" fillId="13" borderId="0" xfId="0" applyNumberFormat="1" applyFill="1" applyAlignment="1">
      <alignment vertical="top" wrapText="1"/>
    </xf>
    <xf numFmtId="10" fontId="4" fillId="13" borderId="0" xfId="0" applyNumberFormat="1" applyFont="1" applyFill="1" applyAlignment="1">
      <alignment vertical="top" wrapText="1"/>
    </xf>
    <xf numFmtId="0" fontId="10" fillId="0" borderId="0" xfId="0" applyFont="1" applyAlignment="1">
      <alignment vertical="top"/>
    </xf>
    <xf numFmtId="0" fontId="0" fillId="0" borderId="0" xfId="0" applyAlignment="1">
      <alignment horizontal="right" wrapText="1"/>
    </xf>
    <xf numFmtId="0" fontId="0" fillId="0" borderId="0" xfId="0" applyAlignment="1">
      <alignment horizontal="left" vertical="center"/>
    </xf>
    <xf numFmtId="0" fontId="12" fillId="0" borderId="0" xfId="0" applyFont="1"/>
    <xf numFmtId="0" fontId="13" fillId="0" borderId="0" xfId="1" applyAlignment="1">
      <alignment horizontal="right"/>
    </xf>
    <xf numFmtId="0" fontId="16" fillId="0" borderId="0" xfId="1" applyFont="1" applyAlignment="1">
      <alignment horizontal="right"/>
    </xf>
    <xf numFmtId="0" fontId="13" fillId="0" borderId="0" xfId="1"/>
    <xf numFmtId="0" fontId="17" fillId="0" borderId="0" xfId="1" applyFont="1" applyAlignment="1">
      <alignment horizontal="left"/>
    </xf>
    <xf numFmtId="0" fontId="18" fillId="0" borderId="0" xfId="1" applyFont="1" applyAlignment="1">
      <alignment horizontal="left"/>
    </xf>
    <xf numFmtId="0" fontId="20" fillId="0" borderId="0" xfId="1" applyFont="1" applyAlignment="1">
      <alignment horizontal="center"/>
    </xf>
    <xf numFmtId="0" fontId="13" fillId="0" borderId="0" xfId="1" applyAlignment="1">
      <alignment horizontal="left"/>
    </xf>
    <xf numFmtId="1" fontId="0" fillId="0" borderId="0" xfId="0" applyNumberFormat="1"/>
    <xf numFmtId="0" fontId="2" fillId="0" borderId="0" xfId="0" applyFont="1" applyAlignment="1">
      <alignment horizontal="center" vertical="center" wrapText="1"/>
    </xf>
    <xf numFmtId="0" fontId="9" fillId="0" borderId="0" xfId="0" applyFont="1" applyAlignment="1">
      <alignment horizontal="center" vertical="center" wrapText="1"/>
    </xf>
    <xf numFmtId="0" fontId="0" fillId="0" borderId="0" xfId="0" applyAlignment="1">
      <alignment horizontal="center" vertical="center" wrapText="1"/>
    </xf>
    <xf numFmtId="1" fontId="0" fillId="0" borderId="0" xfId="0" applyNumberFormat="1" applyAlignment="1">
      <alignment horizontal="center" vertical="center" wrapText="1"/>
    </xf>
    <xf numFmtId="10" fontId="0" fillId="0" borderId="0" xfId="0" applyNumberFormat="1" applyAlignment="1">
      <alignment horizontal="center" vertical="center" wrapText="1"/>
    </xf>
    <xf numFmtId="1" fontId="0" fillId="0" borderId="0" xfId="0" applyNumberFormat="1" applyAlignment="1">
      <alignment vertical="top" wrapText="1"/>
    </xf>
    <xf numFmtId="0" fontId="24" fillId="17" borderId="0" xfId="0" applyFont="1" applyFill="1" applyAlignment="1">
      <alignment wrapText="1"/>
    </xf>
    <xf numFmtId="0" fontId="0" fillId="0" borderId="19" xfId="0" applyBorder="1"/>
    <xf numFmtId="0" fontId="0" fillId="0" borderId="0" xfId="0" applyAlignment="1">
      <alignment wrapText="1"/>
    </xf>
    <xf numFmtId="0" fontId="0" fillId="11" borderId="8" xfId="0" applyFill="1" applyBorder="1" applyAlignment="1">
      <alignment horizontal="center"/>
    </xf>
    <xf numFmtId="0" fontId="0" fillId="11" borderId="9" xfId="0" applyFill="1" applyBorder="1" applyAlignment="1">
      <alignment horizontal="center"/>
    </xf>
    <xf numFmtId="0" fontId="0" fillId="11" borderId="10" xfId="0" applyFill="1" applyBorder="1" applyAlignment="1">
      <alignment horizontal="center"/>
    </xf>
    <xf numFmtId="0" fontId="0" fillId="11" borderId="11" xfId="0" applyFill="1" applyBorder="1" applyAlignment="1">
      <alignment horizontal="center"/>
    </xf>
    <xf numFmtId="0" fontId="0" fillId="11" borderId="12" xfId="0" applyFill="1" applyBorder="1" applyAlignment="1">
      <alignment horizontal="center"/>
    </xf>
    <xf numFmtId="0" fontId="0" fillId="11" borderId="13" xfId="0" applyFill="1" applyBorder="1" applyAlignment="1">
      <alignment horizontal="center"/>
    </xf>
    <xf numFmtId="0" fontId="0" fillId="11" borderId="14" xfId="0" applyFill="1" applyBorder="1" applyAlignment="1">
      <alignment horizontal="center"/>
    </xf>
    <xf numFmtId="0" fontId="0" fillId="11" borderId="15" xfId="0" applyFill="1" applyBorder="1" applyAlignment="1">
      <alignment horizontal="center"/>
    </xf>
    <xf numFmtId="0" fontId="26" fillId="0" borderId="0" xfId="0" applyFont="1"/>
    <xf numFmtId="0" fontId="0" fillId="4" borderId="20" xfId="0" applyFill="1" applyBorder="1" applyAlignment="1">
      <alignment vertical="top" wrapText="1"/>
    </xf>
    <xf numFmtId="0" fontId="0" fillId="0" borderId="20" xfId="0" applyBorder="1" applyAlignment="1">
      <alignment vertical="top" wrapText="1"/>
    </xf>
    <xf numFmtId="0" fontId="22" fillId="16" borderId="21" xfId="0" applyFont="1" applyFill="1" applyBorder="1" applyAlignment="1" applyProtection="1">
      <alignment horizontal="center" vertical="top" wrapText="1" readingOrder="1"/>
      <protection locked="0"/>
    </xf>
    <xf numFmtId="1" fontId="22" fillId="16" borderId="21" xfId="0" applyNumberFormat="1" applyFont="1" applyFill="1" applyBorder="1" applyAlignment="1" applyProtection="1">
      <alignment horizontal="center" vertical="top" wrapText="1" readingOrder="1"/>
      <protection locked="0"/>
    </xf>
    <xf numFmtId="0" fontId="22" fillId="14" borderId="21" xfId="0" applyFont="1" applyFill="1" applyBorder="1" applyAlignment="1" applyProtection="1">
      <alignment horizontal="center" vertical="top" wrapText="1" readingOrder="1"/>
      <protection locked="0"/>
    </xf>
    <xf numFmtId="0" fontId="23" fillId="0" borderId="21" xfId="0" applyFont="1" applyBorder="1" applyAlignment="1" applyProtection="1">
      <alignment vertical="top" wrapText="1" readingOrder="1"/>
      <protection locked="0"/>
    </xf>
    <xf numFmtId="14" fontId="23" fillId="0" borderId="21" xfId="0" applyNumberFormat="1" applyFont="1" applyBorder="1" applyAlignment="1" applyProtection="1">
      <alignment vertical="top" wrapText="1" readingOrder="1"/>
      <protection locked="0"/>
    </xf>
    <xf numFmtId="0" fontId="23" fillId="15" borderId="21" xfId="0" applyFont="1" applyFill="1" applyBorder="1" applyAlignment="1" applyProtection="1">
      <alignment vertical="top" wrapText="1" readingOrder="1"/>
      <protection locked="0"/>
    </xf>
    <xf numFmtId="164" fontId="23" fillId="0" borderId="21" xfId="0" applyNumberFormat="1" applyFont="1" applyBorder="1" applyAlignment="1" applyProtection="1">
      <alignment vertical="top" wrapText="1" readingOrder="1"/>
      <protection locked="0"/>
    </xf>
    <xf numFmtId="1" fontId="23" fillId="15" borderId="21" xfId="0" applyNumberFormat="1" applyFont="1" applyFill="1" applyBorder="1" applyAlignment="1" applyProtection="1">
      <alignment vertical="top" wrapText="1" readingOrder="1"/>
      <protection locked="0"/>
    </xf>
    <xf numFmtId="0" fontId="0" fillId="0" borderId="21" xfId="0" applyBorder="1"/>
    <xf numFmtId="0" fontId="0" fillId="0" borderId="21" xfId="0" applyBorder="1" applyAlignment="1">
      <alignment wrapText="1"/>
    </xf>
    <xf numFmtId="0" fontId="25" fillId="0" borderId="21" xfId="0" applyFont="1" applyBorder="1"/>
    <xf numFmtId="0" fontId="0" fillId="11" borderId="20" xfId="0" applyFill="1" applyBorder="1" applyAlignment="1">
      <alignment horizontal="center"/>
    </xf>
    <xf numFmtId="0" fontId="0" fillId="0" borderId="20" xfId="0" applyBorder="1"/>
    <xf numFmtId="0" fontId="6" fillId="7" borderId="20" xfId="0" applyFont="1" applyFill="1" applyBorder="1" applyAlignment="1">
      <alignment horizontal="center" vertical="center"/>
    </xf>
    <xf numFmtId="0" fontId="7" fillId="8" borderId="20" xfId="0" applyFont="1" applyFill="1" applyBorder="1" applyAlignment="1">
      <alignment horizontal="center"/>
    </xf>
    <xf numFmtId="10" fontId="7" fillId="8" borderId="20" xfId="0" applyNumberFormat="1" applyFont="1" applyFill="1" applyBorder="1" applyAlignment="1">
      <alignment horizontal="center"/>
    </xf>
    <xf numFmtId="0" fontId="13" fillId="2" borderId="20" xfId="1" applyFill="1" applyBorder="1" applyAlignment="1">
      <alignment horizontal="right"/>
    </xf>
    <xf numFmtId="0" fontId="0" fillId="10" borderId="20" xfId="0" applyFill="1" applyBorder="1"/>
    <xf numFmtId="0" fontId="13" fillId="10" borderId="20" xfId="1" applyFill="1" applyBorder="1" applyAlignment="1">
      <alignment horizontal="right"/>
    </xf>
    <xf numFmtId="0" fontId="13" fillId="0" borderId="20" xfId="1" applyBorder="1" applyAlignment="1">
      <alignment horizontal="right"/>
    </xf>
    <xf numFmtId="0" fontId="0" fillId="10" borderId="20" xfId="0" applyFill="1" applyBorder="1" applyAlignment="1">
      <alignment horizontal="left"/>
    </xf>
    <xf numFmtId="0" fontId="0" fillId="10" borderId="20" xfId="0" applyFill="1" applyBorder="1" applyAlignment="1">
      <alignment horizontal="right"/>
    </xf>
    <xf numFmtId="0" fontId="23" fillId="18" borderId="21" xfId="0" applyFont="1" applyFill="1" applyBorder="1" applyAlignment="1" applyProtection="1">
      <alignment vertical="top" wrapText="1" readingOrder="1"/>
      <protection locked="0"/>
    </xf>
    <xf numFmtId="14" fontId="27" fillId="0" borderId="0" xfId="0" applyNumberFormat="1" applyFont="1"/>
    <xf numFmtId="0" fontId="28" fillId="0" borderId="0" xfId="0" applyFont="1"/>
    <xf numFmtId="1" fontId="29" fillId="15" borderId="21" xfId="0" applyNumberFormat="1" applyFont="1" applyFill="1" applyBorder="1" applyAlignment="1" applyProtection="1">
      <alignment vertical="top" wrapText="1" readingOrder="1"/>
      <protection locked="0"/>
    </xf>
    <xf numFmtId="0" fontId="0" fillId="0" borderId="22" xfId="0" applyBorder="1"/>
    <xf numFmtId="0" fontId="0" fillId="0" borderId="23" xfId="0" applyBorder="1"/>
    <xf numFmtId="0" fontId="0" fillId="0" borderId="24" xfId="0" applyBorder="1"/>
    <xf numFmtId="0" fontId="0" fillId="0" borderId="25" xfId="0" applyBorder="1"/>
    <xf numFmtId="0" fontId="0" fillId="11" borderId="21" xfId="0" applyFill="1" applyBorder="1"/>
    <xf numFmtId="0" fontId="0" fillId="2" borderId="20" xfId="0" applyFill="1" applyBorder="1"/>
    <xf numFmtId="10" fontId="0" fillId="12" borderId="20" xfId="0" applyNumberFormat="1" applyFill="1" applyBorder="1"/>
    <xf numFmtId="14" fontId="0" fillId="0" borderId="0" xfId="0" applyNumberFormat="1"/>
    <xf numFmtId="0" fontId="30" fillId="0" borderId="0" xfId="0" applyFont="1"/>
    <xf numFmtId="14" fontId="30" fillId="0" borderId="0" xfId="0" applyNumberFormat="1" applyFont="1"/>
    <xf numFmtId="14" fontId="23" fillId="15" borderId="21" xfId="0" applyNumberFormat="1" applyFont="1" applyFill="1" applyBorder="1" applyAlignment="1" applyProtection="1">
      <alignment vertical="top" wrapText="1" readingOrder="1"/>
      <protection locked="0"/>
    </xf>
    <xf numFmtId="1" fontId="23" fillId="0" borderId="21" xfId="0" applyNumberFormat="1" applyFont="1" applyBorder="1" applyAlignment="1" applyProtection="1">
      <alignment vertical="top" wrapText="1" readingOrder="1"/>
      <protection locked="0"/>
    </xf>
    <xf numFmtId="14" fontId="31" fillId="0" borderId="21" xfId="0" applyNumberFormat="1" applyFont="1" applyBorder="1" applyAlignment="1" applyProtection="1">
      <alignment vertical="top" wrapText="1" readingOrder="1"/>
      <protection locked="0"/>
    </xf>
    <xf numFmtId="0" fontId="0" fillId="10" borderId="26" xfId="0" applyFill="1" applyBorder="1" applyAlignment="1">
      <alignment horizontal="right"/>
    </xf>
    <xf numFmtId="10" fontId="0" fillId="0" borderId="26" xfId="0" applyNumberFormat="1" applyBorder="1"/>
    <xf numFmtId="0" fontId="0" fillId="5" borderId="20" xfId="0" applyFill="1" applyBorder="1" applyAlignment="1">
      <alignment horizontal="center" vertical="top" wrapText="1"/>
    </xf>
    <xf numFmtId="0" fontId="0" fillId="6" borderId="20" xfId="0" applyFill="1" applyBorder="1" applyAlignment="1">
      <alignment horizontal="center" vertical="top" wrapText="1"/>
    </xf>
    <xf numFmtId="0" fontId="0" fillId="3" borderId="20" xfId="0" applyFill="1" applyBorder="1" applyAlignment="1">
      <alignment horizontal="center" vertical="top" wrapText="1"/>
    </xf>
    <xf numFmtId="10" fontId="0" fillId="0" borderId="8" xfId="0" applyNumberFormat="1" applyBorder="1" applyAlignment="1" applyProtection="1">
      <alignment horizontal="center"/>
      <protection locked="0"/>
    </xf>
    <xf numFmtId="10" fontId="0" fillId="0" borderId="9" xfId="0" applyNumberFormat="1" applyBorder="1" applyAlignment="1" applyProtection="1">
      <alignment horizontal="center"/>
      <protection locked="0"/>
    </xf>
    <xf numFmtId="10" fontId="0" fillId="0" borderId="10" xfId="0" applyNumberFormat="1" applyBorder="1" applyAlignment="1" applyProtection="1">
      <alignment horizontal="center"/>
      <protection locked="0"/>
    </xf>
    <xf numFmtId="0" fontId="0" fillId="0" borderId="13" xfId="0" applyBorder="1" applyAlignment="1" applyProtection="1">
      <alignment horizontal="center"/>
      <protection locked="0"/>
    </xf>
    <xf numFmtId="0" fontId="0" fillId="0" borderId="14" xfId="0" applyBorder="1" applyAlignment="1" applyProtection="1">
      <alignment horizontal="center"/>
      <protection locked="0"/>
    </xf>
    <xf numFmtId="0" fontId="0" fillId="0" borderId="15" xfId="0" applyBorder="1" applyAlignment="1" applyProtection="1">
      <alignment horizontal="center"/>
      <protection locked="0"/>
    </xf>
    <xf numFmtId="0" fontId="0" fillId="0" borderId="11" xfId="0" applyBorder="1" applyAlignment="1" applyProtection="1">
      <alignment horizontal="center"/>
      <protection locked="0"/>
    </xf>
    <xf numFmtId="0" fontId="0" fillId="0" borderId="20" xfId="0" applyBorder="1" applyAlignment="1" applyProtection="1">
      <alignment horizontal="center"/>
      <protection locked="0"/>
    </xf>
    <xf numFmtId="0" fontId="0" fillId="0" borderId="12" xfId="0" applyBorder="1" applyAlignment="1" applyProtection="1">
      <alignment horizontal="center"/>
      <protection locked="0"/>
    </xf>
    <xf numFmtId="10" fontId="0" fillId="0" borderId="11" xfId="0" applyNumberFormat="1" applyBorder="1" applyAlignment="1" applyProtection="1">
      <alignment horizontal="center"/>
      <protection locked="0"/>
    </xf>
    <xf numFmtId="10" fontId="0" fillId="0" borderId="20" xfId="0" applyNumberFormat="1" applyBorder="1" applyAlignment="1" applyProtection="1">
      <alignment horizontal="center"/>
      <protection locked="0"/>
    </xf>
    <xf numFmtId="10" fontId="0" fillId="0" borderId="12" xfId="0" applyNumberFormat="1" applyBorder="1" applyAlignment="1" applyProtection="1">
      <alignment horizontal="center"/>
      <protection locked="0"/>
    </xf>
    <xf numFmtId="10" fontId="0" fillId="0" borderId="27" xfId="0" applyNumberFormat="1" applyBorder="1" applyAlignment="1">
      <alignment horizontal="center"/>
    </xf>
    <xf numFmtId="10" fontId="0" fillId="0" borderId="28" xfId="0" applyNumberFormat="1" applyBorder="1" applyAlignment="1">
      <alignment horizontal="center"/>
    </xf>
    <xf numFmtId="10" fontId="0" fillId="0" borderId="29" xfId="0" applyNumberFormat="1"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0" borderId="10" xfId="0" applyBorder="1" applyAlignment="1">
      <alignment horizontal="center"/>
    </xf>
    <xf numFmtId="10" fontId="0" fillId="0" borderId="30" xfId="0" applyNumberFormat="1" applyBorder="1" applyAlignment="1">
      <alignment horizontal="center"/>
    </xf>
    <xf numFmtId="0" fontId="0" fillId="0" borderId="16" xfId="0" applyBorder="1" applyAlignment="1">
      <alignment horizontal="center"/>
    </xf>
    <xf numFmtId="14" fontId="0" fillId="2" borderId="4" xfId="0" applyNumberFormat="1" applyFill="1" applyBorder="1" applyAlignment="1" applyProtection="1">
      <alignment horizontal="center"/>
      <protection locked="0"/>
    </xf>
    <xf numFmtId="14" fontId="0" fillId="2" borderId="1" xfId="0" applyNumberFormat="1" applyFill="1" applyBorder="1" applyAlignment="1" applyProtection="1">
      <alignment horizontal="center"/>
      <protection locked="0"/>
    </xf>
    <xf numFmtId="14" fontId="0" fillId="2" borderId="2" xfId="0" applyNumberFormat="1" applyFill="1" applyBorder="1" applyAlignment="1" applyProtection="1">
      <alignment horizontal="center"/>
      <protection locked="0"/>
    </xf>
    <xf numFmtId="14" fontId="0" fillId="2" borderId="4" xfId="0" applyNumberFormat="1" applyFill="1" applyBorder="1" applyAlignment="1">
      <alignment horizontal="center"/>
    </xf>
    <xf numFmtId="14" fontId="0" fillId="2" borderId="1" xfId="0" applyNumberFormat="1" applyFill="1" applyBorder="1" applyAlignment="1">
      <alignment horizontal="center"/>
    </xf>
    <xf numFmtId="14" fontId="0" fillId="2" borderId="2" xfId="0" applyNumberFormat="1" applyFill="1" applyBorder="1" applyAlignment="1">
      <alignment horizontal="center"/>
    </xf>
    <xf numFmtId="0" fontId="6" fillId="7" borderId="4" xfId="0" applyFont="1" applyFill="1" applyBorder="1" applyAlignment="1">
      <alignment horizontal="center"/>
    </xf>
    <xf numFmtId="0" fontId="6" fillId="7" borderId="1" xfId="0" applyFont="1" applyFill="1" applyBorder="1" applyAlignment="1">
      <alignment horizontal="center"/>
    </xf>
    <xf numFmtId="0" fontId="6" fillId="7" borderId="2" xfId="0" applyFont="1" applyFill="1" applyBorder="1" applyAlignment="1">
      <alignment horizontal="center"/>
    </xf>
    <xf numFmtId="0" fontId="1" fillId="8" borderId="4" xfId="0" applyFont="1" applyFill="1" applyBorder="1" applyAlignment="1">
      <alignment horizontal="center"/>
    </xf>
    <xf numFmtId="0" fontId="1" fillId="8" borderId="1" xfId="0" applyFont="1" applyFill="1" applyBorder="1" applyAlignment="1">
      <alignment horizontal="center"/>
    </xf>
    <xf numFmtId="0" fontId="1" fillId="8" borderId="2" xfId="0" applyFont="1" applyFill="1" applyBorder="1" applyAlignment="1">
      <alignment horizontal="center"/>
    </xf>
    <xf numFmtId="14" fontId="0" fillId="2" borderId="6" xfId="0" applyNumberFormat="1" applyFill="1" applyBorder="1" applyAlignment="1" applyProtection="1">
      <alignment horizontal="center"/>
      <protection locked="0"/>
    </xf>
    <xf numFmtId="14" fontId="0" fillId="2" borderId="7" xfId="0" applyNumberFormat="1" applyFill="1" applyBorder="1" applyAlignment="1" applyProtection="1">
      <alignment horizontal="center"/>
      <protection locked="0"/>
    </xf>
    <xf numFmtId="14" fontId="0" fillId="2" borderId="3" xfId="0" applyNumberFormat="1" applyFill="1" applyBorder="1" applyAlignment="1" applyProtection="1">
      <alignment horizontal="center"/>
      <protection locked="0"/>
    </xf>
    <xf numFmtId="14" fontId="0" fillId="10" borderId="20" xfId="0" applyNumberFormat="1" applyFill="1" applyBorder="1" applyAlignment="1">
      <alignment horizontal="center"/>
    </xf>
    <xf numFmtId="0" fontId="11" fillId="7" borderId="17" xfId="0" applyFont="1" applyFill="1" applyBorder="1" applyAlignment="1">
      <alignment horizontal="center" vertical="center"/>
    </xf>
    <xf numFmtId="0" fontId="11" fillId="7" borderId="18" xfId="0" applyFont="1" applyFill="1" applyBorder="1" applyAlignment="1">
      <alignment horizontal="center" vertical="center"/>
    </xf>
    <xf numFmtId="14" fontId="8" fillId="10" borderId="20" xfId="0" applyNumberFormat="1" applyFont="1" applyFill="1" applyBorder="1" applyAlignment="1">
      <alignment horizontal="center" vertical="center"/>
    </xf>
    <xf numFmtId="0" fontId="6" fillId="7" borderId="20" xfId="0" applyFont="1" applyFill="1" applyBorder="1" applyAlignment="1">
      <alignment horizontal="center"/>
    </xf>
    <xf numFmtId="0" fontId="6" fillId="7" borderId="20" xfId="0" applyFont="1" applyFill="1" applyBorder="1" applyAlignment="1">
      <alignment horizontal="center" vertical="center"/>
    </xf>
    <xf numFmtId="0" fontId="16" fillId="0" borderId="0" xfId="1" applyFont="1" applyAlignment="1">
      <alignment horizontal="center"/>
    </xf>
    <xf numFmtId="0" fontId="19" fillId="0" borderId="0" xfId="1" applyFont="1" applyAlignment="1">
      <alignment horizontal="center"/>
    </xf>
    <xf numFmtId="0" fontId="21" fillId="2" borderId="20" xfId="1" applyFont="1" applyFill="1" applyBorder="1" applyAlignment="1">
      <alignment horizontal="center"/>
    </xf>
  </cellXfs>
  <cellStyles count="2">
    <cellStyle name="Normal" xfId="0" builtinId="0"/>
    <cellStyle name="Normal 2" xfId="1" xr:uid="{E584F3E6-AE5E-4B53-BB55-C378E702FB13}"/>
  </cellStyles>
  <dxfs count="231">
    <dxf>
      <fill>
        <patternFill>
          <bgColor theme="9" tint="0.59996337778862885"/>
        </patternFill>
      </fill>
      <border>
        <left style="thin">
          <color auto="1"/>
        </left>
        <right style="thin">
          <color auto="1"/>
        </right>
        <top style="thin">
          <color auto="1"/>
        </top>
        <bottom style="thin">
          <color auto="1"/>
        </bottom>
      </border>
    </dxf>
    <dxf>
      <fill>
        <patternFill>
          <bgColor theme="9" tint="0.59996337778862885"/>
        </patternFill>
      </fill>
      <border>
        <left style="thin">
          <color auto="1"/>
        </left>
        <right style="thin">
          <color auto="1"/>
        </right>
        <top style="thin">
          <color auto="1"/>
        </top>
        <bottom style="thin">
          <color auto="1"/>
        </bottom>
      </border>
    </dxf>
    <dxf>
      <fill>
        <patternFill>
          <bgColor theme="4" tint="0.59996337778862885"/>
        </patternFill>
      </fill>
      <border>
        <left style="thin">
          <color auto="1"/>
        </left>
        <right style="thin">
          <color auto="1"/>
        </right>
        <top style="thin">
          <color auto="1"/>
        </top>
        <bottom style="thin">
          <color auto="1"/>
        </bottom>
      </border>
    </dxf>
    <dxf>
      <fill>
        <patternFill>
          <bgColor theme="0" tint="-0.24994659260841701"/>
        </patternFill>
      </fill>
      <border>
        <left style="thin">
          <color auto="1"/>
        </left>
        <right style="thin">
          <color auto="1"/>
        </right>
        <top style="thin">
          <color auto="1"/>
        </top>
        <bottom style="thin">
          <color auto="1"/>
        </bottom>
      </border>
    </dxf>
    <dxf>
      <font>
        <b val="0"/>
        <i val="0"/>
        <color auto="1"/>
      </font>
      <fill>
        <patternFill>
          <bgColor theme="0" tint="-0.24994659260841701"/>
        </patternFill>
      </fill>
      <border>
        <left style="thin">
          <color auto="1"/>
        </left>
        <right style="thin">
          <color auto="1"/>
        </right>
        <top style="thin">
          <color auto="1"/>
        </top>
        <bottom style="thin">
          <color auto="1"/>
        </bottom>
      </border>
    </dxf>
    <dxf>
      <fill>
        <patternFill>
          <bgColor theme="9" tint="0.59996337778862885"/>
        </patternFill>
      </fill>
      <border>
        <left style="thin">
          <color auto="1"/>
        </left>
        <right style="thin">
          <color auto="1"/>
        </right>
        <top style="thin">
          <color auto="1"/>
        </top>
        <bottom style="thin">
          <color auto="1"/>
        </bottom>
      </border>
    </dxf>
    <dxf>
      <font>
        <b val="0"/>
        <i val="0"/>
      </font>
      <border>
        <left style="thin">
          <color auto="1"/>
        </left>
        <right style="thin">
          <color auto="1"/>
        </right>
        <top style="thin">
          <color auto="1"/>
        </top>
        <bottom style="thin">
          <color auto="1"/>
        </bottom>
        <vertical/>
        <horizontal/>
      </border>
    </dxf>
    <dxf>
      <fill>
        <patternFill>
          <bgColor theme="9" tint="0.59996337778862885"/>
        </patternFill>
      </fill>
      <border>
        <left style="thin">
          <color auto="1"/>
        </left>
        <right style="thin">
          <color auto="1"/>
        </right>
        <top style="thin">
          <color auto="1"/>
        </top>
        <bottom style="thin">
          <color auto="1"/>
        </bottom>
      </border>
    </dxf>
    <dxf>
      <fill>
        <patternFill>
          <bgColor theme="9" tint="0.59996337778862885"/>
        </patternFill>
      </fill>
      <border>
        <left style="thin">
          <color auto="1"/>
        </left>
        <right style="thin">
          <color auto="1"/>
        </right>
        <top style="thin">
          <color auto="1"/>
        </top>
        <bottom style="thin">
          <color auto="1"/>
        </bottom>
      </border>
    </dxf>
    <dxf>
      <fill>
        <patternFill>
          <bgColor theme="4" tint="0.59996337778862885"/>
        </patternFill>
      </fill>
      <border>
        <left style="thin">
          <color auto="1"/>
        </left>
        <right style="thin">
          <color auto="1"/>
        </right>
        <top style="thin">
          <color auto="1"/>
        </top>
        <bottom style="thin">
          <color auto="1"/>
        </bottom>
      </border>
    </dxf>
    <dxf>
      <fill>
        <patternFill>
          <bgColor theme="0" tint="-0.24994659260841701"/>
        </patternFill>
      </fill>
      <border>
        <left style="thin">
          <color auto="1"/>
        </left>
        <right style="thin">
          <color auto="1"/>
        </right>
        <top style="thin">
          <color auto="1"/>
        </top>
        <bottom style="thin">
          <color auto="1"/>
        </bottom>
      </border>
    </dxf>
    <dxf>
      <font>
        <b val="0"/>
        <i val="0"/>
        <color auto="1"/>
      </font>
      <fill>
        <patternFill>
          <bgColor theme="0" tint="-0.24994659260841701"/>
        </patternFill>
      </fill>
      <border>
        <left style="thin">
          <color auto="1"/>
        </left>
        <right style="thin">
          <color auto="1"/>
        </right>
        <top style="thin">
          <color auto="1"/>
        </top>
        <bottom style="thin">
          <color auto="1"/>
        </bottom>
      </border>
    </dxf>
    <dxf>
      <fill>
        <patternFill>
          <bgColor theme="9" tint="0.59996337778862885"/>
        </patternFill>
      </fill>
      <border>
        <left style="thin">
          <color auto="1"/>
        </left>
        <right style="thin">
          <color auto="1"/>
        </right>
        <top style="thin">
          <color auto="1"/>
        </top>
        <bottom style="thin">
          <color auto="1"/>
        </bottom>
      </border>
    </dxf>
    <dxf>
      <font>
        <b val="0"/>
        <i val="0"/>
      </font>
      <border>
        <left style="thin">
          <color auto="1"/>
        </left>
        <right style="thin">
          <color auto="1"/>
        </right>
        <top style="thin">
          <color auto="1"/>
        </top>
        <bottom style="thin">
          <color auto="1"/>
        </bottom>
        <vertical/>
        <horizontal/>
      </border>
    </dxf>
    <dxf>
      <fill>
        <patternFill>
          <bgColor theme="9" tint="0.59996337778862885"/>
        </patternFill>
      </fill>
      <border>
        <left style="thin">
          <color auto="1"/>
        </left>
        <right style="thin">
          <color auto="1"/>
        </right>
        <top style="thin">
          <color auto="1"/>
        </top>
        <bottom style="thin">
          <color auto="1"/>
        </bottom>
      </border>
    </dxf>
    <dxf>
      <fill>
        <patternFill>
          <bgColor theme="9" tint="0.59996337778862885"/>
        </patternFill>
      </fill>
      <border>
        <left style="thin">
          <color auto="1"/>
        </left>
        <right style="thin">
          <color auto="1"/>
        </right>
        <top style="thin">
          <color auto="1"/>
        </top>
        <bottom style="thin">
          <color auto="1"/>
        </bottom>
      </border>
    </dxf>
    <dxf>
      <fill>
        <patternFill>
          <bgColor theme="4" tint="0.59996337778862885"/>
        </patternFill>
      </fill>
      <border>
        <left style="thin">
          <color auto="1"/>
        </left>
        <right style="thin">
          <color auto="1"/>
        </right>
        <top style="thin">
          <color auto="1"/>
        </top>
        <bottom style="thin">
          <color auto="1"/>
        </bottom>
      </border>
    </dxf>
    <dxf>
      <fill>
        <patternFill>
          <bgColor theme="0" tint="-0.24994659260841701"/>
        </patternFill>
      </fill>
      <border>
        <left style="thin">
          <color auto="1"/>
        </left>
        <right style="thin">
          <color auto="1"/>
        </right>
        <top style="thin">
          <color auto="1"/>
        </top>
        <bottom style="thin">
          <color auto="1"/>
        </bottom>
      </border>
    </dxf>
    <dxf>
      <font>
        <b val="0"/>
        <i val="0"/>
        <color auto="1"/>
      </font>
      <fill>
        <patternFill>
          <bgColor theme="0" tint="-0.24994659260841701"/>
        </patternFill>
      </fill>
      <border>
        <left style="thin">
          <color auto="1"/>
        </left>
        <right style="thin">
          <color auto="1"/>
        </right>
        <top style="thin">
          <color auto="1"/>
        </top>
        <bottom style="thin">
          <color auto="1"/>
        </bottom>
      </border>
    </dxf>
    <dxf>
      <fill>
        <patternFill>
          <bgColor theme="9" tint="0.59996337778862885"/>
        </patternFill>
      </fill>
      <border>
        <left style="thin">
          <color auto="1"/>
        </left>
        <right style="thin">
          <color auto="1"/>
        </right>
        <top style="thin">
          <color auto="1"/>
        </top>
        <bottom style="thin">
          <color auto="1"/>
        </bottom>
      </border>
    </dxf>
    <dxf>
      <font>
        <b val="0"/>
        <i val="0"/>
      </font>
      <border>
        <left style="thin">
          <color auto="1"/>
        </left>
        <right style="thin">
          <color auto="1"/>
        </right>
        <top style="thin">
          <color auto="1"/>
        </top>
        <bottom style="thin">
          <color auto="1"/>
        </bottom>
        <vertical/>
        <horizontal/>
      </border>
    </dxf>
    <dxf>
      <fill>
        <patternFill>
          <bgColor theme="9" tint="0.59996337778862885"/>
        </patternFill>
      </fill>
      <border>
        <left style="thin">
          <color auto="1"/>
        </left>
        <right style="thin">
          <color auto="1"/>
        </right>
        <top style="thin">
          <color auto="1"/>
        </top>
        <bottom style="thin">
          <color auto="1"/>
        </bottom>
      </border>
    </dxf>
    <dxf>
      <fill>
        <patternFill>
          <bgColor theme="9" tint="0.59996337778862885"/>
        </patternFill>
      </fill>
      <border>
        <left style="thin">
          <color auto="1"/>
        </left>
        <right style="thin">
          <color auto="1"/>
        </right>
        <top style="thin">
          <color auto="1"/>
        </top>
        <bottom style="thin">
          <color auto="1"/>
        </bottom>
      </border>
    </dxf>
    <dxf>
      <fill>
        <patternFill>
          <bgColor theme="4" tint="0.59996337778862885"/>
        </patternFill>
      </fill>
      <border>
        <left style="thin">
          <color auto="1"/>
        </left>
        <right style="thin">
          <color auto="1"/>
        </right>
        <top style="thin">
          <color auto="1"/>
        </top>
        <bottom style="thin">
          <color auto="1"/>
        </bottom>
      </border>
    </dxf>
    <dxf>
      <font>
        <color rgb="FF006100"/>
      </font>
      <fill>
        <patternFill>
          <bgColor rgb="FFC6EFCE"/>
        </patternFill>
      </fill>
    </dxf>
    <dxf>
      <font>
        <color theme="7" tint="-0.24994659260841701"/>
      </font>
      <fill>
        <patternFill>
          <bgColor theme="7" tint="0.79998168889431442"/>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ill>
        <patternFill>
          <bgColor theme="9" tint="0.59996337778862885"/>
        </patternFill>
      </fill>
      <border>
        <left style="thin">
          <color auto="1"/>
        </left>
        <right style="thin">
          <color auto="1"/>
        </right>
        <top style="thin">
          <color auto="1"/>
        </top>
        <bottom style="thin">
          <color auto="1"/>
        </bottom>
      </border>
    </dxf>
    <dxf>
      <fill>
        <patternFill>
          <bgColor theme="9" tint="0.59996337778862885"/>
        </patternFill>
      </fill>
      <border>
        <left style="thin">
          <color auto="1"/>
        </left>
        <right style="thin">
          <color auto="1"/>
        </right>
        <top style="thin">
          <color auto="1"/>
        </top>
        <bottom style="thin">
          <color auto="1"/>
        </bottom>
      </border>
    </dxf>
    <dxf>
      <fill>
        <patternFill>
          <bgColor theme="4" tint="0.59996337778862885"/>
        </patternFill>
      </fill>
      <border>
        <left style="thin">
          <color auto="1"/>
        </left>
        <right style="thin">
          <color auto="1"/>
        </right>
        <top style="thin">
          <color auto="1"/>
        </top>
        <bottom style="thin">
          <color auto="1"/>
        </bottom>
      </border>
    </dxf>
    <dxf>
      <fill>
        <patternFill>
          <bgColor theme="0" tint="-0.24994659260841701"/>
        </patternFill>
      </fill>
      <border>
        <left style="thin">
          <color auto="1"/>
        </left>
        <right style="thin">
          <color auto="1"/>
        </right>
        <top style="thin">
          <color auto="1"/>
        </top>
        <bottom style="thin">
          <color auto="1"/>
        </bottom>
      </border>
    </dxf>
    <dxf>
      <font>
        <b val="0"/>
        <i val="0"/>
        <color auto="1"/>
      </font>
      <fill>
        <patternFill>
          <bgColor theme="0" tint="-0.24994659260841701"/>
        </patternFill>
      </fill>
      <border>
        <left style="thin">
          <color auto="1"/>
        </left>
        <right style="thin">
          <color auto="1"/>
        </right>
        <top style="thin">
          <color auto="1"/>
        </top>
        <bottom style="thin">
          <color auto="1"/>
        </bottom>
      </border>
    </dxf>
    <dxf>
      <fill>
        <patternFill>
          <bgColor theme="9" tint="0.59996337778862885"/>
        </patternFill>
      </fill>
      <border>
        <left style="thin">
          <color auto="1"/>
        </left>
        <right style="thin">
          <color auto="1"/>
        </right>
        <top style="thin">
          <color auto="1"/>
        </top>
        <bottom style="thin">
          <color auto="1"/>
        </bottom>
      </border>
    </dxf>
    <dxf>
      <font>
        <b val="0"/>
        <i val="0"/>
      </font>
      <border>
        <left style="thin">
          <color auto="1"/>
        </left>
        <right style="thin">
          <color auto="1"/>
        </right>
        <top style="thin">
          <color auto="1"/>
        </top>
        <bottom style="thin">
          <color auto="1"/>
        </bottom>
        <vertical/>
        <horizontal/>
      </border>
    </dxf>
    <dxf>
      <fill>
        <patternFill>
          <bgColor theme="9" tint="0.59996337778862885"/>
        </patternFill>
      </fill>
      <border>
        <left style="thin">
          <color auto="1"/>
        </left>
        <right style="thin">
          <color auto="1"/>
        </right>
        <top style="thin">
          <color auto="1"/>
        </top>
        <bottom style="thin">
          <color auto="1"/>
        </bottom>
      </border>
    </dxf>
    <dxf>
      <fill>
        <patternFill>
          <bgColor theme="9" tint="0.59996337778862885"/>
        </patternFill>
      </fill>
      <border>
        <left style="thin">
          <color auto="1"/>
        </left>
        <right style="thin">
          <color auto="1"/>
        </right>
        <top style="thin">
          <color auto="1"/>
        </top>
        <bottom style="thin">
          <color auto="1"/>
        </bottom>
      </border>
    </dxf>
    <dxf>
      <fill>
        <patternFill>
          <bgColor theme="4" tint="0.59996337778862885"/>
        </patternFill>
      </fill>
      <border>
        <left style="thin">
          <color auto="1"/>
        </left>
        <right style="thin">
          <color auto="1"/>
        </right>
        <top style="thin">
          <color auto="1"/>
        </top>
        <bottom style="thin">
          <color auto="1"/>
        </bottom>
      </border>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ill>
        <patternFill>
          <bgColor theme="9" tint="0.59996337778862885"/>
        </patternFill>
      </fill>
      <border>
        <left style="thin">
          <color auto="1"/>
        </left>
        <right style="thin">
          <color auto="1"/>
        </right>
        <top style="thin">
          <color auto="1"/>
        </top>
        <bottom style="thin">
          <color auto="1"/>
        </bottom>
      </border>
    </dxf>
    <dxf>
      <fill>
        <patternFill>
          <bgColor theme="9" tint="0.59996337778862885"/>
        </patternFill>
      </fill>
      <border>
        <left style="thin">
          <color auto="1"/>
        </left>
        <right style="thin">
          <color auto="1"/>
        </right>
        <top style="thin">
          <color auto="1"/>
        </top>
        <bottom style="thin">
          <color auto="1"/>
        </bottom>
      </border>
    </dxf>
    <dxf>
      <fill>
        <patternFill>
          <bgColor theme="4" tint="0.59996337778862885"/>
        </patternFill>
      </fill>
      <border>
        <left style="thin">
          <color auto="1"/>
        </left>
        <right style="thin">
          <color auto="1"/>
        </right>
        <top style="thin">
          <color auto="1"/>
        </top>
        <bottom style="thin">
          <color auto="1"/>
        </bottom>
      </border>
    </dxf>
    <dxf>
      <fill>
        <patternFill>
          <bgColor theme="0" tint="-0.24994659260841701"/>
        </patternFill>
      </fill>
      <border>
        <left style="thin">
          <color auto="1"/>
        </left>
        <right style="thin">
          <color auto="1"/>
        </right>
        <top style="thin">
          <color auto="1"/>
        </top>
        <bottom style="thin">
          <color auto="1"/>
        </bottom>
      </border>
    </dxf>
    <dxf>
      <font>
        <b val="0"/>
        <i val="0"/>
        <color auto="1"/>
      </font>
      <fill>
        <patternFill>
          <bgColor theme="0" tint="-0.24994659260841701"/>
        </patternFill>
      </fill>
      <border>
        <left style="thin">
          <color auto="1"/>
        </left>
        <right style="thin">
          <color auto="1"/>
        </right>
        <top style="thin">
          <color auto="1"/>
        </top>
        <bottom style="thin">
          <color auto="1"/>
        </bottom>
      </border>
    </dxf>
    <dxf>
      <fill>
        <patternFill>
          <bgColor theme="9" tint="0.59996337778862885"/>
        </patternFill>
      </fill>
      <border>
        <left style="thin">
          <color auto="1"/>
        </left>
        <right style="thin">
          <color auto="1"/>
        </right>
        <top style="thin">
          <color auto="1"/>
        </top>
        <bottom style="thin">
          <color auto="1"/>
        </bottom>
      </border>
    </dxf>
    <dxf>
      <font>
        <b val="0"/>
        <i val="0"/>
      </font>
      <border>
        <left style="thin">
          <color auto="1"/>
        </left>
        <right style="thin">
          <color auto="1"/>
        </right>
        <top style="thin">
          <color auto="1"/>
        </top>
        <bottom style="thin">
          <color auto="1"/>
        </bottom>
        <vertical/>
        <horizontal/>
      </border>
    </dxf>
    <dxf>
      <fill>
        <patternFill>
          <bgColor theme="9" tint="0.59996337778862885"/>
        </patternFill>
      </fill>
      <border>
        <left style="thin">
          <color auto="1"/>
        </left>
        <right style="thin">
          <color auto="1"/>
        </right>
        <top style="thin">
          <color auto="1"/>
        </top>
        <bottom style="thin">
          <color auto="1"/>
        </bottom>
      </border>
    </dxf>
    <dxf>
      <fill>
        <patternFill>
          <bgColor theme="9" tint="0.59996337778862885"/>
        </patternFill>
      </fill>
      <border>
        <left style="thin">
          <color auto="1"/>
        </left>
        <right style="thin">
          <color auto="1"/>
        </right>
        <top style="thin">
          <color auto="1"/>
        </top>
        <bottom style="thin">
          <color auto="1"/>
        </bottom>
      </border>
    </dxf>
    <dxf>
      <fill>
        <patternFill>
          <bgColor theme="4" tint="0.59996337778862885"/>
        </patternFill>
      </fill>
      <border>
        <left style="thin">
          <color auto="1"/>
        </left>
        <right style="thin">
          <color auto="1"/>
        </right>
        <top style="thin">
          <color auto="1"/>
        </top>
        <bottom style="thin">
          <color auto="1"/>
        </bottom>
      </border>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ill>
        <patternFill>
          <bgColor theme="9" tint="0.59996337778862885"/>
        </patternFill>
      </fill>
      <border>
        <left style="thin">
          <color auto="1"/>
        </left>
        <right style="thin">
          <color auto="1"/>
        </right>
        <top style="thin">
          <color auto="1"/>
        </top>
        <bottom style="thin">
          <color auto="1"/>
        </bottom>
      </border>
    </dxf>
    <dxf>
      <fill>
        <patternFill>
          <bgColor theme="9" tint="0.59996337778862885"/>
        </patternFill>
      </fill>
      <border>
        <left style="thin">
          <color auto="1"/>
        </left>
        <right style="thin">
          <color auto="1"/>
        </right>
        <top style="thin">
          <color auto="1"/>
        </top>
        <bottom style="thin">
          <color auto="1"/>
        </bottom>
      </border>
    </dxf>
    <dxf>
      <fill>
        <patternFill>
          <bgColor theme="4" tint="0.59996337778862885"/>
        </patternFill>
      </fill>
      <border>
        <left style="thin">
          <color auto="1"/>
        </left>
        <right style="thin">
          <color auto="1"/>
        </right>
        <top style="thin">
          <color auto="1"/>
        </top>
        <bottom style="thin">
          <color auto="1"/>
        </bottom>
      </border>
    </dxf>
    <dxf>
      <fill>
        <patternFill>
          <bgColor theme="0" tint="-0.24994659260841701"/>
        </patternFill>
      </fill>
      <border>
        <left style="thin">
          <color auto="1"/>
        </left>
        <right style="thin">
          <color auto="1"/>
        </right>
        <top style="thin">
          <color auto="1"/>
        </top>
        <bottom style="thin">
          <color auto="1"/>
        </bottom>
      </border>
    </dxf>
    <dxf>
      <font>
        <b val="0"/>
        <i val="0"/>
        <color auto="1"/>
      </font>
      <fill>
        <patternFill>
          <bgColor theme="0" tint="-0.24994659260841701"/>
        </patternFill>
      </fill>
      <border>
        <left style="thin">
          <color auto="1"/>
        </left>
        <right style="thin">
          <color auto="1"/>
        </right>
        <top style="thin">
          <color auto="1"/>
        </top>
        <bottom style="thin">
          <color auto="1"/>
        </bottom>
      </border>
    </dxf>
    <dxf>
      <fill>
        <patternFill>
          <bgColor theme="9" tint="0.59996337778862885"/>
        </patternFill>
      </fill>
      <border>
        <left style="thin">
          <color auto="1"/>
        </left>
        <right style="thin">
          <color auto="1"/>
        </right>
        <top style="thin">
          <color auto="1"/>
        </top>
        <bottom style="thin">
          <color auto="1"/>
        </bottom>
      </border>
    </dxf>
    <dxf>
      <font>
        <b val="0"/>
        <i val="0"/>
      </font>
      <border>
        <left style="thin">
          <color auto="1"/>
        </left>
        <right style="thin">
          <color auto="1"/>
        </right>
        <top style="thin">
          <color auto="1"/>
        </top>
        <bottom style="thin">
          <color auto="1"/>
        </bottom>
        <vertical/>
        <horizontal/>
      </border>
    </dxf>
    <dxf>
      <fill>
        <patternFill>
          <bgColor theme="9" tint="0.59996337778862885"/>
        </patternFill>
      </fill>
      <border>
        <left style="thin">
          <color auto="1"/>
        </left>
        <right style="thin">
          <color auto="1"/>
        </right>
        <top style="thin">
          <color auto="1"/>
        </top>
        <bottom style="thin">
          <color auto="1"/>
        </bottom>
      </border>
    </dxf>
    <dxf>
      <fill>
        <patternFill>
          <bgColor theme="9" tint="0.59996337778862885"/>
        </patternFill>
      </fill>
      <border>
        <left style="thin">
          <color auto="1"/>
        </left>
        <right style="thin">
          <color auto="1"/>
        </right>
        <top style="thin">
          <color auto="1"/>
        </top>
        <bottom style="thin">
          <color auto="1"/>
        </bottom>
      </border>
    </dxf>
    <dxf>
      <fill>
        <patternFill>
          <bgColor theme="4" tint="0.59996337778862885"/>
        </patternFill>
      </fill>
      <border>
        <left style="thin">
          <color auto="1"/>
        </left>
        <right style="thin">
          <color auto="1"/>
        </right>
        <top style="thin">
          <color auto="1"/>
        </top>
        <bottom style="thin">
          <color auto="1"/>
        </bottom>
      </border>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ill>
        <patternFill>
          <bgColor theme="9" tint="0.59996337778862885"/>
        </patternFill>
      </fill>
      <border>
        <left style="thin">
          <color auto="1"/>
        </left>
        <right style="thin">
          <color auto="1"/>
        </right>
        <top style="thin">
          <color auto="1"/>
        </top>
        <bottom style="thin">
          <color auto="1"/>
        </bottom>
      </border>
    </dxf>
    <dxf>
      <fill>
        <patternFill>
          <bgColor theme="9" tint="0.59996337778862885"/>
        </patternFill>
      </fill>
      <border>
        <left style="thin">
          <color auto="1"/>
        </left>
        <right style="thin">
          <color auto="1"/>
        </right>
        <top style="thin">
          <color auto="1"/>
        </top>
        <bottom style="thin">
          <color auto="1"/>
        </bottom>
      </border>
    </dxf>
    <dxf>
      <fill>
        <patternFill>
          <bgColor theme="4" tint="0.59996337778862885"/>
        </patternFill>
      </fill>
      <border>
        <left style="thin">
          <color auto="1"/>
        </left>
        <right style="thin">
          <color auto="1"/>
        </right>
        <top style="thin">
          <color auto="1"/>
        </top>
        <bottom style="thin">
          <color auto="1"/>
        </bottom>
      </border>
    </dxf>
    <dxf>
      <fill>
        <patternFill>
          <bgColor theme="0" tint="-0.24994659260841701"/>
        </patternFill>
      </fill>
      <border>
        <left style="thin">
          <color auto="1"/>
        </left>
        <right style="thin">
          <color auto="1"/>
        </right>
        <top style="thin">
          <color auto="1"/>
        </top>
        <bottom style="thin">
          <color auto="1"/>
        </bottom>
      </border>
    </dxf>
    <dxf>
      <font>
        <b val="0"/>
        <i val="0"/>
        <color auto="1"/>
      </font>
      <fill>
        <patternFill>
          <bgColor theme="0" tint="-0.24994659260841701"/>
        </patternFill>
      </fill>
      <border>
        <left style="thin">
          <color auto="1"/>
        </left>
        <right style="thin">
          <color auto="1"/>
        </right>
        <top style="thin">
          <color auto="1"/>
        </top>
        <bottom style="thin">
          <color auto="1"/>
        </bottom>
      </border>
    </dxf>
    <dxf>
      <fill>
        <patternFill>
          <bgColor theme="9" tint="0.59996337778862885"/>
        </patternFill>
      </fill>
      <border>
        <left style="thin">
          <color auto="1"/>
        </left>
        <right style="thin">
          <color auto="1"/>
        </right>
        <top style="thin">
          <color auto="1"/>
        </top>
        <bottom style="thin">
          <color auto="1"/>
        </bottom>
      </border>
    </dxf>
    <dxf>
      <font>
        <b val="0"/>
        <i val="0"/>
      </font>
      <border>
        <left style="thin">
          <color auto="1"/>
        </left>
        <right style="thin">
          <color auto="1"/>
        </right>
        <top style="thin">
          <color auto="1"/>
        </top>
        <bottom style="thin">
          <color auto="1"/>
        </bottom>
        <vertical/>
        <horizontal/>
      </border>
    </dxf>
    <dxf>
      <fill>
        <patternFill>
          <bgColor theme="9" tint="0.59996337778862885"/>
        </patternFill>
      </fill>
      <border>
        <left style="thin">
          <color auto="1"/>
        </left>
        <right style="thin">
          <color auto="1"/>
        </right>
        <top style="thin">
          <color auto="1"/>
        </top>
        <bottom style="thin">
          <color auto="1"/>
        </bottom>
      </border>
    </dxf>
    <dxf>
      <fill>
        <patternFill>
          <bgColor theme="9" tint="0.59996337778862885"/>
        </patternFill>
      </fill>
      <border>
        <left style="thin">
          <color auto="1"/>
        </left>
        <right style="thin">
          <color auto="1"/>
        </right>
        <top style="thin">
          <color auto="1"/>
        </top>
        <bottom style="thin">
          <color auto="1"/>
        </bottom>
      </border>
    </dxf>
    <dxf>
      <fill>
        <patternFill>
          <bgColor theme="4" tint="0.59996337778862885"/>
        </patternFill>
      </fill>
      <border>
        <left style="thin">
          <color auto="1"/>
        </left>
        <right style="thin">
          <color auto="1"/>
        </right>
        <top style="thin">
          <color auto="1"/>
        </top>
        <bottom style="thin">
          <color auto="1"/>
        </bottom>
      </border>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ill>
        <patternFill>
          <bgColor theme="9" tint="0.59996337778862885"/>
        </patternFill>
      </fill>
      <border>
        <left style="thin">
          <color auto="1"/>
        </left>
        <right style="thin">
          <color auto="1"/>
        </right>
        <top style="thin">
          <color auto="1"/>
        </top>
        <bottom style="thin">
          <color auto="1"/>
        </bottom>
      </border>
    </dxf>
    <dxf>
      <fill>
        <patternFill>
          <bgColor theme="9" tint="0.59996337778862885"/>
        </patternFill>
      </fill>
      <border>
        <left style="thin">
          <color auto="1"/>
        </left>
        <right style="thin">
          <color auto="1"/>
        </right>
        <top style="thin">
          <color auto="1"/>
        </top>
        <bottom style="thin">
          <color auto="1"/>
        </bottom>
      </border>
    </dxf>
    <dxf>
      <fill>
        <patternFill>
          <bgColor theme="4" tint="0.59996337778862885"/>
        </patternFill>
      </fill>
      <border>
        <left style="thin">
          <color auto="1"/>
        </left>
        <right style="thin">
          <color auto="1"/>
        </right>
        <top style="thin">
          <color auto="1"/>
        </top>
        <bottom style="thin">
          <color auto="1"/>
        </bottom>
      </border>
    </dxf>
    <dxf>
      <fill>
        <patternFill>
          <bgColor theme="0" tint="-0.24994659260841701"/>
        </patternFill>
      </fill>
      <border>
        <left style="thin">
          <color auto="1"/>
        </left>
        <right style="thin">
          <color auto="1"/>
        </right>
        <top style="thin">
          <color auto="1"/>
        </top>
        <bottom style="thin">
          <color auto="1"/>
        </bottom>
      </border>
    </dxf>
    <dxf>
      <font>
        <b val="0"/>
        <i val="0"/>
        <color auto="1"/>
      </font>
      <fill>
        <patternFill>
          <bgColor theme="0" tint="-0.24994659260841701"/>
        </patternFill>
      </fill>
      <border>
        <left style="thin">
          <color auto="1"/>
        </left>
        <right style="thin">
          <color auto="1"/>
        </right>
        <top style="thin">
          <color auto="1"/>
        </top>
        <bottom style="thin">
          <color auto="1"/>
        </bottom>
      </border>
    </dxf>
    <dxf>
      <fill>
        <patternFill>
          <bgColor theme="9" tint="0.59996337778862885"/>
        </patternFill>
      </fill>
      <border>
        <left style="thin">
          <color auto="1"/>
        </left>
        <right style="thin">
          <color auto="1"/>
        </right>
        <top style="thin">
          <color auto="1"/>
        </top>
        <bottom style="thin">
          <color auto="1"/>
        </bottom>
      </border>
    </dxf>
    <dxf>
      <font>
        <b val="0"/>
        <i val="0"/>
      </font>
      <border>
        <left style="thin">
          <color auto="1"/>
        </left>
        <right style="thin">
          <color auto="1"/>
        </right>
        <top style="thin">
          <color auto="1"/>
        </top>
        <bottom style="thin">
          <color auto="1"/>
        </bottom>
        <vertical/>
        <horizontal/>
      </border>
    </dxf>
    <dxf>
      <fill>
        <patternFill>
          <bgColor theme="9" tint="0.59996337778862885"/>
        </patternFill>
      </fill>
      <border>
        <left style="thin">
          <color auto="1"/>
        </left>
        <right style="thin">
          <color auto="1"/>
        </right>
        <top style="thin">
          <color auto="1"/>
        </top>
        <bottom style="thin">
          <color auto="1"/>
        </bottom>
      </border>
    </dxf>
    <dxf>
      <fill>
        <patternFill>
          <bgColor theme="9" tint="0.59996337778862885"/>
        </patternFill>
      </fill>
      <border>
        <left style="thin">
          <color auto="1"/>
        </left>
        <right style="thin">
          <color auto="1"/>
        </right>
        <top style="thin">
          <color auto="1"/>
        </top>
        <bottom style="thin">
          <color auto="1"/>
        </bottom>
      </border>
    </dxf>
    <dxf>
      <fill>
        <patternFill>
          <bgColor theme="4" tint="0.59996337778862885"/>
        </patternFill>
      </fill>
      <border>
        <left style="thin">
          <color auto="1"/>
        </left>
        <right style="thin">
          <color auto="1"/>
        </right>
        <top style="thin">
          <color auto="1"/>
        </top>
        <bottom style="thin">
          <color auto="1"/>
        </bottom>
      </border>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ill>
        <patternFill>
          <bgColor theme="9" tint="0.59996337778862885"/>
        </patternFill>
      </fill>
      <border>
        <left style="thin">
          <color auto="1"/>
        </left>
        <right style="thin">
          <color auto="1"/>
        </right>
        <top style="thin">
          <color auto="1"/>
        </top>
        <bottom style="thin">
          <color auto="1"/>
        </bottom>
      </border>
    </dxf>
    <dxf>
      <fill>
        <patternFill>
          <bgColor theme="9" tint="0.59996337778862885"/>
        </patternFill>
      </fill>
      <border>
        <left style="thin">
          <color auto="1"/>
        </left>
        <right style="thin">
          <color auto="1"/>
        </right>
        <top style="thin">
          <color auto="1"/>
        </top>
        <bottom style="thin">
          <color auto="1"/>
        </bottom>
      </border>
    </dxf>
    <dxf>
      <fill>
        <patternFill>
          <bgColor theme="4" tint="0.59996337778862885"/>
        </patternFill>
      </fill>
      <border>
        <left style="thin">
          <color auto="1"/>
        </left>
        <right style="thin">
          <color auto="1"/>
        </right>
        <top style="thin">
          <color auto="1"/>
        </top>
        <bottom style="thin">
          <color auto="1"/>
        </bottom>
      </border>
    </dxf>
    <dxf>
      <fill>
        <patternFill>
          <bgColor theme="0" tint="-0.24994659260841701"/>
        </patternFill>
      </fill>
      <border>
        <left style="thin">
          <color auto="1"/>
        </left>
        <right style="thin">
          <color auto="1"/>
        </right>
        <top style="thin">
          <color auto="1"/>
        </top>
        <bottom style="thin">
          <color auto="1"/>
        </bottom>
      </border>
    </dxf>
    <dxf>
      <font>
        <b val="0"/>
        <i val="0"/>
        <color auto="1"/>
      </font>
      <fill>
        <patternFill>
          <bgColor theme="0" tint="-0.24994659260841701"/>
        </patternFill>
      </fill>
      <border>
        <left style="thin">
          <color auto="1"/>
        </left>
        <right style="thin">
          <color auto="1"/>
        </right>
        <top style="thin">
          <color auto="1"/>
        </top>
        <bottom style="thin">
          <color auto="1"/>
        </bottom>
      </border>
    </dxf>
    <dxf>
      <fill>
        <patternFill>
          <bgColor theme="9" tint="0.59996337778862885"/>
        </patternFill>
      </fill>
      <border>
        <left style="thin">
          <color auto="1"/>
        </left>
        <right style="thin">
          <color auto="1"/>
        </right>
        <top style="thin">
          <color auto="1"/>
        </top>
        <bottom style="thin">
          <color auto="1"/>
        </bottom>
      </border>
    </dxf>
    <dxf>
      <font>
        <b val="0"/>
        <i val="0"/>
      </font>
      <border>
        <left style="thin">
          <color auto="1"/>
        </left>
        <right style="thin">
          <color auto="1"/>
        </right>
        <top style="thin">
          <color auto="1"/>
        </top>
        <bottom style="thin">
          <color auto="1"/>
        </bottom>
        <vertical/>
        <horizontal/>
      </border>
    </dxf>
    <dxf>
      <fill>
        <patternFill>
          <bgColor theme="9" tint="0.59996337778862885"/>
        </patternFill>
      </fill>
      <border>
        <left style="thin">
          <color auto="1"/>
        </left>
        <right style="thin">
          <color auto="1"/>
        </right>
        <top style="thin">
          <color auto="1"/>
        </top>
        <bottom style="thin">
          <color auto="1"/>
        </bottom>
      </border>
    </dxf>
    <dxf>
      <fill>
        <patternFill>
          <bgColor theme="9" tint="0.59996337778862885"/>
        </patternFill>
      </fill>
      <border>
        <left style="thin">
          <color auto="1"/>
        </left>
        <right style="thin">
          <color auto="1"/>
        </right>
        <top style="thin">
          <color auto="1"/>
        </top>
        <bottom style="thin">
          <color auto="1"/>
        </bottom>
      </border>
    </dxf>
    <dxf>
      <fill>
        <patternFill>
          <bgColor theme="4" tint="0.59996337778862885"/>
        </patternFill>
      </fill>
      <border>
        <left style="thin">
          <color auto="1"/>
        </left>
        <right style="thin">
          <color auto="1"/>
        </right>
        <top style="thin">
          <color auto="1"/>
        </top>
        <bottom style="thin">
          <color auto="1"/>
        </bottom>
      </border>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ill>
        <patternFill>
          <bgColor theme="9" tint="0.59996337778862885"/>
        </patternFill>
      </fill>
      <border>
        <left style="thin">
          <color auto="1"/>
        </left>
        <right style="thin">
          <color auto="1"/>
        </right>
        <top style="thin">
          <color auto="1"/>
        </top>
        <bottom style="thin">
          <color auto="1"/>
        </bottom>
      </border>
    </dxf>
    <dxf>
      <fill>
        <patternFill>
          <bgColor theme="9" tint="0.59996337778862885"/>
        </patternFill>
      </fill>
      <border>
        <left style="thin">
          <color auto="1"/>
        </left>
        <right style="thin">
          <color auto="1"/>
        </right>
        <top style="thin">
          <color auto="1"/>
        </top>
        <bottom style="thin">
          <color auto="1"/>
        </bottom>
      </border>
    </dxf>
    <dxf>
      <fill>
        <patternFill>
          <bgColor theme="4" tint="0.59996337778862885"/>
        </patternFill>
      </fill>
      <border>
        <left style="thin">
          <color auto="1"/>
        </left>
        <right style="thin">
          <color auto="1"/>
        </right>
        <top style="thin">
          <color auto="1"/>
        </top>
        <bottom style="thin">
          <color auto="1"/>
        </bottom>
      </border>
    </dxf>
    <dxf>
      <fill>
        <patternFill>
          <bgColor theme="0" tint="-0.24994659260841701"/>
        </patternFill>
      </fill>
      <border>
        <left style="thin">
          <color auto="1"/>
        </left>
        <right style="thin">
          <color auto="1"/>
        </right>
        <top style="thin">
          <color auto="1"/>
        </top>
        <bottom style="thin">
          <color auto="1"/>
        </bottom>
      </border>
    </dxf>
    <dxf>
      <font>
        <b val="0"/>
        <i val="0"/>
        <color auto="1"/>
      </font>
      <fill>
        <patternFill>
          <bgColor theme="0" tint="-0.24994659260841701"/>
        </patternFill>
      </fill>
      <border>
        <left style="thin">
          <color auto="1"/>
        </left>
        <right style="thin">
          <color auto="1"/>
        </right>
        <top style="thin">
          <color auto="1"/>
        </top>
        <bottom style="thin">
          <color auto="1"/>
        </bottom>
      </border>
    </dxf>
    <dxf>
      <fill>
        <patternFill>
          <bgColor theme="9" tint="0.59996337778862885"/>
        </patternFill>
      </fill>
      <border>
        <left style="thin">
          <color auto="1"/>
        </left>
        <right style="thin">
          <color auto="1"/>
        </right>
        <top style="thin">
          <color auto="1"/>
        </top>
        <bottom style="thin">
          <color auto="1"/>
        </bottom>
      </border>
    </dxf>
    <dxf>
      <font>
        <b val="0"/>
        <i val="0"/>
      </font>
      <border>
        <left style="thin">
          <color auto="1"/>
        </left>
        <right style="thin">
          <color auto="1"/>
        </right>
        <top style="thin">
          <color auto="1"/>
        </top>
        <bottom style="thin">
          <color auto="1"/>
        </bottom>
        <vertical/>
        <horizontal/>
      </border>
    </dxf>
    <dxf>
      <fill>
        <patternFill>
          <bgColor theme="9" tint="0.59996337778862885"/>
        </patternFill>
      </fill>
      <border>
        <left style="thin">
          <color auto="1"/>
        </left>
        <right style="thin">
          <color auto="1"/>
        </right>
        <top style="thin">
          <color auto="1"/>
        </top>
        <bottom style="thin">
          <color auto="1"/>
        </bottom>
      </border>
    </dxf>
    <dxf>
      <fill>
        <patternFill>
          <bgColor theme="9" tint="0.59996337778862885"/>
        </patternFill>
      </fill>
      <border>
        <left style="thin">
          <color auto="1"/>
        </left>
        <right style="thin">
          <color auto="1"/>
        </right>
        <top style="thin">
          <color auto="1"/>
        </top>
        <bottom style="thin">
          <color auto="1"/>
        </bottom>
      </border>
    </dxf>
    <dxf>
      <fill>
        <patternFill>
          <bgColor theme="4" tint="0.59996337778862885"/>
        </patternFill>
      </fill>
      <border>
        <left style="thin">
          <color auto="1"/>
        </left>
        <right style="thin">
          <color auto="1"/>
        </right>
        <top style="thin">
          <color auto="1"/>
        </top>
        <bottom style="thin">
          <color auto="1"/>
        </bottom>
      </border>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ill>
        <patternFill>
          <bgColor theme="9" tint="0.59996337778862885"/>
        </patternFill>
      </fill>
      <border>
        <left style="thin">
          <color auto="1"/>
        </left>
        <right style="thin">
          <color auto="1"/>
        </right>
        <top style="thin">
          <color auto="1"/>
        </top>
        <bottom style="thin">
          <color auto="1"/>
        </bottom>
      </border>
    </dxf>
    <dxf>
      <fill>
        <patternFill>
          <bgColor theme="9" tint="0.59996337778862885"/>
        </patternFill>
      </fill>
      <border>
        <left style="thin">
          <color auto="1"/>
        </left>
        <right style="thin">
          <color auto="1"/>
        </right>
        <top style="thin">
          <color auto="1"/>
        </top>
        <bottom style="thin">
          <color auto="1"/>
        </bottom>
      </border>
    </dxf>
    <dxf>
      <fill>
        <patternFill>
          <bgColor theme="4" tint="0.59996337778862885"/>
        </patternFill>
      </fill>
      <border>
        <left style="thin">
          <color auto="1"/>
        </left>
        <right style="thin">
          <color auto="1"/>
        </right>
        <top style="thin">
          <color auto="1"/>
        </top>
        <bottom style="thin">
          <color auto="1"/>
        </bottom>
      </border>
    </dxf>
    <dxf>
      <fill>
        <patternFill>
          <bgColor theme="0" tint="-0.24994659260841701"/>
        </patternFill>
      </fill>
      <border>
        <left style="thin">
          <color auto="1"/>
        </left>
        <right style="thin">
          <color auto="1"/>
        </right>
        <top style="thin">
          <color auto="1"/>
        </top>
        <bottom style="thin">
          <color auto="1"/>
        </bottom>
      </border>
    </dxf>
    <dxf>
      <font>
        <b val="0"/>
        <i val="0"/>
        <color auto="1"/>
      </font>
      <fill>
        <patternFill>
          <bgColor theme="0" tint="-0.24994659260841701"/>
        </patternFill>
      </fill>
      <border>
        <left style="thin">
          <color auto="1"/>
        </left>
        <right style="thin">
          <color auto="1"/>
        </right>
        <top style="thin">
          <color auto="1"/>
        </top>
        <bottom style="thin">
          <color auto="1"/>
        </bottom>
      </border>
    </dxf>
    <dxf>
      <fill>
        <patternFill>
          <bgColor theme="9" tint="0.59996337778862885"/>
        </patternFill>
      </fill>
      <border>
        <left style="thin">
          <color auto="1"/>
        </left>
        <right style="thin">
          <color auto="1"/>
        </right>
        <top style="thin">
          <color auto="1"/>
        </top>
        <bottom style="thin">
          <color auto="1"/>
        </bottom>
      </border>
    </dxf>
    <dxf>
      <font>
        <b val="0"/>
        <i val="0"/>
      </font>
      <border>
        <left style="thin">
          <color auto="1"/>
        </left>
        <right style="thin">
          <color auto="1"/>
        </right>
        <top style="thin">
          <color auto="1"/>
        </top>
        <bottom style="thin">
          <color auto="1"/>
        </bottom>
        <vertical/>
        <horizontal/>
      </border>
    </dxf>
    <dxf>
      <fill>
        <patternFill>
          <bgColor theme="9" tint="0.59996337778862885"/>
        </patternFill>
      </fill>
      <border>
        <left style="thin">
          <color auto="1"/>
        </left>
        <right style="thin">
          <color auto="1"/>
        </right>
        <top style="thin">
          <color auto="1"/>
        </top>
        <bottom style="thin">
          <color auto="1"/>
        </bottom>
      </border>
    </dxf>
    <dxf>
      <fill>
        <patternFill>
          <bgColor theme="9" tint="0.59996337778862885"/>
        </patternFill>
      </fill>
      <border>
        <left style="thin">
          <color auto="1"/>
        </left>
        <right style="thin">
          <color auto="1"/>
        </right>
        <top style="thin">
          <color auto="1"/>
        </top>
        <bottom style="thin">
          <color auto="1"/>
        </bottom>
      </border>
    </dxf>
    <dxf>
      <fill>
        <patternFill>
          <bgColor theme="4" tint="0.59996337778862885"/>
        </patternFill>
      </fill>
      <border>
        <left style="thin">
          <color auto="1"/>
        </left>
        <right style="thin">
          <color auto="1"/>
        </right>
        <top style="thin">
          <color auto="1"/>
        </top>
        <bottom style="thin">
          <color auto="1"/>
        </bottom>
      </border>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ill>
        <patternFill>
          <bgColor theme="9" tint="0.59996337778862885"/>
        </patternFill>
      </fill>
      <border>
        <left style="thin">
          <color auto="1"/>
        </left>
        <right style="thin">
          <color auto="1"/>
        </right>
        <top style="thin">
          <color auto="1"/>
        </top>
        <bottom style="thin">
          <color auto="1"/>
        </bottom>
      </border>
    </dxf>
    <dxf>
      <fill>
        <patternFill>
          <bgColor theme="9" tint="0.59996337778862885"/>
        </patternFill>
      </fill>
      <border>
        <left style="thin">
          <color auto="1"/>
        </left>
        <right style="thin">
          <color auto="1"/>
        </right>
        <top style="thin">
          <color auto="1"/>
        </top>
        <bottom style="thin">
          <color auto="1"/>
        </bottom>
      </border>
    </dxf>
    <dxf>
      <fill>
        <patternFill>
          <bgColor theme="4" tint="0.59996337778862885"/>
        </patternFill>
      </fill>
      <border>
        <left style="thin">
          <color auto="1"/>
        </left>
        <right style="thin">
          <color auto="1"/>
        </right>
        <top style="thin">
          <color auto="1"/>
        </top>
        <bottom style="thin">
          <color auto="1"/>
        </bottom>
      </border>
    </dxf>
    <dxf>
      <fill>
        <patternFill>
          <bgColor theme="0" tint="-0.24994659260841701"/>
        </patternFill>
      </fill>
      <border>
        <left style="thin">
          <color auto="1"/>
        </left>
        <right style="thin">
          <color auto="1"/>
        </right>
        <top style="thin">
          <color auto="1"/>
        </top>
        <bottom style="thin">
          <color auto="1"/>
        </bottom>
      </border>
    </dxf>
    <dxf>
      <font>
        <b val="0"/>
        <i val="0"/>
        <color auto="1"/>
      </font>
      <fill>
        <patternFill>
          <bgColor theme="0" tint="-0.24994659260841701"/>
        </patternFill>
      </fill>
      <border>
        <left style="thin">
          <color auto="1"/>
        </left>
        <right style="thin">
          <color auto="1"/>
        </right>
        <top style="thin">
          <color auto="1"/>
        </top>
        <bottom style="thin">
          <color auto="1"/>
        </bottom>
      </border>
    </dxf>
    <dxf>
      <fill>
        <patternFill>
          <bgColor theme="9" tint="0.59996337778862885"/>
        </patternFill>
      </fill>
      <border>
        <left style="thin">
          <color auto="1"/>
        </left>
        <right style="thin">
          <color auto="1"/>
        </right>
        <top style="thin">
          <color auto="1"/>
        </top>
        <bottom style="thin">
          <color auto="1"/>
        </bottom>
      </border>
    </dxf>
    <dxf>
      <font>
        <b val="0"/>
        <i val="0"/>
      </font>
      <border>
        <left style="thin">
          <color auto="1"/>
        </left>
        <right style="thin">
          <color auto="1"/>
        </right>
        <top style="thin">
          <color auto="1"/>
        </top>
        <bottom style="thin">
          <color auto="1"/>
        </bottom>
        <vertical/>
        <horizontal/>
      </border>
    </dxf>
    <dxf>
      <fill>
        <patternFill>
          <bgColor theme="9" tint="0.59996337778862885"/>
        </patternFill>
      </fill>
      <border>
        <left style="thin">
          <color auto="1"/>
        </left>
        <right style="thin">
          <color auto="1"/>
        </right>
        <top style="thin">
          <color auto="1"/>
        </top>
        <bottom style="thin">
          <color auto="1"/>
        </bottom>
      </border>
    </dxf>
    <dxf>
      <fill>
        <patternFill>
          <bgColor theme="9" tint="0.59996337778862885"/>
        </patternFill>
      </fill>
      <border>
        <left style="thin">
          <color auto="1"/>
        </left>
        <right style="thin">
          <color auto="1"/>
        </right>
        <top style="thin">
          <color auto="1"/>
        </top>
        <bottom style="thin">
          <color auto="1"/>
        </bottom>
      </border>
    </dxf>
    <dxf>
      <fill>
        <patternFill>
          <bgColor theme="4" tint="0.59996337778862885"/>
        </patternFill>
      </fill>
      <border>
        <left style="thin">
          <color auto="1"/>
        </left>
        <right style="thin">
          <color auto="1"/>
        </right>
        <top style="thin">
          <color auto="1"/>
        </top>
        <bottom style="thin">
          <color auto="1"/>
        </bottom>
      </border>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ill>
        <patternFill>
          <bgColor theme="9" tint="0.59996337778862885"/>
        </patternFill>
      </fill>
      <border>
        <left style="thin">
          <color auto="1"/>
        </left>
        <right style="thin">
          <color auto="1"/>
        </right>
        <top style="thin">
          <color auto="1"/>
        </top>
        <bottom style="thin">
          <color auto="1"/>
        </bottom>
      </border>
    </dxf>
    <dxf>
      <fill>
        <patternFill>
          <bgColor theme="9" tint="0.59996337778862885"/>
        </patternFill>
      </fill>
      <border>
        <left style="thin">
          <color auto="1"/>
        </left>
        <right style="thin">
          <color auto="1"/>
        </right>
        <top style="thin">
          <color auto="1"/>
        </top>
        <bottom style="thin">
          <color auto="1"/>
        </bottom>
      </border>
    </dxf>
    <dxf>
      <fill>
        <patternFill>
          <bgColor theme="4" tint="0.59996337778862885"/>
        </patternFill>
      </fill>
      <border>
        <left style="thin">
          <color auto="1"/>
        </left>
        <right style="thin">
          <color auto="1"/>
        </right>
        <top style="thin">
          <color auto="1"/>
        </top>
        <bottom style="thin">
          <color auto="1"/>
        </bottom>
      </border>
    </dxf>
    <dxf>
      <fill>
        <patternFill>
          <bgColor theme="0" tint="-0.24994659260841701"/>
        </patternFill>
      </fill>
      <border>
        <left style="thin">
          <color auto="1"/>
        </left>
        <right style="thin">
          <color auto="1"/>
        </right>
        <top style="thin">
          <color auto="1"/>
        </top>
        <bottom style="thin">
          <color auto="1"/>
        </bottom>
      </border>
    </dxf>
    <dxf>
      <font>
        <b val="0"/>
        <i val="0"/>
        <color auto="1"/>
      </font>
      <fill>
        <patternFill>
          <bgColor theme="0" tint="-0.24994659260841701"/>
        </patternFill>
      </fill>
      <border>
        <left style="thin">
          <color auto="1"/>
        </left>
        <right style="thin">
          <color auto="1"/>
        </right>
        <top style="thin">
          <color auto="1"/>
        </top>
        <bottom style="thin">
          <color auto="1"/>
        </bottom>
      </border>
    </dxf>
    <dxf>
      <fill>
        <patternFill>
          <bgColor theme="9" tint="0.59996337778862885"/>
        </patternFill>
      </fill>
      <border>
        <left style="thin">
          <color auto="1"/>
        </left>
        <right style="thin">
          <color auto="1"/>
        </right>
        <top style="thin">
          <color auto="1"/>
        </top>
        <bottom style="thin">
          <color auto="1"/>
        </bottom>
      </border>
    </dxf>
    <dxf>
      <font>
        <b val="0"/>
        <i val="0"/>
      </font>
      <border>
        <left style="thin">
          <color auto="1"/>
        </left>
        <right style="thin">
          <color auto="1"/>
        </right>
        <top style="thin">
          <color auto="1"/>
        </top>
        <bottom style="thin">
          <color auto="1"/>
        </bottom>
        <vertical/>
        <horizontal/>
      </border>
    </dxf>
    <dxf>
      <fill>
        <patternFill>
          <bgColor theme="9" tint="0.59996337778862885"/>
        </patternFill>
      </fill>
      <border>
        <left style="thin">
          <color auto="1"/>
        </left>
        <right style="thin">
          <color auto="1"/>
        </right>
        <top style="thin">
          <color auto="1"/>
        </top>
        <bottom style="thin">
          <color auto="1"/>
        </bottom>
      </border>
    </dxf>
    <dxf>
      <fill>
        <patternFill>
          <bgColor theme="9" tint="0.59996337778862885"/>
        </patternFill>
      </fill>
      <border>
        <left style="thin">
          <color auto="1"/>
        </left>
        <right style="thin">
          <color auto="1"/>
        </right>
        <top style="thin">
          <color auto="1"/>
        </top>
        <bottom style="thin">
          <color auto="1"/>
        </bottom>
      </border>
    </dxf>
    <dxf>
      <fill>
        <patternFill>
          <bgColor theme="4" tint="0.59996337778862885"/>
        </patternFill>
      </fill>
      <border>
        <left style="thin">
          <color auto="1"/>
        </left>
        <right style="thin">
          <color auto="1"/>
        </right>
        <top style="thin">
          <color auto="1"/>
        </top>
        <bottom style="thin">
          <color auto="1"/>
        </bottom>
      </border>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ill>
        <patternFill>
          <bgColor theme="9" tint="0.59996337778862885"/>
        </patternFill>
      </fill>
      <border>
        <left style="thin">
          <color auto="1"/>
        </left>
        <right style="thin">
          <color auto="1"/>
        </right>
        <top style="thin">
          <color auto="1"/>
        </top>
        <bottom style="thin">
          <color auto="1"/>
        </bottom>
      </border>
    </dxf>
    <dxf>
      <fill>
        <patternFill>
          <bgColor theme="9" tint="0.59996337778862885"/>
        </patternFill>
      </fill>
      <border>
        <left style="thin">
          <color auto="1"/>
        </left>
        <right style="thin">
          <color auto="1"/>
        </right>
        <top style="thin">
          <color auto="1"/>
        </top>
        <bottom style="thin">
          <color auto="1"/>
        </bottom>
      </border>
    </dxf>
    <dxf>
      <fill>
        <patternFill>
          <bgColor theme="4" tint="0.59996337778862885"/>
        </patternFill>
      </fill>
      <border>
        <left style="thin">
          <color auto="1"/>
        </left>
        <right style="thin">
          <color auto="1"/>
        </right>
        <top style="thin">
          <color auto="1"/>
        </top>
        <bottom style="thin">
          <color auto="1"/>
        </bottom>
      </border>
    </dxf>
    <dxf>
      <fill>
        <patternFill>
          <bgColor theme="0" tint="-0.24994659260841701"/>
        </patternFill>
      </fill>
      <border>
        <left style="thin">
          <color auto="1"/>
        </left>
        <right style="thin">
          <color auto="1"/>
        </right>
        <top style="thin">
          <color auto="1"/>
        </top>
        <bottom style="thin">
          <color auto="1"/>
        </bottom>
      </border>
    </dxf>
    <dxf>
      <font>
        <b val="0"/>
        <i val="0"/>
        <color auto="1"/>
      </font>
      <fill>
        <patternFill>
          <bgColor theme="0" tint="-0.24994659260841701"/>
        </patternFill>
      </fill>
      <border>
        <left style="thin">
          <color auto="1"/>
        </left>
        <right style="thin">
          <color auto="1"/>
        </right>
        <top style="thin">
          <color auto="1"/>
        </top>
        <bottom style="thin">
          <color auto="1"/>
        </bottom>
      </border>
    </dxf>
    <dxf>
      <fill>
        <patternFill>
          <bgColor theme="9" tint="0.59996337778862885"/>
        </patternFill>
      </fill>
      <border>
        <left style="thin">
          <color auto="1"/>
        </left>
        <right style="thin">
          <color auto="1"/>
        </right>
        <top style="thin">
          <color auto="1"/>
        </top>
        <bottom style="thin">
          <color auto="1"/>
        </bottom>
      </border>
    </dxf>
    <dxf>
      <font>
        <b val="0"/>
        <i val="0"/>
      </font>
      <border>
        <left style="thin">
          <color auto="1"/>
        </left>
        <right style="thin">
          <color auto="1"/>
        </right>
        <top style="thin">
          <color auto="1"/>
        </top>
        <bottom style="thin">
          <color auto="1"/>
        </bottom>
        <vertical/>
        <horizontal/>
      </border>
    </dxf>
    <dxf>
      <fill>
        <patternFill>
          <bgColor theme="9" tint="0.59996337778862885"/>
        </patternFill>
      </fill>
      <border>
        <left style="thin">
          <color auto="1"/>
        </left>
        <right style="thin">
          <color auto="1"/>
        </right>
        <top style="thin">
          <color auto="1"/>
        </top>
        <bottom style="thin">
          <color auto="1"/>
        </bottom>
      </border>
    </dxf>
    <dxf>
      <fill>
        <patternFill>
          <bgColor theme="9" tint="0.59996337778862885"/>
        </patternFill>
      </fill>
      <border>
        <left style="thin">
          <color auto="1"/>
        </left>
        <right style="thin">
          <color auto="1"/>
        </right>
        <top style="thin">
          <color auto="1"/>
        </top>
        <bottom style="thin">
          <color auto="1"/>
        </bottom>
      </border>
    </dxf>
    <dxf>
      <fill>
        <patternFill>
          <bgColor theme="4" tint="0.59996337778862885"/>
        </patternFill>
      </fill>
      <border>
        <left style="thin">
          <color auto="1"/>
        </left>
        <right style="thin">
          <color auto="1"/>
        </right>
        <top style="thin">
          <color auto="1"/>
        </top>
        <bottom style="thin">
          <color auto="1"/>
        </bottom>
      </border>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ill>
        <patternFill>
          <bgColor theme="9" tint="0.59996337778862885"/>
        </patternFill>
      </fill>
      <border>
        <left style="thin">
          <color auto="1"/>
        </left>
        <right style="thin">
          <color auto="1"/>
        </right>
        <top style="thin">
          <color auto="1"/>
        </top>
        <bottom style="thin">
          <color auto="1"/>
        </bottom>
      </border>
    </dxf>
    <dxf>
      <fill>
        <patternFill>
          <bgColor theme="9" tint="0.59996337778862885"/>
        </patternFill>
      </fill>
      <border>
        <left style="thin">
          <color auto="1"/>
        </left>
        <right style="thin">
          <color auto="1"/>
        </right>
        <top style="thin">
          <color auto="1"/>
        </top>
        <bottom style="thin">
          <color auto="1"/>
        </bottom>
      </border>
    </dxf>
    <dxf>
      <fill>
        <patternFill>
          <bgColor theme="4" tint="0.59996337778862885"/>
        </patternFill>
      </fill>
      <border>
        <left style="thin">
          <color auto="1"/>
        </left>
        <right style="thin">
          <color auto="1"/>
        </right>
        <top style="thin">
          <color auto="1"/>
        </top>
        <bottom style="thin">
          <color auto="1"/>
        </bottom>
      </border>
    </dxf>
    <dxf>
      <fill>
        <patternFill>
          <bgColor theme="0" tint="-0.24994659260841701"/>
        </patternFill>
      </fill>
      <border>
        <left style="thin">
          <color auto="1"/>
        </left>
        <right style="thin">
          <color auto="1"/>
        </right>
        <top style="thin">
          <color auto="1"/>
        </top>
        <bottom style="thin">
          <color auto="1"/>
        </bottom>
      </border>
    </dxf>
    <dxf>
      <font>
        <b val="0"/>
        <i val="0"/>
        <color auto="1"/>
      </font>
      <fill>
        <patternFill>
          <bgColor theme="0" tint="-0.24994659260841701"/>
        </patternFill>
      </fill>
      <border>
        <left style="thin">
          <color auto="1"/>
        </left>
        <right style="thin">
          <color auto="1"/>
        </right>
        <top style="thin">
          <color auto="1"/>
        </top>
        <bottom style="thin">
          <color auto="1"/>
        </bottom>
      </border>
    </dxf>
    <dxf>
      <fill>
        <patternFill>
          <bgColor theme="9" tint="0.59996337778862885"/>
        </patternFill>
      </fill>
      <border>
        <left style="thin">
          <color auto="1"/>
        </left>
        <right style="thin">
          <color auto="1"/>
        </right>
        <top style="thin">
          <color auto="1"/>
        </top>
        <bottom style="thin">
          <color auto="1"/>
        </bottom>
      </border>
    </dxf>
    <dxf>
      <font>
        <b val="0"/>
        <i val="0"/>
      </font>
      <border>
        <left style="thin">
          <color auto="1"/>
        </left>
        <right style="thin">
          <color auto="1"/>
        </right>
        <top style="thin">
          <color auto="1"/>
        </top>
        <bottom style="thin">
          <color auto="1"/>
        </bottom>
        <vertical/>
        <horizontal/>
      </border>
    </dxf>
    <dxf>
      <fill>
        <patternFill>
          <bgColor theme="9" tint="0.59996337778862885"/>
        </patternFill>
      </fill>
      <border>
        <left style="thin">
          <color auto="1"/>
        </left>
        <right style="thin">
          <color auto="1"/>
        </right>
        <top style="thin">
          <color auto="1"/>
        </top>
        <bottom style="thin">
          <color auto="1"/>
        </bottom>
      </border>
    </dxf>
    <dxf>
      <fill>
        <patternFill>
          <bgColor theme="9" tint="0.59996337778862885"/>
        </patternFill>
      </fill>
      <border>
        <left style="thin">
          <color auto="1"/>
        </left>
        <right style="thin">
          <color auto="1"/>
        </right>
        <top style="thin">
          <color auto="1"/>
        </top>
        <bottom style="thin">
          <color auto="1"/>
        </bottom>
      </border>
    </dxf>
    <dxf>
      <fill>
        <patternFill>
          <bgColor theme="4" tint="0.59996337778862885"/>
        </patternFill>
      </fill>
      <border>
        <left style="thin">
          <color auto="1"/>
        </left>
        <right style="thin">
          <color auto="1"/>
        </right>
        <top style="thin">
          <color auto="1"/>
        </top>
        <bottom style="thin">
          <color auto="1"/>
        </bottom>
      </border>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ill>
        <patternFill>
          <bgColor theme="0" tint="-0.24994659260841701"/>
        </patternFill>
      </fill>
      <border>
        <left style="thin">
          <color auto="1"/>
        </left>
        <right style="thin">
          <color auto="1"/>
        </right>
        <top style="thin">
          <color auto="1"/>
        </top>
        <bottom style="thin">
          <color auto="1"/>
        </bottom>
      </border>
    </dxf>
    <dxf>
      <font>
        <b val="0"/>
        <i val="0"/>
        <color auto="1"/>
      </font>
      <fill>
        <patternFill>
          <bgColor theme="0" tint="-0.24994659260841701"/>
        </patternFill>
      </fill>
      <border>
        <left style="thin">
          <color auto="1"/>
        </left>
        <right style="thin">
          <color auto="1"/>
        </right>
        <top style="thin">
          <color auto="1"/>
        </top>
        <bottom style="thin">
          <color auto="1"/>
        </bottom>
      </border>
    </dxf>
    <dxf>
      <fill>
        <patternFill>
          <bgColor theme="9" tint="0.59996337778862885"/>
        </patternFill>
      </fill>
      <border>
        <left style="thin">
          <color auto="1"/>
        </left>
        <right style="thin">
          <color auto="1"/>
        </right>
        <top style="thin">
          <color auto="1"/>
        </top>
        <bottom style="thin">
          <color auto="1"/>
        </bottom>
      </border>
    </dxf>
    <dxf>
      <font>
        <b val="0"/>
        <i val="0"/>
      </font>
      <border>
        <left style="thin">
          <color auto="1"/>
        </left>
        <right style="thin">
          <color auto="1"/>
        </right>
        <top style="thin">
          <color auto="1"/>
        </top>
        <bottom style="thin">
          <color auto="1"/>
        </bottom>
        <vertical/>
        <horizontal/>
      </border>
    </dxf>
    <dxf>
      <fill>
        <patternFill>
          <bgColor theme="9" tint="0.59996337778862885"/>
        </patternFill>
      </fill>
      <border>
        <left style="thin">
          <color auto="1"/>
        </left>
        <right style="thin">
          <color auto="1"/>
        </right>
        <top style="thin">
          <color auto="1"/>
        </top>
        <bottom style="thin">
          <color auto="1"/>
        </bottom>
      </border>
    </dxf>
    <dxf>
      <fill>
        <patternFill>
          <bgColor theme="9" tint="0.59996337778862885"/>
        </patternFill>
      </fill>
      <border>
        <left style="thin">
          <color auto="1"/>
        </left>
        <right style="thin">
          <color auto="1"/>
        </right>
        <top style="thin">
          <color auto="1"/>
        </top>
        <bottom style="thin">
          <color auto="1"/>
        </bottom>
      </border>
    </dxf>
    <dxf>
      <fill>
        <patternFill>
          <bgColor theme="4" tint="0.59996337778862885"/>
        </patternFill>
      </fill>
      <border>
        <left style="thin">
          <color auto="1"/>
        </left>
        <right style="thin">
          <color auto="1"/>
        </right>
        <top style="thin">
          <color auto="1"/>
        </top>
        <bottom style="thin">
          <color auto="1"/>
        </bottom>
      </border>
    </dxf>
    <dxf>
      <fill>
        <patternFill>
          <bgColor theme="0" tint="-0.24994659260841701"/>
        </patternFill>
      </fill>
      <border>
        <left style="thin">
          <color auto="1"/>
        </left>
        <right style="thin">
          <color auto="1"/>
        </right>
        <top style="thin">
          <color auto="1"/>
        </top>
        <bottom style="thin">
          <color auto="1"/>
        </bottom>
      </border>
    </dxf>
    <dxf>
      <font>
        <b val="0"/>
        <i val="0"/>
        <color auto="1"/>
      </font>
      <fill>
        <patternFill>
          <bgColor theme="0" tint="-0.24994659260841701"/>
        </patternFill>
      </fill>
      <border>
        <left style="thin">
          <color auto="1"/>
        </left>
        <right style="thin">
          <color auto="1"/>
        </right>
        <top style="thin">
          <color auto="1"/>
        </top>
        <bottom style="thin">
          <color auto="1"/>
        </bottom>
      </border>
    </dxf>
    <dxf>
      <fill>
        <patternFill>
          <bgColor theme="9" tint="0.59996337778862885"/>
        </patternFill>
      </fill>
      <border>
        <left style="thin">
          <color auto="1"/>
        </left>
        <right style="thin">
          <color auto="1"/>
        </right>
        <top style="thin">
          <color auto="1"/>
        </top>
        <bottom style="thin">
          <color auto="1"/>
        </bottom>
      </border>
    </dxf>
    <dxf>
      <font>
        <b val="0"/>
        <i val="0"/>
      </font>
      <border>
        <left style="thin">
          <color auto="1"/>
        </left>
        <right style="thin">
          <color auto="1"/>
        </right>
        <top style="thin">
          <color auto="1"/>
        </top>
        <bottom style="thin">
          <color auto="1"/>
        </bottom>
        <vertical/>
        <horizontal/>
      </border>
    </dxf>
    <dxf>
      <fill>
        <patternFill>
          <bgColor theme="9" tint="0.59996337778862885"/>
        </patternFill>
      </fill>
      <border>
        <left style="thin">
          <color auto="1"/>
        </left>
        <right style="thin">
          <color auto="1"/>
        </right>
        <top style="thin">
          <color auto="1"/>
        </top>
        <bottom style="thin">
          <color auto="1"/>
        </bottom>
      </border>
    </dxf>
    <dxf>
      <fill>
        <patternFill>
          <bgColor theme="9" tint="0.59996337778862885"/>
        </patternFill>
      </fill>
      <border>
        <left style="thin">
          <color auto="1"/>
        </left>
        <right style="thin">
          <color auto="1"/>
        </right>
        <top style="thin">
          <color auto="1"/>
        </top>
        <bottom style="thin">
          <color auto="1"/>
        </bottom>
      </border>
    </dxf>
    <dxf>
      <fill>
        <patternFill>
          <bgColor theme="4" tint="0.59996337778862885"/>
        </patternFill>
      </fill>
      <border>
        <left style="thin">
          <color auto="1"/>
        </left>
        <right style="thin">
          <color auto="1"/>
        </right>
        <top style="thin">
          <color auto="1"/>
        </top>
        <bottom style="thin">
          <color auto="1"/>
        </bottom>
      </border>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s>
  <tableStyles count="0" defaultTableStyle="TableStyleMedium2" defaultPivotStyle="PivotStyleLight16"/>
  <colors>
    <mruColors>
      <color rgb="FFFF99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4.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38"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openxmlformats.org/officeDocument/2006/relationships/customXml" Target="../customXml/item2.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23</xdr:row>
          <xdr:rowOff>104775</xdr:rowOff>
        </xdr:from>
        <xdr:to>
          <xdr:col>3</xdr:col>
          <xdr:colOff>266700</xdr:colOff>
          <xdr:row>25</xdr:row>
          <xdr:rowOff>123825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1A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New Quarter Setup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104775</xdr:colOff>
          <xdr:row>23</xdr:row>
          <xdr:rowOff>85725</xdr:rowOff>
        </xdr:from>
        <xdr:to>
          <xdr:col>55</xdr:col>
          <xdr:colOff>257175</xdr:colOff>
          <xdr:row>25</xdr:row>
          <xdr:rowOff>104775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1A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New Audit Week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38</xdr:col>
          <xdr:colOff>200025</xdr:colOff>
          <xdr:row>2</xdr:row>
          <xdr:rowOff>19050</xdr:rowOff>
        </xdr:from>
        <xdr:to>
          <xdr:col>44</xdr:col>
          <xdr:colOff>85725</xdr:colOff>
          <xdr:row>3</xdr:row>
          <xdr:rowOff>95250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1A00-00000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Send Completed Audit Emails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247650</xdr:colOff>
          <xdr:row>2</xdr:row>
          <xdr:rowOff>19050</xdr:rowOff>
        </xdr:from>
        <xdr:to>
          <xdr:col>38</xdr:col>
          <xdr:colOff>133350</xdr:colOff>
          <xdr:row>3</xdr:row>
          <xdr:rowOff>95250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1A00-00000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Get Overview Report Work Totals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152400</xdr:colOff>
          <xdr:row>2</xdr:row>
          <xdr:rowOff>19050</xdr:rowOff>
        </xdr:from>
        <xdr:to>
          <xdr:col>50</xdr:col>
          <xdr:colOff>38100</xdr:colOff>
          <xdr:row>3</xdr:row>
          <xdr:rowOff>95250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1A00-000009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Add PD/SA, Audit % to Overview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114300</xdr:colOff>
          <xdr:row>2</xdr:row>
          <xdr:rowOff>9525</xdr:rowOff>
        </xdr:from>
        <xdr:to>
          <xdr:col>56</xdr:col>
          <xdr:colOff>0</xdr:colOff>
          <xdr:row>3</xdr:row>
          <xdr:rowOff>95250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1A00-00000A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Import Completed ORpts to MC Spreadsheet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27.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7.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8.xml.rels><?xml version="1.0" encoding="UTF-8" standalone="yes"?>
<Relationships xmlns="http://schemas.openxmlformats.org/package/2006/relationships"><Relationship Id="rId8" Type="http://schemas.openxmlformats.org/officeDocument/2006/relationships/printerSettings" Target="../printerSettings/printerSettings9.bin"/><Relationship Id="rId3" Type="http://schemas.openxmlformats.org/officeDocument/2006/relationships/printerSettings" Target="../printerSettings/printerSettings4.bin"/><Relationship Id="rId7" Type="http://schemas.openxmlformats.org/officeDocument/2006/relationships/printerSettings" Target="../printerSettings/printerSettings8.bin"/><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6" Type="http://schemas.openxmlformats.org/officeDocument/2006/relationships/printerSettings" Target="../printerSettings/printerSettings7.bin"/><Relationship Id="rId5" Type="http://schemas.openxmlformats.org/officeDocument/2006/relationships/printerSettings" Target="../printerSettings/printerSettings6.bin"/><Relationship Id="rId10" Type="http://schemas.openxmlformats.org/officeDocument/2006/relationships/printerSettings" Target="../printerSettings/printerSettings11.bin"/><Relationship Id="rId4" Type="http://schemas.openxmlformats.org/officeDocument/2006/relationships/printerSettings" Target="../printerSettings/printerSettings5.bin"/><Relationship Id="rId9"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6D24A-B590-4662-9596-FE49877868FC}">
  <sheetPr codeName="Sheet2"/>
  <dimension ref="A1:U192"/>
  <sheetViews>
    <sheetView tabSelected="1" zoomScaleNormal="100" workbookViewId="0"/>
  </sheetViews>
  <sheetFormatPr defaultRowHeight="15" x14ac:dyDescent="0.25"/>
  <cols>
    <col min="1" max="1" width="10" bestFit="1" customWidth="1"/>
    <col min="2" max="2" width="17.28515625" bestFit="1" customWidth="1"/>
    <col min="3" max="4" width="11.42578125" bestFit="1" customWidth="1"/>
    <col min="5" max="5" width="14" bestFit="1" customWidth="1"/>
    <col min="6" max="6" width="14.7109375" bestFit="1" customWidth="1"/>
    <col min="7" max="7" width="29" bestFit="1" customWidth="1"/>
    <col min="8" max="8" width="19.140625" bestFit="1" customWidth="1"/>
    <col min="9" max="9" width="19" bestFit="1" customWidth="1"/>
    <col min="10" max="10" width="14.5703125" bestFit="1" customWidth="1"/>
    <col min="11" max="11" width="13.42578125" bestFit="1" customWidth="1"/>
    <col min="12" max="12" width="15" bestFit="1" customWidth="1"/>
    <col min="13" max="13" width="13.140625" style="21" bestFit="1" customWidth="1"/>
    <col min="14" max="14" width="15.7109375" bestFit="1" customWidth="1"/>
    <col min="15" max="15" width="14.5703125" bestFit="1" customWidth="1"/>
    <col min="16" max="16" width="14.140625" bestFit="1" customWidth="1"/>
    <col min="17" max="17" width="30.7109375" style="30" customWidth="1"/>
    <col min="18" max="18" width="20.42578125" bestFit="1" customWidth="1"/>
    <col min="19" max="19" width="22.28515625" bestFit="1" customWidth="1"/>
    <col min="20" max="20" width="23.28515625" bestFit="1" customWidth="1"/>
    <col min="21" max="21" width="11.140625" bestFit="1" customWidth="1"/>
  </cols>
  <sheetData>
    <row r="1" spans="1:21" ht="51" x14ac:dyDescent="0.25">
      <c r="A1" s="42" t="s">
        <v>0</v>
      </c>
      <c r="B1" s="42" t="s">
        <v>1</v>
      </c>
      <c r="C1" s="42" t="s">
        <v>2</v>
      </c>
      <c r="D1" s="42" t="s">
        <v>3</v>
      </c>
      <c r="E1" s="42" t="s">
        <v>4</v>
      </c>
      <c r="F1" s="42" t="s">
        <v>5</v>
      </c>
      <c r="G1" s="42" t="s">
        <v>6</v>
      </c>
      <c r="H1" s="42" t="s">
        <v>7</v>
      </c>
      <c r="I1" s="42" t="s">
        <v>8</v>
      </c>
      <c r="J1" s="42" t="s">
        <v>9</v>
      </c>
      <c r="K1" s="42" t="s">
        <v>10</v>
      </c>
      <c r="L1" s="42" t="s">
        <v>11</v>
      </c>
      <c r="M1" s="43" t="s">
        <v>12</v>
      </c>
      <c r="N1" s="42" t="s">
        <v>13</v>
      </c>
      <c r="O1" s="42" t="s">
        <v>14</v>
      </c>
      <c r="P1" s="42" t="s">
        <v>15</v>
      </c>
      <c r="Q1" s="42" t="s">
        <v>16</v>
      </c>
      <c r="R1" s="42" t="s">
        <v>17</v>
      </c>
      <c r="S1" s="42" t="s">
        <v>18</v>
      </c>
      <c r="T1" s="42" t="s">
        <v>16</v>
      </c>
      <c r="U1" s="44" t="s">
        <v>19</v>
      </c>
    </row>
    <row r="2" spans="1:21" x14ac:dyDescent="0.25">
      <c r="A2" s="45" t="s">
        <v>20</v>
      </c>
      <c r="B2" s="46">
        <v>45603</v>
      </c>
      <c r="C2" s="45" t="s">
        <v>21</v>
      </c>
      <c r="D2" s="47"/>
      <c r="E2" s="45" t="s">
        <v>22</v>
      </c>
      <c r="F2" s="45" t="s">
        <v>23</v>
      </c>
      <c r="G2" s="45" t="s">
        <v>24</v>
      </c>
      <c r="H2" s="45" t="s">
        <v>25</v>
      </c>
      <c r="I2" s="45" t="s">
        <v>26</v>
      </c>
      <c r="J2" s="45">
        <v>575434626</v>
      </c>
      <c r="K2" s="45" t="s">
        <v>27</v>
      </c>
      <c r="L2" s="48">
        <v>60</v>
      </c>
      <c r="M2" s="49">
        <v>20240905836</v>
      </c>
      <c r="N2" s="50" t="s">
        <v>28</v>
      </c>
      <c r="O2" s="50"/>
      <c r="P2" s="50"/>
      <c r="Q2" s="51"/>
      <c r="R2" s="50"/>
      <c r="S2" s="50"/>
      <c r="T2" s="50"/>
      <c r="U2" s="50"/>
    </row>
    <row r="3" spans="1:21" x14ac:dyDescent="0.25">
      <c r="A3" s="45" t="s">
        <v>29</v>
      </c>
      <c r="B3" s="46">
        <v>45603</v>
      </c>
      <c r="C3" s="45" t="s">
        <v>21</v>
      </c>
      <c r="D3" s="47"/>
      <c r="E3" s="45" t="s">
        <v>22</v>
      </c>
      <c r="F3" s="45" t="s">
        <v>23</v>
      </c>
      <c r="G3" s="45" t="s">
        <v>30</v>
      </c>
      <c r="H3" s="45" t="s">
        <v>31</v>
      </c>
      <c r="I3" s="45" t="s">
        <v>32</v>
      </c>
      <c r="J3" s="45">
        <v>575518745</v>
      </c>
      <c r="K3" s="45" t="s">
        <v>33</v>
      </c>
      <c r="L3" s="48">
        <v>423.09</v>
      </c>
      <c r="M3" s="49">
        <v>202409301086</v>
      </c>
      <c r="N3" s="50" t="s">
        <v>28</v>
      </c>
      <c r="O3" s="50"/>
      <c r="P3" s="50"/>
      <c r="Q3" s="51"/>
      <c r="R3" s="50"/>
      <c r="S3" s="50"/>
      <c r="T3" s="50"/>
      <c r="U3" s="50"/>
    </row>
    <row r="4" spans="1:21" x14ac:dyDescent="0.25">
      <c r="A4" s="45" t="s">
        <v>20</v>
      </c>
      <c r="B4" s="46">
        <v>45608</v>
      </c>
      <c r="C4" s="45" t="s">
        <v>34</v>
      </c>
      <c r="D4" s="47"/>
      <c r="E4" s="45" t="s">
        <v>22</v>
      </c>
      <c r="F4" s="45" t="s">
        <v>23</v>
      </c>
      <c r="G4" s="45" t="s">
        <v>30</v>
      </c>
      <c r="H4" s="45" t="s">
        <v>35</v>
      </c>
      <c r="I4" s="45" t="s">
        <v>36</v>
      </c>
      <c r="J4" s="45">
        <v>575637064</v>
      </c>
      <c r="K4" s="45" t="s">
        <v>37</v>
      </c>
      <c r="L4" s="48">
        <v>160</v>
      </c>
      <c r="M4" s="49">
        <v>202409301001</v>
      </c>
      <c r="N4" s="50" t="s">
        <v>28</v>
      </c>
      <c r="O4" s="50"/>
      <c r="P4" s="50"/>
      <c r="Q4" s="51"/>
      <c r="R4" s="50"/>
      <c r="S4" s="50"/>
      <c r="T4" s="50"/>
      <c r="U4" s="50"/>
    </row>
    <row r="5" spans="1:21" x14ac:dyDescent="0.25">
      <c r="A5" s="45" t="s">
        <v>38</v>
      </c>
      <c r="B5" s="46">
        <v>45608</v>
      </c>
      <c r="C5" s="45" t="s">
        <v>34</v>
      </c>
      <c r="D5" s="47"/>
      <c r="E5" s="45" t="s">
        <v>22</v>
      </c>
      <c r="F5" s="45" t="s">
        <v>23</v>
      </c>
      <c r="G5" s="45" t="s">
        <v>30</v>
      </c>
      <c r="H5" s="45" t="s">
        <v>39</v>
      </c>
      <c r="I5" s="45" t="s">
        <v>40</v>
      </c>
      <c r="J5" s="45">
        <v>575675779</v>
      </c>
      <c r="K5" s="45" t="s">
        <v>41</v>
      </c>
      <c r="L5" s="48">
        <v>4</v>
      </c>
      <c r="M5" s="49">
        <v>20240930975</v>
      </c>
      <c r="N5" s="50" t="s">
        <v>28</v>
      </c>
      <c r="O5" s="50"/>
      <c r="P5" s="50"/>
      <c r="Q5" s="51"/>
      <c r="R5" s="50"/>
      <c r="S5" s="50"/>
      <c r="T5" s="50"/>
      <c r="U5" s="50"/>
    </row>
    <row r="6" spans="1:21" x14ac:dyDescent="0.25">
      <c r="A6" s="45" t="s">
        <v>38</v>
      </c>
      <c r="B6" s="46">
        <v>45608</v>
      </c>
      <c r="C6" s="45" t="s">
        <v>34</v>
      </c>
      <c r="D6" s="47"/>
      <c r="E6" s="45" t="s">
        <v>22</v>
      </c>
      <c r="F6" s="45" t="s">
        <v>23</v>
      </c>
      <c r="G6" s="45" t="s">
        <v>30</v>
      </c>
      <c r="H6" s="45" t="s">
        <v>39</v>
      </c>
      <c r="I6" s="45" t="s">
        <v>40</v>
      </c>
      <c r="J6" s="45">
        <v>575675779</v>
      </c>
      <c r="K6" s="45" t="s">
        <v>42</v>
      </c>
      <c r="L6" s="48">
        <v>53.69</v>
      </c>
      <c r="M6" s="49">
        <v>20240930914</v>
      </c>
      <c r="N6" s="50" t="s">
        <v>28</v>
      </c>
      <c r="O6" s="50"/>
      <c r="P6" s="50"/>
      <c r="Q6" s="51"/>
      <c r="R6" s="50"/>
      <c r="S6" s="50"/>
      <c r="T6" s="50"/>
      <c r="U6" s="50"/>
    </row>
    <row r="7" spans="1:21" x14ac:dyDescent="0.25">
      <c r="A7" s="45" t="s">
        <v>38</v>
      </c>
      <c r="B7" s="46">
        <v>45608</v>
      </c>
      <c r="C7" s="45" t="s">
        <v>34</v>
      </c>
      <c r="D7" s="47"/>
      <c r="E7" s="45" t="s">
        <v>22</v>
      </c>
      <c r="F7" s="45" t="s">
        <v>23</v>
      </c>
      <c r="G7" s="45" t="s">
        <v>30</v>
      </c>
      <c r="H7" s="45" t="s">
        <v>39</v>
      </c>
      <c r="I7" s="45" t="s">
        <v>40</v>
      </c>
      <c r="J7" s="45">
        <v>575675779</v>
      </c>
      <c r="K7" s="45" t="s">
        <v>43</v>
      </c>
      <c r="L7" s="48">
        <v>14.51</v>
      </c>
      <c r="M7" s="49">
        <v>20240930933</v>
      </c>
      <c r="N7" s="50" t="s">
        <v>28</v>
      </c>
      <c r="O7" s="50"/>
      <c r="P7" s="50"/>
      <c r="Q7" s="51"/>
      <c r="R7" s="50"/>
      <c r="S7" s="50"/>
      <c r="T7" s="50"/>
      <c r="U7" s="50"/>
    </row>
    <row r="8" spans="1:21" x14ac:dyDescent="0.25">
      <c r="A8" s="45" t="s">
        <v>38</v>
      </c>
      <c r="B8" s="46">
        <v>45608</v>
      </c>
      <c r="C8" s="45" t="s">
        <v>34</v>
      </c>
      <c r="D8" s="47"/>
      <c r="E8" s="45" t="s">
        <v>22</v>
      </c>
      <c r="F8" s="45" t="s">
        <v>23</v>
      </c>
      <c r="G8" s="45" t="s">
        <v>30</v>
      </c>
      <c r="H8" s="45" t="s">
        <v>39</v>
      </c>
      <c r="I8" s="45" t="s">
        <v>40</v>
      </c>
      <c r="J8" s="45">
        <v>575675779</v>
      </c>
      <c r="K8" s="45" t="s">
        <v>44</v>
      </c>
      <c r="L8" s="48">
        <v>23.3</v>
      </c>
      <c r="M8" s="49">
        <v>20240930941</v>
      </c>
      <c r="N8" s="50" t="s">
        <v>28</v>
      </c>
      <c r="O8" s="50"/>
      <c r="P8" s="50"/>
      <c r="Q8" s="51"/>
      <c r="R8" s="50"/>
      <c r="S8" s="50"/>
      <c r="T8" s="50"/>
      <c r="U8" s="50"/>
    </row>
    <row r="9" spans="1:21" x14ac:dyDescent="0.25">
      <c r="A9" s="45" t="s">
        <v>20</v>
      </c>
      <c r="B9" s="46">
        <v>45608</v>
      </c>
      <c r="C9" s="45" t="s">
        <v>34</v>
      </c>
      <c r="D9" s="47"/>
      <c r="E9" s="45" t="s">
        <v>22</v>
      </c>
      <c r="F9" s="45" t="s">
        <v>23</v>
      </c>
      <c r="G9" s="45" t="s">
        <v>30</v>
      </c>
      <c r="H9" s="45" t="s">
        <v>39</v>
      </c>
      <c r="I9" s="45" t="s">
        <v>40</v>
      </c>
      <c r="J9" s="45">
        <v>575675779</v>
      </c>
      <c r="K9" s="45" t="s">
        <v>45</v>
      </c>
      <c r="L9" s="48">
        <v>4</v>
      </c>
      <c r="M9" s="49">
        <v>20240930977</v>
      </c>
      <c r="N9" s="50" t="s">
        <v>28</v>
      </c>
      <c r="O9" s="50"/>
      <c r="P9" s="50"/>
      <c r="Q9" s="51"/>
      <c r="R9" s="50"/>
      <c r="S9" s="50"/>
      <c r="T9" s="50"/>
      <c r="U9" s="50"/>
    </row>
    <row r="10" spans="1:21" x14ac:dyDescent="0.25">
      <c r="A10" s="45" t="s">
        <v>29</v>
      </c>
      <c r="B10" s="46">
        <v>45608</v>
      </c>
      <c r="C10" s="45" t="s">
        <v>34</v>
      </c>
      <c r="D10" s="47"/>
      <c r="E10" s="45" t="s">
        <v>22</v>
      </c>
      <c r="F10" s="45" t="s">
        <v>23</v>
      </c>
      <c r="G10" s="45" t="s">
        <v>24</v>
      </c>
      <c r="H10" s="45" t="s">
        <v>46</v>
      </c>
      <c r="I10" s="45" t="s">
        <v>47</v>
      </c>
      <c r="J10" s="45">
        <v>575784994</v>
      </c>
      <c r="K10" s="45" t="s">
        <v>48</v>
      </c>
      <c r="L10" s="48">
        <v>175</v>
      </c>
      <c r="M10" s="49">
        <v>20240903466</v>
      </c>
      <c r="N10" s="50" t="s">
        <v>28</v>
      </c>
      <c r="O10" s="50"/>
      <c r="P10" s="50"/>
      <c r="Q10" s="51"/>
      <c r="R10" s="50"/>
      <c r="S10" s="50"/>
      <c r="T10" s="50"/>
      <c r="U10" s="50"/>
    </row>
    <row r="11" spans="1:21" x14ac:dyDescent="0.25">
      <c r="A11" s="45" t="s">
        <v>20</v>
      </c>
      <c r="B11" s="46">
        <v>45608</v>
      </c>
      <c r="C11" s="45" t="s">
        <v>34</v>
      </c>
      <c r="D11" s="47"/>
      <c r="E11" s="45" t="s">
        <v>22</v>
      </c>
      <c r="F11" s="45" t="s">
        <v>23</v>
      </c>
      <c r="G11" s="45" t="s">
        <v>49</v>
      </c>
      <c r="H11" s="45" t="s">
        <v>50</v>
      </c>
      <c r="I11" s="45" t="s">
        <v>51</v>
      </c>
      <c r="J11" s="45">
        <v>575966434</v>
      </c>
      <c r="K11" s="45" t="s">
        <v>52</v>
      </c>
      <c r="L11" s="48">
        <v>135</v>
      </c>
      <c r="M11" s="49">
        <v>20241004641</v>
      </c>
      <c r="N11" s="50" t="s">
        <v>28</v>
      </c>
      <c r="O11" s="50"/>
      <c r="P11" s="50"/>
      <c r="Q11" s="51"/>
      <c r="R11" s="50"/>
      <c r="S11" s="50"/>
      <c r="T11" s="50"/>
      <c r="U11" s="50"/>
    </row>
    <row r="12" spans="1:21" x14ac:dyDescent="0.25">
      <c r="A12" s="45" t="s">
        <v>20</v>
      </c>
      <c r="B12" s="46">
        <v>45608</v>
      </c>
      <c r="C12" s="45" t="s">
        <v>34</v>
      </c>
      <c r="D12" s="47"/>
      <c r="E12" s="45" t="s">
        <v>22</v>
      </c>
      <c r="F12" s="45" t="s">
        <v>23</v>
      </c>
      <c r="G12" s="45" t="s">
        <v>49</v>
      </c>
      <c r="H12" s="45" t="s">
        <v>50</v>
      </c>
      <c r="I12" s="45" t="s">
        <v>51</v>
      </c>
      <c r="J12" s="45">
        <v>575966434</v>
      </c>
      <c r="K12" s="45" t="s">
        <v>53</v>
      </c>
      <c r="L12" s="48">
        <v>60</v>
      </c>
      <c r="M12" s="49">
        <v>20241004642</v>
      </c>
      <c r="N12" s="50" t="s">
        <v>28</v>
      </c>
      <c r="O12" s="50"/>
      <c r="P12" s="50"/>
      <c r="Q12" s="51"/>
      <c r="R12" s="50"/>
      <c r="S12" s="50"/>
      <c r="T12" s="50"/>
      <c r="U12" s="50"/>
    </row>
    <row r="13" spans="1:21" x14ac:dyDescent="0.25">
      <c r="A13" s="45" t="s">
        <v>29</v>
      </c>
      <c r="B13" s="46">
        <v>45608</v>
      </c>
      <c r="C13" s="45" t="s">
        <v>34</v>
      </c>
      <c r="D13" s="47"/>
      <c r="E13" s="45" t="s">
        <v>22</v>
      </c>
      <c r="F13" s="45" t="s">
        <v>23</v>
      </c>
      <c r="G13" s="45" t="s">
        <v>30</v>
      </c>
      <c r="H13" s="45" t="s">
        <v>54</v>
      </c>
      <c r="I13" s="45" t="s">
        <v>55</v>
      </c>
      <c r="J13" s="45">
        <v>576048741</v>
      </c>
      <c r="K13" s="45" t="s">
        <v>56</v>
      </c>
      <c r="L13" s="48">
        <v>160</v>
      </c>
      <c r="M13" s="49">
        <v>20241004573</v>
      </c>
      <c r="N13" s="50" t="s">
        <v>28</v>
      </c>
      <c r="O13" s="50"/>
      <c r="P13" s="50"/>
      <c r="Q13" s="51"/>
      <c r="R13" s="50"/>
      <c r="S13" s="50"/>
      <c r="T13" s="50"/>
      <c r="U13" s="50"/>
    </row>
    <row r="14" spans="1:21" x14ac:dyDescent="0.25">
      <c r="A14" s="45" t="s">
        <v>20</v>
      </c>
      <c r="B14" s="46">
        <v>45608</v>
      </c>
      <c r="C14" s="45" t="s">
        <v>34</v>
      </c>
      <c r="D14" s="47"/>
      <c r="E14" s="45" t="s">
        <v>22</v>
      </c>
      <c r="F14" s="45" t="s">
        <v>23</v>
      </c>
      <c r="G14" s="45" t="s">
        <v>30</v>
      </c>
      <c r="H14" s="45" t="s">
        <v>57</v>
      </c>
      <c r="I14" s="45" t="s">
        <v>58</v>
      </c>
      <c r="J14" s="45">
        <v>576049172</v>
      </c>
      <c r="K14" s="45" t="s">
        <v>59</v>
      </c>
      <c r="L14" s="48">
        <v>17.329999999999998</v>
      </c>
      <c r="M14" s="49">
        <v>20240930869</v>
      </c>
      <c r="N14" s="50" t="s">
        <v>28</v>
      </c>
      <c r="O14" s="50"/>
      <c r="P14" s="50"/>
      <c r="Q14" s="51"/>
      <c r="R14" s="50"/>
      <c r="S14" s="50"/>
      <c r="T14" s="50"/>
      <c r="U14" s="50"/>
    </row>
    <row r="15" spans="1:21" x14ac:dyDescent="0.25">
      <c r="A15" s="45" t="s">
        <v>20</v>
      </c>
      <c r="B15" s="46">
        <v>45608</v>
      </c>
      <c r="C15" s="45" t="s">
        <v>34</v>
      </c>
      <c r="D15" s="47"/>
      <c r="E15" s="45" t="s">
        <v>22</v>
      </c>
      <c r="F15" s="45" t="s">
        <v>23</v>
      </c>
      <c r="G15" s="45" t="s">
        <v>30</v>
      </c>
      <c r="H15" s="45" t="s">
        <v>60</v>
      </c>
      <c r="I15" s="45" t="s">
        <v>61</v>
      </c>
      <c r="J15" s="45">
        <v>576156634</v>
      </c>
      <c r="K15" s="45" t="s">
        <v>62</v>
      </c>
      <c r="L15" s="48">
        <v>106.54</v>
      </c>
      <c r="M15" s="49">
        <v>202409301030</v>
      </c>
      <c r="N15" s="50" t="s">
        <v>28</v>
      </c>
      <c r="O15" s="50"/>
      <c r="P15" s="50"/>
      <c r="Q15" s="51"/>
      <c r="R15" s="50"/>
      <c r="S15" s="50"/>
      <c r="T15" s="50"/>
      <c r="U15" s="50"/>
    </row>
    <row r="16" spans="1:21" x14ac:dyDescent="0.25">
      <c r="A16" s="45" t="s">
        <v>20</v>
      </c>
      <c r="B16" s="46">
        <v>45608</v>
      </c>
      <c r="C16" s="45" t="s">
        <v>34</v>
      </c>
      <c r="D16" s="47"/>
      <c r="E16" s="45" t="s">
        <v>22</v>
      </c>
      <c r="F16" s="45" t="s">
        <v>23</v>
      </c>
      <c r="G16" s="45" t="s">
        <v>30</v>
      </c>
      <c r="H16" s="45" t="s">
        <v>60</v>
      </c>
      <c r="I16" s="45" t="s">
        <v>61</v>
      </c>
      <c r="J16" s="45">
        <v>576156634</v>
      </c>
      <c r="K16" s="45" t="s">
        <v>63</v>
      </c>
      <c r="L16" s="48">
        <v>30.04</v>
      </c>
      <c r="M16" s="49">
        <v>202409301017</v>
      </c>
      <c r="N16" s="50" t="s">
        <v>28</v>
      </c>
      <c r="O16" s="50"/>
      <c r="P16" s="50"/>
      <c r="Q16" s="51"/>
      <c r="R16" s="50"/>
      <c r="S16" s="50"/>
      <c r="T16" s="50"/>
      <c r="U16" s="50"/>
    </row>
    <row r="17" spans="1:21" x14ac:dyDescent="0.25">
      <c r="A17" s="45" t="s">
        <v>20</v>
      </c>
      <c r="B17" s="46">
        <v>45608</v>
      </c>
      <c r="C17" s="45" t="s">
        <v>34</v>
      </c>
      <c r="D17" s="47"/>
      <c r="E17" s="45" t="s">
        <v>64</v>
      </c>
      <c r="F17" s="45" t="s">
        <v>65</v>
      </c>
      <c r="G17" s="45" t="s">
        <v>66</v>
      </c>
      <c r="H17" s="45" t="s">
        <v>67</v>
      </c>
      <c r="I17" s="45" t="s">
        <v>68</v>
      </c>
      <c r="J17" s="45">
        <v>569938094</v>
      </c>
      <c r="K17" s="45" t="s">
        <v>69</v>
      </c>
      <c r="L17" s="48">
        <v>30.24</v>
      </c>
      <c r="M17" s="49">
        <v>20240930740</v>
      </c>
      <c r="N17" s="50" t="s">
        <v>28</v>
      </c>
      <c r="O17" s="50"/>
      <c r="P17" s="50"/>
      <c r="Q17" s="51"/>
      <c r="R17" s="50"/>
      <c r="S17" s="50"/>
      <c r="T17" s="50"/>
      <c r="U17" s="50"/>
    </row>
    <row r="18" spans="1:21" x14ac:dyDescent="0.25">
      <c r="A18" s="45" t="s">
        <v>70</v>
      </c>
      <c r="B18" s="46">
        <v>45608</v>
      </c>
      <c r="C18" s="45" t="s">
        <v>34</v>
      </c>
      <c r="D18" s="47"/>
      <c r="E18" s="45" t="s">
        <v>64</v>
      </c>
      <c r="F18" s="45" t="s">
        <v>65</v>
      </c>
      <c r="G18" s="45" t="s">
        <v>71</v>
      </c>
      <c r="H18" s="45" t="s">
        <v>72</v>
      </c>
      <c r="I18" s="45" t="s">
        <v>73</v>
      </c>
      <c r="J18" s="45">
        <v>574346486</v>
      </c>
      <c r="K18" s="45" t="s">
        <v>56</v>
      </c>
      <c r="L18" s="48">
        <v>125</v>
      </c>
      <c r="M18" s="49">
        <v>202410012144</v>
      </c>
      <c r="N18" s="50" t="s">
        <v>28</v>
      </c>
      <c r="O18" s="50"/>
      <c r="P18" s="50"/>
      <c r="Q18" s="51"/>
      <c r="R18" s="50"/>
      <c r="S18" s="50"/>
      <c r="T18" s="50"/>
      <c r="U18" s="50"/>
    </row>
    <row r="19" spans="1:21" x14ac:dyDescent="0.25">
      <c r="A19" s="45" t="s">
        <v>20</v>
      </c>
      <c r="B19" s="46">
        <v>45608</v>
      </c>
      <c r="C19" s="45" t="s">
        <v>34</v>
      </c>
      <c r="D19" s="47"/>
      <c r="E19" s="45" t="s">
        <v>64</v>
      </c>
      <c r="F19" s="45" t="s">
        <v>65</v>
      </c>
      <c r="G19" s="45" t="s">
        <v>30</v>
      </c>
      <c r="H19" s="45" t="s">
        <v>74</v>
      </c>
      <c r="I19" s="45" t="s">
        <v>75</v>
      </c>
      <c r="J19" s="45">
        <v>575063024</v>
      </c>
      <c r="K19" s="45" t="s">
        <v>76</v>
      </c>
      <c r="L19" s="48">
        <v>3712.04</v>
      </c>
      <c r="M19" s="49">
        <v>20240820739</v>
      </c>
      <c r="N19" s="50" t="s">
        <v>28</v>
      </c>
      <c r="O19" s="50"/>
      <c r="P19" s="50"/>
      <c r="Q19" s="51"/>
      <c r="R19" s="50"/>
      <c r="S19" s="50"/>
      <c r="T19" s="50"/>
      <c r="U19" s="50"/>
    </row>
    <row r="20" spans="1:21" x14ac:dyDescent="0.25">
      <c r="A20" s="45" t="s">
        <v>20</v>
      </c>
      <c r="B20" s="46">
        <v>45608</v>
      </c>
      <c r="C20" s="45" t="s">
        <v>34</v>
      </c>
      <c r="D20" s="47"/>
      <c r="E20" s="45" t="s">
        <v>64</v>
      </c>
      <c r="F20" s="45" t="s">
        <v>65</v>
      </c>
      <c r="G20" s="45" t="s">
        <v>77</v>
      </c>
      <c r="H20" s="45" t="s">
        <v>78</v>
      </c>
      <c r="I20" s="45" t="s">
        <v>79</v>
      </c>
      <c r="J20" s="45">
        <v>575390441</v>
      </c>
      <c r="K20" s="45" t="s">
        <v>80</v>
      </c>
      <c r="L20" s="48">
        <v>36.619999999999997</v>
      </c>
      <c r="M20" s="49">
        <v>20240930764</v>
      </c>
      <c r="N20" s="50" t="s">
        <v>28</v>
      </c>
      <c r="O20" s="50"/>
      <c r="P20" s="50"/>
      <c r="Q20" s="51"/>
      <c r="R20" s="50"/>
      <c r="S20" s="50"/>
      <c r="T20" s="50"/>
      <c r="U20" s="50"/>
    </row>
    <row r="21" spans="1:21" x14ac:dyDescent="0.25">
      <c r="A21" s="45" t="s">
        <v>20</v>
      </c>
      <c r="B21" s="46">
        <v>45608</v>
      </c>
      <c r="C21" s="45" t="s">
        <v>34</v>
      </c>
      <c r="D21" s="47"/>
      <c r="E21" s="45" t="s">
        <v>64</v>
      </c>
      <c r="F21" s="45" t="s">
        <v>65</v>
      </c>
      <c r="G21" s="45" t="s">
        <v>71</v>
      </c>
      <c r="H21" s="45" t="s">
        <v>81</v>
      </c>
      <c r="I21" s="45" t="s">
        <v>82</v>
      </c>
      <c r="J21" s="45">
        <v>575615222</v>
      </c>
      <c r="K21" s="45" t="s">
        <v>83</v>
      </c>
      <c r="L21" s="48">
        <v>394.5</v>
      </c>
      <c r="M21" s="49">
        <v>202410012207</v>
      </c>
      <c r="N21" s="50" t="s">
        <v>28</v>
      </c>
      <c r="O21" s="50"/>
      <c r="P21" s="50"/>
      <c r="Q21" s="51"/>
      <c r="R21" s="50"/>
      <c r="S21" s="50"/>
      <c r="T21" s="50"/>
      <c r="U21" s="50"/>
    </row>
    <row r="22" spans="1:21" x14ac:dyDescent="0.25">
      <c r="A22" s="45" t="s">
        <v>20</v>
      </c>
      <c r="B22" s="46">
        <v>45608</v>
      </c>
      <c r="C22" s="45" t="s">
        <v>34</v>
      </c>
      <c r="D22" s="47"/>
      <c r="E22" s="45" t="s">
        <v>64</v>
      </c>
      <c r="F22" s="45" t="s">
        <v>65</v>
      </c>
      <c r="G22" s="45" t="s">
        <v>71</v>
      </c>
      <c r="H22" s="45" t="s">
        <v>84</v>
      </c>
      <c r="I22" s="45" t="s">
        <v>85</v>
      </c>
      <c r="J22" s="45">
        <v>575803428</v>
      </c>
      <c r="K22" s="45" t="s">
        <v>86</v>
      </c>
      <c r="L22" s="48">
        <v>32.04</v>
      </c>
      <c r="M22" s="49">
        <v>202410012140</v>
      </c>
      <c r="N22" s="50" t="s">
        <v>28</v>
      </c>
      <c r="O22" s="50"/>
      <c r="P22" s="50"/>
      <c r="Q22" s="51"/>
      <c r="R22" s="50"/>
      <c r="S22" s="50"/>
      <c r="T22" s="50"/>
      <c r="U22" s="50"/>
    </row>
    <row r="23" spans="1:21" x14ac:dyDescent="0.25">
      <c r="A23" s="45" t="s">
        <v>20</v>
      </c>
      <c r="B23" s="46">
        <v>45608</v>
      </c>
      <c r="C23" s="45" t="s">
        <v>34</v>
      </c>
      <c r="D23" s="47"/>
      <c r="E23" s="45" t="s">
        <v>64</v>
      </c>
      <c r="F23" s="45" t="s">
        <v>65</v>
      </c>
      <c r="G23" s="45" t="s">
        <v>87</v>
      </c>
      <c r="H23" s="45" t="s">
        <v>88</v>
      </c>
      <c r="I23" s="45" t="s">
        <v>47</v>
      </c>
      <c r="J23" s="45">
        <v>575822210</v>
      </c>
      <c r="K23" s="45" t="s">
        <v>89</v>
      </c>
      <c r="L23" s="48">
        <v>790.58</v>
      </c>
      <c r="M23" s="49">
        <v>202410012377</v>
      </c>
      <c r="N23" s="50" t="s">
        <v>28</v>
      </c>
      <c r="O23" s="50"/>
      <c r="P23" s="50"/>
      <c r="Q23" s="51"/>
      <c r="R23" s="50"/>
      <c r="S23" s="50"/>
      <c r="T23" s="50"/>
      <c r="U23" s="50"/>
    </row>
    <row r="24" spans="1:21" x14ac:dyDescent="0.25">
      <c r="A24" s="45" t="s">
        <v>20</v>
      </c>
      <c r="B24" s="46">
        <v>45608</v>
      </c>
      <c r="C24" s="45" t="s">
        <v>34</v>
      </c>
      <c r="D24" s="47"/>
      <c r="E24" s="45" t="s">
        <v>64</v>
      </c>
      <c r="F24" s="45" t="s">
        <v>65</v>
      </c>
      <c r="G24" s="45" t="s">
        <v>90</v>
      </c>
      <c r="H24" s="45" t="s">
        <v>91</v>
      </c>
      <c r="I24" s="45" t="s">
        <v>92</v>
      </c>
      <c r="J24" s="45">
        <v>576587603</v>
      </c>
      <c r="K24" s="45" t="s">
        <v>93</v>
      </c>
      <c r="L24" s="48">
        <v>55.51</v>
      </c>
      <c r="M24" s="49">
        <v>20240930380</v>
      </c>
      <c r="N24" s="50" t="s">
        <v>28</v>
      </c>
      <c r="O24" s="50"/>
      <c r="P24" s="50"/>
      <c r="Q24" s="51"/>
      <c r="R24" s="50"/>
      <c r="S24" s="50"/>
      <c r="T24" s="50"/>
      <c r="U24" s="50"/>
    </row>
    <row r="25" spans="1:21" ht="25.5" x14ac:dyDescent="0.25">
      <c r="A25" s="45" t="s">
        <v>20</v>
      </c>
      <c r="B25" s="46">
        <v>45608</v>
      </c>
      <c r="C25" s="45" t="s">
        <v>34</v>
      </c>
      <c r="D25" s="47"/>
      <c r="E25" s="45" t="s">
        <v>64</v>
      </c>
      <c r="F25" s="45" t="s">
        <v>65</v>
      </c>
      <c r="G25" s="45" t="s">
        <v>94</v>
      </c>
      <c r="H25" s="45" t="s">
        <v>95</v>
      </c>
      <c r="I25" s="45" t="s">
        <v>96</v>
      </c>
      <c r="J25" s="45">
        <v>576743503</v>
      </c>
      <c r="K25" s="45" t="s">
        <v>97</v>
      </c>
      <c r="L25" s="48">
        <v>126.87</v>
      </c>
      <c r="M25" s="49">
        <v>202410012413</v>
      </c>
      <c r="N25" s="50" t="s">
        <v>28</v>
      </c>
      <c r="O25" s="50"/>
      <c r="P25" s="50"/>
      <c r="Q25" s="51"/>
      <c r="R25" s="50"/>
      <c r="S25" s="50"/>
      <c r="T25" s="50"/>
      <c r="U25" s="50"/>
    </row>
    <row r="26" spans="1:21" x14ac:dyDescent="0.25">
      <c r="A26" s="45" t="s">
        <v>20</v>
      </c>
      <c r="B26" s="46">
        <v>45608</v>
      </c>
      <c r="C26" s="45" t="s">
        <v>34</v>
      </c>
      <c r="D26" s="47"/>
      <c r="E26" s="45" t="s">
        <v>64</v>
      </c>
      <c r="F26" s="45" t="s">
        <v>65</v>
      </c>
      <c r="G26" s="45" t="s">
        <v>98</v>
      </c>
      <c r="H26" s="45" t="s">
        <v>99</v>
      </c>
      <c r="I26" s="45" t="s">
        <v>100</v>
      </c>
      <c r="J26" s="45">
        <v>576820582</v>
      </c>
      <c r="K26" s="45" t="s">
        <v>101</v>
      </c>
      <c r="L26" s="48">
        <v>13.15</v>
      </c>
      <c r="M26" s="49">
        <v>20240930449</v>
      </c>
      <c r="N26" s="50" t="s">
        <v>28</v>
      </c>
      <c r="O26" s="50"/>
      <c r="P26" s="50"/>
      <c r="Q26" s="51"/>
      <c r="R26" s="50"/>
      <c r="S26" s="50"/>
      <c r="T26" s="50"/>
      <c r="U26" s="50"/>
    </row>
    <row r="27" spans="1:21" x14ac:dyDescent="0.25">
      <c r="A27" s="45" t="s">
        <v>20</v>
      </c>
      <c r="B27" s="46">
        <v>45608</v>
      </c>
      <c r="C27" s="45" t="s">
        <v>34</v>
      </c>
      <c r="D27" s="47"/>
      <c r="E27" s="45" t="s">
        <v>64</v>
      </c>
      <c r="F27" s="45" t="s">
        <v>65</v>
      </c>
      <c r="G27" s="45" t="s">
        <v>98</v>
      </c>
      <c r="H27" s="45" t="s">
        <v>99</v>
      </c>
      <c r="I27" s="45" t="s">
        <v>100</v>
      </c>
      <c r="J27" s="45">
        <v>576820582</v>
      </c>
      <c r="K27" s="45" t="s">
        <v>102</v>
      </c>
      <c r="L27" s="48">
        <v>13.15</v>
      </c>
      <c r="M27" s="49">
        <v>20240930437</v>
      </c>
      <c r="N27" s="50" t="s">
        <v>28</v>
      </c>
      <c r="O27" s="50"/>
      <c r="P27" s="50"/>
      <c r="Q27" s="51"/>
      <c r="R27" s="50"/>
      <c r="S27" s="50"/>
      <c r="T27" s="50"/>
      <c r="U27" s="50"/>
    </row>
    <row r="28" spans="1:21" x14ac:dyDescent="0.25">
      <c r="A28" s="45" t="s">
        <v>20</v>
      </c>
      <c r="B28" s="46">
        <v>45608</v>
      </c>
      <c r="C28" s="45" t="s">
        <v>34</v>
      </c>
      <c r="D28" s="47"/>
      <c r="E28" s="45" t="s">
        <v>64</v>
      </c>
      <c r="F28" s="45" t="s">
        <v>65</v>
      </c>
      <c r="G28" s="45" t="s">
        <v>98</v>
      </c>
      <c r="H28" s="45" t="s">
        <v>99</v>
      </c>
      <c r="I28" s="45" t="s">
        <v>100</v>
      </c>
      <c r="J28" s="45">
        <v>576820582</v>
      </c>
      <c r="K28" s="45" t="s">
        <v>103</v>
      </c>
      <c r="L28" s="48">
        <v>19.62</v>
      </c>
      <c r="M28" s="49">
        <v>20240930439</v>
      </c>
      <c r="N28" s="50" t="s">
        <v>28</v>
      </c>
      <c r="O28" s="50"/>
      <c r="P28" s="50"/>
      <c r="Q28" s="51"/>
      <c r="R28" s="50"/>
      <c r="S28" s="50"/>
      <c r="T28" s="50"/>
      <c r="U28" s="50"/>
    </row>
    <row r="29" spans="1:21" x14ac:dyDescent="0.25">
      <c r="A29" s="45" t="s">
        <v>20</v>
      </c>
      <c r="B29" s="46">
        <v>45608</v>
      </c>
      <c r="C29" s="45" t="s">
        <v>34</v>
      </c>
      <c r="D29" s="47"/>
      <c r="E29" s="45" t="s">
        <v>64</v>
      </c>
      <c r="F29" s="45" t="s">
        <v>65</v>
      </c>
      <c r="G29" s="45" t="s">
        <v>98</v>
      </c>
      <c r="H29" s="45" t="s">
        <v>99</v>
      </c>
      <c r="I29" s="45" t="s">
        <v>100</v>
      </c>
      <c r="J29" s="45">
        <v>576820582</v>
      </c>
      <c r="K29" s="45" t="s">
        <v>104</v>
      </c>
      <c r="L29" s="48">
        <v>8.9</v>
      </c>
      <c r="M29" s="49">
        <v>20240930438</v>
      </c>
      <c r="N29" s="50" t="s">
        <v>28</v>
      </c>
      <c r="O29" s="50"/>
      <c r="P29" s="50"/>
      <c r="Q29" s="51"/>
      <c r="R29" s="50"/>
      <c r="S29" s="50"/>
      <c r="T29" s="50"/>
      <c r="U29" s="50"/>
    </row>
    <row r="30" spans="1:21" x14ac:dyDescent="0.25">
      <c r="A30" s="45" t="s">
        <v>20</v>
      </c>
      <c r="B30" s="46">
        <v>45608</v>
      </c>
      <c r="C30" s="45" t="s">
        <v>34</v>
      </c>
      <c r="D30" s="47"/>
      <c r="E30" s="45" t="s">
        <v>64</v>
      </c>
      <c r="F30" s="45" t="s">
        <v>65</v>
      </c>
      <c r="G30" s="45" t="s">
        <v>98</v>
      </c>
      <c r="H30" s="45" t="s">
        <v>99</v>
      </c>
      <c r="I30" s="45" t="s">
        <v>100</v>
      </c>
      <c r="J30" s="45">
        <v>576820582</v>
      </c>
      <c r="K30" s="45" t="s">
        <v>105</v>
      </c>
      <c r="L30" s="48">
        <v>19.62</v>
      </c>
      <c r="M30" s="49">
        <v>20240930447</v>
      </c>
      <c r="N30" s="50" t="s">
        <v>28</v>
      </c>
      <c r="O30" s="50"/>
      <c r="P30" s="50"/>
      <c r="Q30" s="51"/>
      <c r="R30" s="50"/>
      <c r="S30" s="50"/>
      <c r="T30" s="50"/>
      <c r="U30" s="50"/>
    </row>
    <row r="31" spans="1:21" x14ac:dyDescent="0.25">
      <c r="A31" s="45" t="s">
        <v>20</v>
      </c>
      <c r="B31" s="46">
        <v>45608</v>
      </c>
      <c r="C31" s="45" t="s">
        <v>34</v>
      </c>
      <c r="D31" s="47"/>
      <c r="E31" s="45" t="s">
        <v>64</v>
      </c>
      <c r="F31" s="45" t="s">
        <v>65</v>
      </c>
      <c r="G31" s="45" t="s">
        <v>98</v>
      </c>
      <c r="H31" s="45" t="s">
        <v>99</v>
      </c>
      <c r="I31" s="45" t="s">
        <v>100</v>
      </c>
      <c r="J31" s="45">
        <v>576820582</v>
      </c>
      <c r="K31" s="45" t="s">
        <v>106</v>
      </c>
      <c r="L31" s="48">
        <v>59.72</v>
      </c>
      <c r="M31" s="49">
        <v>20240930451</v>
      </c>
      <c r="N31" s="50" t="s">
        <v>28</v>
      </c>
      <c r="O31" s="50"/>
      <c r="P31" s="50"/>
      <c r="Q31" s="51"/>
      <c r="R31" s="50"/>
      <c r="S31" s="50"/>
      <c r="T31" s="50"/>
      <c r="U31" s="50"/>
    </row>
    <row r="32" spans="1:21" x14ac:dyDescent="0.25">
      <c r="A32" s="45" t="s">
        <v>20</v>
      </c>
      <c r="B32" s="46">
        <v>45608</v>
      </c>
      <c r="C32" s="45" t="s">
        <v>34</v>
      </c>
      <c r="D32" s="47"/>
      <c r="E32" s="45" t="s">
        <v>107</v>
      </c>
      <c r="F32" s="45" t="s">
        <v>108</v>
      </c>
      <c r="G32" s="45" t="s">
        <v>109</v>
      </c>
      <c r="H32" s="45" t="s">
        <v>110</v>
      </c>
      <c r="I32" s="45" t="s">
        <v>111</v>
      </c>
      <c r="J32" s="45">
        <v>575027351</v>
      </c>
      <c r="K32" s="45" t="s">
        <v>112</v>
      </c>
      <c r="L32" s="48">
        <v>245.55</v>
      </c>
      <c r="M32" s="49">
        <v>20241002295</v>
      </c>
      <c r="N32" s="50" t="s">
        <v>28</v>
      </c>
      <c r="O32" s="50"/>
      <c r="P32" s="50"/>
      <c r="Q32" s="51"/>
      <c r="R32" s="50"/>
      <c r="S32" s="50"/>
      <c r="T32" s="50"/>
      <c r="U32" s="50"/>
    </row>
    <row r="33" spans="1:21" x14ac:dyDescent="0.25">
      <c r="A33" s="45" t="s">
        <v>20</v>
      </c>
      <c r="B33" s="46">
        <v>45608</v>
      </c>
      <c r="C33" s="45" t="s">
        <v>34</v>
      </c>
      <c r="D33" s="47"/>
      <c r="E33" s="45" t="s">
        <v>107</v>
      </c>
      <c r="F33" s="45" t="s">
        <v>108</v>
      </c>
      <c r="G33" s="45" t="s">
        <v>109</v>
      </c>
      <c r="H33" s="45" t="s">
        <v>110</v>
      </c>
      <c r="I33" s="45" t="s">
        <v>111</v>
      </c>
      <c r="J33" s="45">
        <v>575027351</v>
      </c>
      <c r="K33" s="45" t="s">
        <v>113</v>
      </c>
      <c r="L33" s="48">
        <v>227.64</v>
      </c>
      <c r="M33" s="49">
        <v>20241002296</v>
      </c>
      <c r="N33" s="50" t="s">
        <v>28</v>
      </c>
      <c r="O33" s="50"/>
      <c r="P33" s="50"/>
      <c r="Q33" s="51"/>
      <c r="R33" s="50"/>
      <c r="S33" s="50"/>
      <c r="T33" s="50"/>
      <c r="U33" s="50"/>
    </row>
    <row r="34" spans="1:21" x14ac:dyDescent="0.25">
      <c r="A34" s="45" t="s">
        <v>20</v>
      </c>
      <c r="B34" s="46">
        <v>45587</v>
      </c>
      <c r="C34" s="45" t="s">
        <v>114</v>
      </c>
      <c r="D34" s="47"/>
      <c r="E34" s="45" t="s">
        <v>107</v>
      </c>
      <c r="F34" s="45" t="s">
        <v>108</v>
      </c>
      <c r="G34" s="45" t="s">
        <v>109</v>
      </c>
      <c r="H34" s="45" t="s">
        <v>110</v>
      </c>
      <c r="I34" s="45" t="s">
        <v>111</v>
      </c>
      <c r="J34" s="45">
        <v>575027351</v>
      </c>
      <c r="K34" s="45" t="s">
        <v>115</v>
      </c>
      <c r="L34" s="48">
        <v>451.27</v>
      </c>
      <c r="M34" s="49">
        <v>20241002297</v>
      </c>
      <c r="N34" s="50" t="s">
        <v>28</v>
      </c>
      <c r="O34" s="50"/>
      <c r="P34" s="50"/>
      <c r="Q34" s="51"/>
      <c r="R34" s="50"/>
      <c r="S34" s="50"/>
      <c r="T34" s="50"/>
      <c r="U34" s="50"/>
    </row>
    <row r="35" spans="1:21" x14ac:dyDescent="0.25">
      <c r="A35" s="45" t="s">
        <v>29</v>
      </c>
      <c r="B35" s="46">
        <v>45587</v>
      </c>
      <c r="C35" s="45" t="s">
        <v>114</v>
      </c>
      <c r="D35" s="47"/>
      <c r="E35" s="45" t="s">
        <v>107</v>
      </c>
      <c r="F35" s="45" t="s">
        <v>108</v>
      </c>
      <c r="G35" s="45" t="s">
        <v>116</v>
      </c>
      <c r="H35" s="45" t="s">
        <v>117</v>
      </c>
      <c r="I35" s="45" t="s">
        <v>118</v>
      </c>
      <c r="J35" s="45">
        <v>575080914</v>
      </c>
      <c r="K35" s="45" t="s">
        <v>119</v>
      </c>
      <c r="L35" s="48">
        <v>300</v>
      </c>
      <c r="M35" s="49">
        <v>20241004424</v>
      </c>
      <c r="N35" s="50" t="s">
        <v>28</v>
      </c>
      <c r="O35" s="50"/>
      <c r="P35" s="50"/>
      <c r="Q35" s="51"/>
      <c r="R35" s="50"/>
      <c r="S35" s="50"/>
      <c r="T35" s="50"/>
      <c r="U35" s="50"/>
    </row>
    <row r="36" spans="1:21" ht="90" x14ac:dyDescent="0.25">
      <c r="A36" s="45" t="s">
        <v>20</v>
      </c>
      <c r="B36" s="46">
        <v>45587</v>
      </c>
      <c r="C36" s="45" t="s">
        <v>114</v>
      </c>
      <c r="D36" s="47"/>
      <c r="E36" s="45" t="s">
        <v>107</v>
      </c>
      <c r="F36" s="45" t="s">
        <v>108</v>
      </c>
      <c r="G36" s="45" t="s">
        <v>120</v>
      </c>
      <c r="H36" s="45" t="s">
        <v>121</v>
      </c>
      <c r="I36" s="45" t="s">
        <v>122</v>
      </c>
      <c r="J36" s="45">
        <v>575130860</v>
      </c>
      <c r="K36" s="45" t="s">
        <v>123</v>
      </c>
      <c r="L36" s="48">
        <v>65.97</v>
      </c>
      <c r="M36" s="49">
        <v>202410012049</v>
      </c>
      <c r="N36" s="50"/>
      <c r="O36" s="50" t="s">
        <v>124</v>
      </c>
      <c r="P36" s="50"/>
      <c r="Q36" s="51" t="s">
        <v>125</v>
      </c>
      <c r="R36" s="50"/>
      <c r="S36" s="50"/>
      <c r="T36" s="50"/>
      <c r="U36" s="50"/>
    </row>
    <row r="37" spans="1:21" ht="25.5" x14ac:dyDescent="0.25">
      <c r="A37" s="45" t="s">
        <v>20</v>
      </c>
      <c r="B37" s="46">
        <v>45587</v>
      </c>
      <c r="C37" s="45" t="s">
        <v>114</v>
      </c>
      <c r="D37" s="47"/>
      <c r="E37" s="45" t="s">
        <v>107</v>
      </c>
      <c r="F37" s="45" t="s">
        <v>108</v>
      </c>
      <c r="G37" s="45" t="s">
        <v>120</v>
      </c>
      <c r="H37" s="45" t="s">
        <v>121</v>
      </c>
      <c r="I37" s="45" t="s">
        <v>122</v>
      </c>
      <c r="J37" s="45">
        <v>575130860</v>
      </c>
      <c r="K37" s="45" t="s">
        <v>126</v>
      </c>
      <c r="L37" s="48">
        <v>75.64</v>
      </c>
      <c r="M37" s="49">
        <v>202410012054</v>
      </c>
      <c r="N37" s="50" t="s">
        <v>28</v>
      </c>
      <c r="O37" s="50"/>
      <c r="P37" s="50"/>
      <c r="Q37" s="51"/>
      <c r="R37" s="50"/>
      <c r="S37" s="50"/>
      <c r="T37" s="50"/>
      <c r="U37" s="50"/>
    </row>
    <row r="38" spans="1:21" ht="60" x14ac:dyDescent="0.25">
      <c r="A38" s="45" t="s">
        <v>29</v>
      </c>
      <c r="B38" s="46">
        <v>45587</v>
      </c>
      <c r="C38" s="45" t="s">
        <v>114</v>
      </c>
      <c r="D38" s="47"/>
      <c r="E38" s="45" t="s">
        <v>107</v>
      </c>
      <c r="F38" s="45" t="s">
        <v>108</v>
      </c>
      <c r="G38" s="45" t="s">
        <v>127</v>
      </c>
      <c r="H38" s="45" t="s">
        <v>128</v>
      </c>
      <c r="I38" s="45" t="s">
        <v>129</v>
      </c>
      <c r="J38" s="45">
        <v>575198923</v>
      </c>
      <c r="K38" s="45" t="s">
        <v>106</v>
      </c>
      <c r="L38" s="48">
        <v>95</v>
      </c>
      <c r="M38" s="49">
        <v>20241002571</v>
      </c>
      <c r="N38" s="50"/>
      <c r="O38" s="50" t="s">
        <v>124</v>
      </c>
      <c r="P38" s="50"/>
      <c r="Q38" s="51" t="s">
        <v>130</v>
      </c>
      <c r="R38" s="50"/>
      <c r="S38" s="50"/>
      <c r="T38" s="50"/>
      <c r="U38" s="50"/>
    </row>
    <row r="39" spans="1:21" x14ac:dyDescent="0.25">
      <c r="A39" s="45" t="s">
        <v>70</v>
      </c>
      <c r="B39" s="46">
        <v>45587</v>
      </c>
      <c r="C39" s="45" t="s">
        <v>114</v>
      </c>
      <c r="D39" s="47"/>
      <c r="E39" s="45" t="s">
        <v>107</v>
      </c>
      <c r="F39" s="45" t="s">
        <v>108</v>
      </c>
      <c r="G39" s="45" t="s">
        <v>131</v>
      </c>
      <c r="H39" s="45" t="s">
        <v>132</v>
      </c>
      <c r="I39" s="45" t="s">
        <v>133</v>
      </c>
      <c r="J39" s="45">
        <v>575218556</v>
      </c>
      <c r="K39" s="45" t="s">
        <v>83</v>
      </c>
      <c r="L39" s="48">
        <v>150</v>
      </c>
      <c r="M39" s="49">
        <v>20241002552</v>
      </c>
      <c r="N39" s="50" t="s">
        <v>28</v>
      </c>
      <c r="O39" s="50"/>
      <c r="P39" s="50"/>
      <c r="Q39" s="51"/>
      <c r="R39" s="50"/>
      <c r="S39" s="50"/>
      <c r="T39" s="50"/>
      <c r="U39" s="50"/>
    </row>
    <row r="40" spans="1:21" x14ac:dyDescent="0.25">
      <c r="A40" s="45" t="s">
        <v>20</v>
      </c>
      <c r="B40" s="46">
        <v>45587</v>
      </c>
      <c r="C40" s="45" t="s">
        <v>114</v>
      </c>
      <c r="D40" s="47"/>
      <c r="E40" s="45" t="s">
        <v>107</v>
      </c>
      <c r="F40" s="45" t="s">
        <v>108</v>
      </c>
      <c r="G40" s="45" t="s">
        <v>134</v>
      </c>
      <c r="H40" s="45" t="s">
        <v>135</v>
      </c>
      <c r="I40" s="45" t="s">
        <v>136</v>
      </c>
      <c r="J40" s="45">
        <v>575252653</v>
      </c>
      <c r="K40" s="45" t="s">
        <v>56</v>
      </c>
      <c r="L40" s="48">
        <v>281.94</v>
      </c>
      <c r="M40" s="49">
        <v>20241004429</v>
      </c>
      <c r="N40" s="50" t="s">
        <v>28</v>
      </c>
      <c r="O40" s="50"/>
      <c r="P40" s="50"/>
      <c r="Q40" s="51"/>
      <c r="R40" s="50"/>
      <c r="S40" s="50"/>
      <c r="T40" s="50"/>
      <c r="U40" s="50"/>
    </row>
    <row r="41" spans="1:21" ht="90" x14ac:dyDescent="0.25">
      <c r="A41" s="45" t="s">
        <v>29</v>
      </c>
      <c r="B41" s="46">
        <v>45587</v>
      </c>
      <c r="C41" s="45" t="s">
        <v>114</v>
      </c>
      <c r="D41" s="47"/>
      <c r="E41" s="45" t="s">
        <v>107</v>
      </c>
      <c r="F41" s="45" t="s">
        <v>108</v>
      </c>
      <c r="G41" s="45" t="s">
        <v>30</v>
      </c>
      <c r="H41" s="45" t="s">
        <v>137</v>
      </c>
      <c r="I41" s="45" t="s">
        <v>55</v>
      </c>
      <c r="J41" s="45">
        <v>575254398</v>
      </c>
      <c r="K41" s="45" t="s">
        <v>138</v>
      </c>
      <c r="L41" s="48">
        <v>799.92</v>
      </c>
      <c r="M41" s="49">
        <v>20241004797</v>
      </c>
      <c r="N41" s="50"/>
      <c r="O41" s="50" t="s">
        <v>124</v>
      </c>
      <c r="P41" s="50"/>
      <c r="Q41" s="51" t="s">
        <v>139</v>
      </c>
      <c r="R41" s="50"/>
      <c r="S41" s="50"/>
      <c r="T41" s="50"/>
      <c r="U41" s="50"/>
    </row>
    <row r="42" spans="1:21" ht="210" x14ac:dyDescent="0.25">
      <c r="A42" s="45" t="s">
        <v>29</v>
      </c>
      <c r="B42" s="46">
        <v>45587</v>
      </c>
      <c r="C42" s="45" t="s">
        <v>114</v>
      </c>
      <c r="D42" s="47"/>
      <c r="E42" s="45" t="s">
        <v>107</v>
      </c>
      <c r="F42" s="45" t="s">
        <v>108</v>
      </c>
      <c r="G42" s="45" t="s">
        <v>30</v>
      </c>
      <c r="H42" s="45" t="s">
        <v>137</v>
      </c>
      <c r="I42" s="45" t="s">
        <v>55</v>
      </c>
      <c r="J42" s="45">
        <v>575254398</v>
      </c>
      <c r="K42" s="45" t="s">
        <v>138</v>
      </c>
      <c r="L42" s="48">
        <v>799.92</v>
      </c>
      <c r="M42" s="49">
        <v>20240921147</v>
      </c>
      <c r="N42" s="50"/>
      <c r="O42" s="50" t="s">
        <v>124</v>
      </c>
      <c r="P42" s="50"/>
      <c r="Q42" s="51" t="s">
        <v>140</v>
      </c>
      <c r="R42" s="50"/>
      <c r="S42" s="50"/>
      <c r="T42" s="50"/>
      <c r="U42" s="50"/>
    </row>
    <row r="43" spans="1:21" x14ac:dyDescent="0.25">
      <c r="A43" s="45" t="s">
        <v>29</v>
      </c>
      <c r="B43" s="46">
        <v>45587</v>
      </c>
      <c r="C43" s="45" t="s">
        <v>114</v>
      </c>
      <c r="D43" s="47"/>
      <c r="E43" s="45" t="s">
        <v>107</v>
      </c>
      <c r="F43" s="45" t="s">
        <v>108</v>
      </c>
      <c r="G43" s="45" t="s">
        <v>141</v>
      </c>
      <c r="H43" s="45" t="s">
        <v>142</v>
      </c>
      <c r="I43" s="45" t="s">
        <v>143</v>
      </c>
      <c r="J43" s="45">
        <v>575257513</v>
      </c>
      <c r="K43" s="45" t="s">
        <v>144</v>
      </c>
      <c r="L43" s="48">
        <v>500</v>
      </c>
      <c r="M43" s="49">
        <v>20241004392</v>
      </c>
      <c r="N43" s="50" t="s">
        <v>28</v>
      </c>
      <c r="O43" s="50"/>
      <c r="P43" s="50"/>
      <c r="Q43" s="51"/>
      <c r="R43" s="50"/>
      <c r="S43" s="50"/>
      <c r="T43" s="50"/>
      <c r="U43" s="50"/>
    </row>
    <row r="44" spans="1:21" ht="25.5" x14ac:dyDescent="0.25">
      <c r="A44" s="45" t="s">
        <v>20</v>
      </c>
      <c r="B44" s="46">
        <v>45587</v>
      </c>
      <c r="C44" s="45" t="s">
        <v>114</v>
      </c>
      <c r="D44" s="47"/>
      <c r="E44" s="45" t="s">
        <v>107</v>
      </c>
      <c r="F44" s="45" t="s">
        <v>108</v>
      </c>
      <c r="G44" s="45" t="s">
        <v>120</v>
      </c>
      <c r="H44" s="45" t="s">
        <v>145</v>
      </c>
      <c r="I44" s="45" t="s">
        <v>146</v>
      </c>
      <c r="J44" s="45">
        <v>575277495</v>
      </c>
      <c r="K44" s="45" t="s">
        <v>147</v>
      </c>
      <c r="L44" s="48">
        <v>264.05</v>
      </c>
      <c r="M44" s="49">
        <v>20241003422</v>
      </c>
      <c r="N44" s="50" t="s">
        <v>28</v>
      </c>
      <c r="O44" s="50"/>
      <c r="P44" s="50"/>
      <c r="Q44" s="51"/>
      <c r="R44" s="50"/>
      <c r="S44" s="50"/>
      <c r="T44" s="50"/>
      <c r="U44" s="50"/>
    </row>
    <row r="45" spans="1:21" x14ac:dyDescent="0.25">
      <c r="A45" s="45" t="s">
        <v>20</v>
      </c>
      <c r="B45" s="46">
        <v>45587</v>
      </c>
      <c r="C45" s="45" t="s">
        <v>114</v>
      </c>
      <c r="D45" s="47"/>
      <c r="E45" s="45" t="s">
        <v>107</v>
      </c>
      <c r="F45" s="45" t="s">
        <v>108</v>
      </c>
      <c r="G45" s="45" t="s">
        <v>148</v>
      </c>
      <c r="H45" s="45" t="s">
        <v>149</v>
      </c>
      <c r="I45" s="45" t="s">
        <v>150</v>
      </c>
      <c r="J45" s="45">
        <v>575298890</v>
      </c>
      <c r="K45" s="45" t="s">
        <v>83</v>
      </c>
      <c r="L45" s="48">
        <v>30</v>
      </c>
      <c r="M45" s="49">
        <v>20241002636</v>
      </c>
      <c r="N45" s="50" t="s">
        <v>28</v>
      </c>
      <c r="O45" s="50"/>
      <c r="P45" s="50"/>
      <c r="Q45" s="51"/>
      <c r="R45" s="50"/>
      <c r="S45" s="50"/>
      <c r="T45" s="50"/>
      <c r="U45" s="50"/>
    </row>
    <row r="46" spans="1:21" x14ac:dyDescent="0.25">
      <c r="A46" s="45" t="s">
        <v>20</v>
      </c>
      <c r="B46" s="46">
        <v>45587</v>
      </c>
      <c r="C46" s="45" t="s">
        <v>114</v>
      </c>
      <c r="D46" s="47"/>
      <c r="E46" s="45" t="s">
        <v>107</v>
      </c>
      <c r="F46" s="45" t="s">
        <v>108</v>
      </c>
      <c r="G46" s="45" t="s">
        <v>151</v>
      </c>
      <c r="H46" s="45" t="s">
        <v>152</v>
      </c>
      <c r="I46" s="45" t="s">
        <v>153</v>
      </c>
      <c r="J46" s="45">
        <v>575397490</v>
      </c>
      <c r="K46" s="45" t="s">
        <v>154</v>
      </c>
      <c r="L46" s="48">
        <v>61.61</v>
      </c>
      <c r="M46" s="49">
        <v>20241002602</v>
      </c>
      <c r="N46" s="50" t="s">
        <v>28</v>
      </c>
      <c r="O46" s="50"/>
      <c r="P46" s="50"/>
      <c r="Q46" s="51"/>
      <c r="R46" s="50"/>
      <c r="S46" s="50"/>
      <c r="T46" s="50"/>
      <c r="U46" s="50"/>
    </row>
    <row r="47" spans="1:21" ht="90" x14ac:dyDescent="0.25">
      <c r="A47" s="45" t="s">
        <v>29</v>
      </c>
      <c r="B47" s="46">
        <v>45587</v>
      </c>
      <c r="C47" s="45" t="s">
        <v>114</v>
      </c>
      <c r="D47" s="47"/>
      <c r="E47" s="45" t="s">
        <v>155</v>
      </c>
      <c r="F47" s="45" t="s">
        <v>156</v>
      </c>
      <c r="G47" s="45" t="s">
        <v>157</v>
      </c>
      <c r="H47" s="45" t="s">
        <v>158</v>
      </c>
      <c r="I47" s="45" t="s">
        <v>159</v>
      </c>
      <c r="J47" s="45">
        <v>252796835</v>
      </c>
      <c r="K47" s="45" t="s">
        <v>160</v>
      </c>
      <c r="L47" s="48">
        <v>3286.7</v>
      </c>
      <c r="M47" s="49">
        <v>20241003605</v>
      </c>
      <c r="N47" s="50"/>
      <c r="O47" s="50" t="s">
        <v>124</v>
      </c>
      <c r="P47" s="50"/>
      <c r="Q47" s="51" t="s">
        <v>161</v>
      </c>
      <c r="R47" s="50"/>
      <c r="S47" s="50"/>
      <c r="T47" s="50"/>
      <c r="U47" s="50"/>
    </row>
    <row r="48" spans="1:21" x14ac:dyDescent="0.25">
      <c r="A48" s="45" t="s">
        <v>20</v>
      </c>
      <c r="B48" s="46">
        <v>45587</v>
      </c>
      <c r="C48" s="45" t="s">
        <v>114</v>
      </c>
      <c r="D48" s="47"/>
      <c r="E48" s="45" t="s">
        <v>162</v>
      </c>
      <c r="F48" s="45" t="s">
        <v>163</v>
      </c>
      <c r="G48" s="45" t="s">
        <v>164</v>
      </c>
      <c r="H48" s="45" t="s">
        <v>165</v>
      </c>
      <c r="I48" s="45" t="s">
        <v>166</v>
      </c>
      <c r="J48" s="45">
        <v>56992</v>
      </c>
      <c r="K48" s="45" t="s">
        <v>167</v>
      </c>
      <c r="L48" s="48">
        <v>30</v>
      </c>
      <c r="M48" s="49">
        <v>202409301207</v>
      </c>
      <c r="N48" s="50" t="s">
        <v>28</v>
      </c>
      <c r="O48" s="50"/>
      <c r="P48" s="50"/>
      <c r="Q48" s="51"/>
      <c r="R48" s="50"/>
      <c r="S48" s="50"/>
      <c r="T48" s="50"/>
      <c r="U48" s="50"/>
    </row>
    <row r="49" spans="1:21" ht="25.5" x14ac:dyDescent="0.25">
      <c r="A49" s="45" t="s">
        <v>29</v>
      </c>
      <c r="B49" s="46">
        <v>45595</v>
      </c>
      <c r="C49" s="45" t="s">
        <v>168</v>
      </c>
      <c r="D49" s="47"/>
      <c r="E49" s="45" t="s">
        <v>169</v>
      </c>
      <c r="F49" s="45" t="s">
        <v>170</v>
      </c>
      <c r="G49" s="45" t="s">
        <v>171</v>
      </c>
      <c r="H49" s="45" t="s">
        <v>172</v>
      </c>
      <c r="I49" s="45" t="s">
        <v>173</v>
      </c>
      <c r="J49" s="45">
        <v>638189736</v>
      </c>
      <c r="K49" s="45" t="s">
        <v>174</v>
      </c>
      <c r="L49" s="48">
        <v>9826.25</v>
      </c>
      <c r="M49" s="49">
        <v>20240930832</v>
      </c>
      <c r="N49" s="50" t="s">
        <v>28</v>
      </c>
      <c r="O49" s="50"/>
      <c r="P49" s="50"/>
      <c r="Q49" s="51"/>
      <c r="R49" s="50"/>
      <c r="S49" s="50"/>
      <c r="T49" s="50"/>
      <c r="U49" s="50"/>
    </row>
    <row r="50" spans="1:21" x14ac:dyDescent="0.25">
      <c r="A50" s="45" t="s">
        <v>20</v>
      </c>
      <c r="B50" s="46">
        <v>45583</v>
      </c>
      <c r="C50" s="45" t="s">
        <v>175</v>
      </c>
      <c r="D50" s="47"/>
      <c r="E50" s="45" t="s">
        <v>176</v>
      </c>
      <c r="F50" s="45" t="s">
        <v>177</v>
      </c>
      <c r="G50" s="45" t="s">
        <v>178</v>
      </c>
      <c r="H50" s="45" t="s">
        <v>179</v>
      </c>
      <c r="I50" s="45" t="s">
        <v>180</v>
      </c>
      <c r="J50" s="45">
        <v>217456451</v>
      </c>
      <c r="K50" s="45" t="s">
        <v>181</v>
      </c>
      <c r="L50" s="48">
        <v>4.6500000000000004</v>
      </c>
      <c r="M50" s="49">
        <v>20241004297</v>
      </c>
      <c r="N50" s="50" t="s">
        <v>28</v>
      </c>
      <c r="O50" s="50"/>
      <c r="P50" s="50"/>
      <c r="Q50" s="51"/>
      <c r="R50" s="50"/>
      <c r="S50" s="50"/>
      <c r="T50" s="50"/>
      <c r="U50" s="50"/>
    </row>
    <row r="51" spans="1:21" x14ac:dyDescent="0.25">
      <c r="A51" s="45" t="s">
        <v>20</v>
      </c>
      <c r="B51" s="46">
        <v>45583</v>
      </c>
      <c r="C51" s="45" t="s">
        <v>175</v>
      </c>
      <c r="D51" s="47"/>
      <c r="E51" s="45" t="s">
        <v>176</v>
      </c>
      <c r="F51" s="45" t="s">
        <v>177</v>
      </c>
      <c r="G51" s="45" t="s">
        <v>178</v>
      </c>
      <c r="H51" s="45" t="s">
        <v>179</v>
      </c>
      <c r="I51" s="45" t="s">
        <v>180</v>
      </c>
      <c r="J51" s="45">
        <v>217456451</v>
      </c>
      <c r="K51" s="45" t="s">
        <v>181</v>
      </c>
      <c r="L51" s="48">
        <v>12.65</v>
      </c>
      <c r="M51" s="49">
        <v>20241004296</v>
      </c>
      <c r="N51" s="50" t="s">
        <v>28</v>
      </c>
      <c r="O51" s="50"/>
      <c r="P51" s="50"/>
      <c r="Q51" s="51"/>
      <c r="R51" s="50"/>
      <c r="S51" s="50"/>
      <c r="T51" s="50"/>
      <c r="U51" s="50"/>
    </row>
    <row r="52" spans="1:21" x14ac:dyDescent="0.25">
      <c r="A52" s="45" t="s">
        <v>29</v>
      </c>
      <c r="B52" s="46">
        <v>45583</v>
      </c>
      <c r="C52" s="45" t="s">
        <v>175</v>
      </c>
      <c r="D52" s="47"/>
      <c r="E52" s="45" t="s">
        <v>176</v>
      </c>
      <c r="F52" s="45" t="s">
        <v>177</v>
      </c>
      <c r="G52" s="45" t="s">
        <v>71</v>
      </c>
      <c r="H52" s="45" t="s">
        <v>182</v>
      </c>
      <c r="I52" s="45" t="s">
        <v>183</v>
      </c>
      <c r="J52" s="45">
        <v>226577797</v>
      </c>
      <c r="K52" s="45" t="s">
        <v>184</v>
      </c>
      <c r="L52" s="48">
        <v>1790</v>
      </c>
      <c r="M52" s="49">
        <v>20241003268</v>
      </c>
      <c r="N52" s="50" t="s">
        <v>28</v>
      </c>
      <c r="O52" s="50"/>
      <c r="P52" s="50"/>
      <c r="Q52" s="51"/>
      <c r="R52" s="50"/>
      <c r="S52" s="50"/>
      <c r="T52" s="50"/>
      <c r="U52" s="50"/>
    </row>
    <row r="53" spans="1:21" x14ac:dyDescent="0.25">
      <c r="A53" s="45" t="s">
        <v>29</v>
      </c>
      <c r="B53" s="46">
        <v>45583</v>
      </c>
      <c r="C53" s="45" t="s">
        <v>175</v>
      </c>
      <c r="D53" s="47"/>
      <c r="E53" s="45" t="s">
        <v>176</v>
      </c>
      <c r="F53" s="45" t="s">
        <v>177</v>
      </c>
      <c r="G53" s="45" t="s">
        <v>178</v>
      </c>
      <c r="H53" s="45" t="s">
        <v>185</v>
      </c>
      <c r="I53" s="45" t="s">
        <v>186</v>
      </c>
      <c r="J53" s="45">
        <v>237699187</v>
      </c>
      <c r="K53" s="45" t="s">
        <v>187</v>
      </c>
      <c r="L53" s="48">
        <v>35</v>
      </c>
      <c r="M53" s="49">
        <v>20241003684</v>
      </c>
      <c r="N53" s="50" t="s">
        <v>28</v>
      </c>
      <c r="O53" s="50"/>
      <c r="P53" s="50"/>
      <c r="Q53" s="51"/>
      <c r="R53" s="50"/>
      <c r="S53" s="50"/>
      <c r="T53" s="50"/>
      <c r="U53" s="50"/>
    </row>
    <row r="54" spans="1:21" x14ac:dyDescent="0.25">
      <c r="A54" s="45" t="s">
        <v>20</v>
      </c>
      <c r="B54" s="46">
        <v>45583</v>
      </c>
      <c r="C54" s="45" t="s">
        <v>175</v>
      </c>
      <c r="D54" s="47"/>
      <c r="E54" s="45" t="s">
        <v>176</v>
      </c>
      <c r="F54" s="45" t="s">
        <v>177</v>
      </c>
      <c r="G54" s="45" t="s">
        <v>30</v>
      </c>
      <c r="H54" s="45" t="s">
        <v>188</v>
      </c>
      <c r="I54" s="45" t="s">
        <v>189</v>
      </c>
      <c r="J54" s="45">
        <v>246934307</v>
      </c>
      <c r="K54" s="45" t="s">
        <v>190</v>
      </c>
      <c r="L54" s="48">
        <v>720.25</v>
      </c>
      <c r="M54" s="49">
        <v>20241004504</v>
      </c>
      <c r="N54" s="50" t="s">
        <v>28</v>
      </c>
      <c r="O54" s="50"/>
      <c r="P54" s="50"/>
      <c r="Q54" s="51"/>
      <c r="R54" s="50"/>
      <c r="S54" s="50"/>
      <c r="T54" s="50"/>
      <c r="U54" s="50"/>
    </row>
    <row r="55" spans="1:21" x14ac:dyDescent="0.25">
      <c r="A55" s="45" t="s">
        <v>29</v>
      </c>
      <c r="B55" s="46">
        <v>45583</v>
      </c>
      <c r="C55" s="45" t="s">
        <v>175</v>
      </c>
      <c r="D55" s="47"/>
      <c r="E55" s="45" t="s">
        <v>176</v>
      </c>
      <c r="F55" s="45" t="s">
        <v>177</v>
      </c>
      <c r="G55" s="45" t="s">
        <v>157</v>
      </c>
      <c r="H55" s="45" t="s">
        <v>158</v>
      </c>
      <c r="I55" s="45" t="s">
        <v>159</v>
      </c>
      <c r="J55" s="45">
        <v>252796835</v>
      </c>
      <c r="K55" s="45" t="s">
        <v>160</v>
      </c>
      <c r="L55" s="48">
        <v>3286.7</v>
      </c>
      <c r="M55" s="49">
        <v>20241003605</v>
      </c>
      <c r="N55" s="50" t="s">
        <v>28</v>
      </c>
      <c r="O55" s="50"/>
      <c r="P55" s="50"/>
      <c r="Q55" s="51"/>
      <c r="R55" s="50"/>
      <c r="S55" s="50"/>
      <c r="T55" s="50"/>
      <c r="U55" s="50"/>
    </row>
    <row r="56" spans="1:21" x14ac:dyDescent="0.25">
      <c r="A56" s="45" t="s">
        <v>20</v>
      </c>
      <c r="B56" s="46">
        <v>45583</v>
      </c>
      <c r="C56" s="45" t="s">
        <v>175</v>
      </c>
      <c r="D56" s="47"/>
      <c r="E56" s="45" t="s">
        <v>176</v>
      </c>
      <c r="F56" s="45" t="s">
        <v>177</v>
      </c>
      <c r="G56" s="45" t="s">
        <v>191</v>
      </c>
      <c r="H56" s="45" t="s">
        <v>192</v>
      </c>
      <c r="I56" s="45" t="s">
        <v>193</v>
      </c>
      <c r="J56" s="45">
        <v>270666719</v>
      </c>
      <c r="K56" s="45" t="s">
        <v>194</v>
      </c>
      <c r="L56" s="48">
        <v>50</v>
      </c>
      <c r="M56" s="49">
        <v>20241003575</v>
      </c>
      <c r="N56" s="50" t="s">
        <v>28</v>
      </c>
      <c r="O56" s="50"/>
      <c r="P56" s="50"/>
      <c r="Q56" s="51"/>
      <c r="R56" s="50"/>
      <c r="S56" s="50"/>
      <c r="T56" s="50"/>
      <c r="U56" s="50"/>
    </row>
    <row r="57" spans="1:21" x14ac:dyDescent="0.25">
      <c r="A57" s="45" t="s">
        <v>20</v>
      </c>
      <c r="B57" s="46">
        <v>45583</v>
      </c>
      <c r="C57" s="45" t="s">
        <v>175</v>
      </c>
      <c r="D57" s="47"/>
      <c r="E57" s="45" t="s">
        <v>176</v>
      </c>
      <c r="F57" s="45" t="s">
        <v>177</v>
      </c>
      <c r="G57" s="45" t="s">
        <v>191</v>
      </c>
      <c r="H57" s="45" t="s">
        <v>192</v>
      </c>
      <c r="I57" s="45" t="s">
        <v>193</v>
      </c>
      <c r="J57" s="45">
        <v>270666719</v>
      </c>
      <c r="K57" s="45" t="s">
        <v>194</v>
      </c>
      <c r="L57" s="48">
        <v>50</v>
      </c>
      <c r="M57" s="49">
        <v>20241003566</v>
      </c>
      <c r="N57" s="50" t="s">
        <v>28</v>
      </c>
      <c r="O57" s="50"/>
      <c r="P57" s="50"/>
      <c r="Q57" s="51"/>
      <c r="R57" s="50"/>
      <c r="S57" s="50"/>
      <c r="T57" s="50"/>
      <c r="U57" s="50"/>
    </row>
    <row r="58" spans="1:21" x14ac:dyDescent="0.25">
      <c r="A58" s="45" t="s">
        <v>20</v>
      </c>
      <c r="B58" s="46">
        <v>45583</v>
      </c>
      <c r="C58" s="45" t="s">
        <v>175</v>
      </c>
      <c r="D58" s="47"/>
      <c r="E58" s="45" t="s">
        <v>176</v>
      </c>
      <c r="F58" s="45" t="s">
        <v>177</v>
      </c>
      <c r="G58" s="45" t="s">
        <v>191</v>
      </c>
      <c r="H58" s="45" t="s">
        <v>192</v>
      </c>
      <c r="I58" s="45" t="s">
        <v>193</v>
      </c>
      <c r="J58" s="45">
        <v>270666719</v>
      </c>
      <c r="K58" s="45" t="s">
        <v>194</v>
      </c>
      <c r="L58" s="48">
        <v>50</v>
      </c>
      <c r="M58" s="49">
        <v>20241003566</v>
      </c>
      <c r="N58" s="50" t="s">
        <v>28</v>
      </c>
      <c r="O58" s="50"/>
      <c r="P58" s="50"/>
      <c r="Q58" s="51"/>
      <c r="R58" s="50"/>
      <c r="S58" s="50"/>
      <c r="T58" s="50"/>
      <c r="U58" s="50"/>
    </row>
    <row r="59" spans="1:21" x14ac:dyDescent="0.25">
      <c r="A59" s="45" t="s">
        <v>20</v>
      </c>
      <c r="B59" s="46">
        <v>45583</v>
      </c>
      <c r="C59" s="45" t="s">
        <v>175</v>
      </c>
      <c r="D59" s="47"/>
      <c r="E59" s="45" t="s">
        <v>176</v>
      </c>
      <c r="F59" s="45" t="s">
        <v>177</v>
      </c>
      <c r="G59" s="45" t="s">
        <v>191</v>
      </c>
      <c r="H59" s="45" t="s">
        <v>192</v>
      </c>
      <c r="I59" s="45" t="s">
        <v>193</v>
      </c>
      <c r="J59" s="45">
        <v>270666719</v>
      </c>
      <c r="K59" s="45" t="s">
        <v>195</v>
      </c>
      <c r="L59" s="48">
        <v>80</v>
      </c>
      <c r="M59" s="49">
        <v>20241003582</v>
      </c>
      <c r="N59" s="50" t="s">
        <v>28</v>
      </c>
      <c r="O59" s="50"/>
      <c r="P59" s="50"/>
      <c r="Q59" s="51"/>
      <c r="R59" s="50"/>
      <c r="S59" s="50"/>
      <c r="T59" s="50"/>
      <c r="U59" s="50"/>
    </row>
    <row r="60" spans="1:21" x14ac:dyDescent="0.25">
      <c r="A60" s="45" t="s">
        <v>20</v>
      </c>
      <c r="B60" s="46">
        <v>45583</v>
      </c>
      <c r="C60" s="45" t="s">
        <v>175</v>
      </c>
      <c r="D60" s="47"/>
      <c r="E60" s="45" t="s">
        <v>176</v>
      </c>
      <c r="F60" s="45" t="s">
        <v>177</v>
      </c>
      <c r="G60" s="45" t="s">
        <v>191</v>
      </c>
      <c r="H60" s="45" t="s">
        <v>192</v>
      </c>
      <c r="I60" s="45" t="s">
        <v>193</v>
      </c>
      <c r="J60" s="45">
        <v>270666719</v>
      </c>
      <c r="K60" s="45" t="s">
        <v>196</v>
      </c>
      <c r="L60" s="48">
        <v>503.2</v>
      </c>
      <c r="M60" s="49">
        <v>20241003555</v>
      </c>
      <c r="N60" s="50" t="s">
        <v>28</v>
      </c>
      <c r="O60" s="50"/>
      <c r="P60" s="50"/>
      <c r="Q60" s="51"/>
      <c r="R60" s="50"/>
      <c r="S60" s="50"/>
      <c r="T60" s="50"/>
      <c r="U60" s="50"/>
    </row>
    <row r="61" spans="1:21" x14ac:dyDescent="0.25">
      <c r="A61" s="45" t="s">
        <v>29</v>
      </c>
      <c r="B61" s="46">
        <v>45583</v>
      </c>
      <c r="C61" s="45" t="s">
        <v>175</v>
      </c>
      <c r="D61" s="47"/>
      <c r="E61" s="45" t="s">
        <v>176</v>
      </c>
      <c r="F61" s="45" t="s">
        <v>177</v>
      </c>
      <c r="G61" s="45" t="s">
        <v>197</v>
      </c>
      <c r="H61" s="45" t="s">
        <v>198</v>
      </c>
      <c r="I61" s="45" t="s">
        <v>199</v>
      </c>
      <c r="J61" s="45">
        <v>270734412</v>
      </c>
      <c r="K61" s="45" t="s">
        <v>184</v>
      </c>
      <c r="L61" s="48">
        <v>700</v>
      </c>
      <c r="M61" s="49">
        <v>20241002257</v>
      </c>
      <c r="N61" s="50" t="s">
        <v>28</v>
      </c>
      <c r="O61" s="50"/>
      <c r="P61" s="50"/>
      <c r="Q61" s="51"/>
      <c r="R61" s="50"/>
      <c r="S61" s="50"/>
      <c r="T61" s="50"/>
      <c r="U61" s="50"/>
    </row>
    <row r="62" spans="1:21" x14ac:dyDescent="0.25">
      <c r="A62" s="45" t="s">
        <v>29</v>
      </c>
      <c r="B62" s="46">
        <v>45583</v>
      </c>
      <c r="C62" s="45" t="s">
        <v>175</v>
      </c>
      <c r="D62" s="47"/>
      <c r="E62" s="45" t="s">
        <v>176</v>
      </c>
      <c r="F62" s="45" t="s">
        <v>177</v>
      </c>
      <c r="G62" s="45" t="s">
        <v>30</v>
      </c>
      <c r="H62" s="45" t="s">
        <v>200</v>
      </c>
      <c r="I62" s="45" t="s">
        <v>201</v>
      </c>
      <c r="J62" s="45">
        <v>285662056</v>
      </c>
      <c r="K62" s="45" t="s">
        <v>48</v>
      </c>
      <c r="L62" s="48">
        <v>960</v>
      </c>
      <c r="M62" s="49">
        <v>20241002644</v>
      </c>
      <c r="N62" s="50" t="s">
        <v>28</v>
      </c>
      <c r="O62" s="50"/>
      <c r="P62" s="50"/>
      <c r="Q62" s="51"/>
      <c r="R62" s="50"/>
      <c r="S62" s="50"/>
      <c r="T62" s="50"/>
      <c r="U62" s="50"/>
    </row>
    <row r="63" spans="1:21" x14ac:dyDescent="0.25">
      <c r="A63" s="45" t="s">
        <v>29</v>
      </c>
      <c r="B63" s="46">
        <v>45583</v>
      </c>
      <c r="C63" s="45" t="s">
        <v>175</v>
      </c>
      <c r="D63" s="47"/>
      <c r="E63" s="45" t="s">
        <v>176</v>
      </c>
      <c r="F63" s="45" t="s">
        <v>177</v>
      </c>
      <c r="G63" s="45" t="s">
        <v>202</v>
      </c>
      <c r="H63" s="45" t="s">
        <v>203</v>
      </c>
      <c r="I63" s="45" t="s">
        <v>204</v>
      </c>
      <c r="J63" s="45">
        <v>287923891</v>
      </c>
      <c r="K63" s="45" t="s">
        <v>56</v>
      </c>
      <c r="L63" s="48">
        <v>208.33</v>
      </c>
      <c r="M63" s="49">
        <v>20241004757</v>
      </c>
      <c r="N63" s="50" t="s">
        <v>28</v>
      </c>
      <c r="O63" s="50"/>
      <c r="P63" s="50"/>
      <c r="Q63" s="51"/>
      <c r="R63" s="50"/>
      <c r="S63" s="50"/>
      <c r="T63" s="50"/>
      <c r="U63" s="50"/>
    </row>
    <row r="64" spans="1:21" x14ac:dyDescent="0.25">
      <c r="A64" s="45" t="s">
        <v>20</v>
      </c>
      <c r="B64" s="46">
        <v>45583</v>
      </c>
      <c r="C64" s="45" t="s">
        <v>175</v>
      </c>
      <c r="D64" s="47"/>
      <c r="E64" s="45" t="s">
        <v>176</v>
      </c>
      <c r="F64" s="45" t="s">
        <v>177</v>
      </c>
      <c r="G64" s="45" t="s">
        <v>205</v>
      </c>
      <c r="H64" s="45" t="s">
        <v>206</v>
      </c>
      <c r="I64" s="45" t="s">
        <v>207</v>
      </c>
      <c r="J64" s="45">
        <v>299564144</v>
      </c>
      <c r="K64" s="45" t="s">
        <v>160</v>
      </c>
      <c r="L64" s="48">
        <v>220.52</v>
      </c>
      <c r="M64" s="49">
        <v>20241004740</v>
      </c>
      <c r="N64" s="50" t="s">
        <v>28</v>
      </c>
      <c r="O64" s="50"/>
      <c r="P64" s="50"/>
      <c r="Q64" s="51"/>
      <c r="R64" s="50"/>
      <c r="S64" s="50"/>
      <c r="T64" s="50"/>
      <c r="U64" s="50"/>
    </row>
    <row r="65" spans="1:21" x14ac:dyDescent="0.25">
      <c r="A65" s="45" t="s">
        <v>20</v>
      </c>
      <c r="B65" s="46">
        <v>45595</v>
      </c>
      <c r="C65" s="45" t="s">
        <v>168</v>
      </c>
      <c r="D65" s="47"/>
      <c r="E65" s="45" t="s">
        <v>208</v>
      </c>
      <c r="F65" s="45" t="s">
        <v>209</v>
      </c>
      <c r="G65" s="45" t="s">
        <v>210</v>
      </c>
      <c r="H65" s="45" t="s">
        <v>211</v>
      </c>
      <c r="I65" s="45" t="s">
        <v>212</v>
      </c>
      <c r="J65" s="45">
        <v>503063706</v>
      </c>
      <c r="K65" s="45" t="s">
        <v>213</v>
      </c>
      <c r="L65" s="48">
        <v>50</v>
      </c>
      <c r="M65" s="49">
        <v>202410011886</v>
      </c>
      <c r="N65" s="50" t="s">
        <v>28</v>
      </c>
      <c r="O65" s="50"/>
      <c r="P65" s="50"/>
      <c r="Q65" s="51"/>
      <c r="R65" s="50"/>
      <c r="S65" s="50"/>
      <c r="T65" s="50"/>
      <c r="U65" s="50"/>
    </row>
    <row r="66" spans="1:21" x14ac:dyDescent="0.25">
      <c r="A66" s="45" t="s">
        <v>29</v>
      </c>
      <c r="B66" s="46">
        <v>45595</v>
      </c>
      <c r="C66" s="45" t="s">
        <v>168</v>
      </c>
      <c r="D66" s="47"/>
      <c r="E66" s="45" t="s">
        <v>208</v>
      </c>
      <c r="F66" s="45" t="s">
        <v>209</v>
      </c>
      <c r="G66" s="45" t="s">
        <v>178</v>
      </c>
      <c r="H66" s="45" t="s">
        <v>214</v>
      </c>
      <c r="I66" s="45" t="s">
        <v>215</v>
      </c>
      <c r="J66" s="45">
        <v>505256730</v>
      </c>
      <c r="K66" s="45" t="s">
        <v>76</v>
      </c>
      <c r="L66" s="48">
        <v>372.56</v>
      </c>
      <c r="M66" s="49">
        <v>20240930517</v>
      </c>
      <c r="N66" s="50" t="s">
        <v>28</v>
      </c>
      <c r="O66" s="50"/>
      <c r="P66" s="50"/>
      <c r="Q66" s="51"/>
      <c r="R66" s="50"/>
      <c r="S66" s="50"/>
      <c r="T66" s="50"/>
      <c r="U66" s="50"/>
    </row>
    <row r="67" spans="1:21" x14ac:dyDescent="0.25">
      <c r="A67" s="45" t="s">
        <v>29</v>
      </c>
      <c r="B67" s="46">
        <v>45595</v>
      </c>
      <c r="C67" s="45" t="s">
        <v>168</v>
      </c>
      <c r="D67" s="47"/>
      <c r="E67" s="45" t="s">
        <v>208</v>
      </c>
      <c r="F67" s="45" t="s">
        <v>209</v>
      </c>
      <c r="G67" s="45" t="s">
        <v>216</v>
      </c>
      <c r="H67" s="45" t="s">
        <v>217</v>
      </c>
      <c r="I67" s="45" t="s">
        <v>218</v>
      </c>
      <c r="J67" s="45">
        <v>512066131</v>
      </c>
      <c r="K67" s="45" t="s">
        <v>184</v>
      </c>
      <c r="L67" s="48">
        <v>4.92</v>
      </c>
      <c r="M67" s="49">
        <v>20241003397</v>
      </c>
      <c r="N67" s="50" t="s">
        <v>28</v>
      </c>
      <c r="O67" s="50"/>
      <c r="P67" s="50"/>
      <c r="Q67" s="51"/>
      <c r="R67" s="50"/>
      <c r="S67" s="50"/>
      <c r="T67" s="50"/>
      <c r="U67" s="50"/>
    </row>
    <row r="68" spans="1:21" x14ac:dyDescent="0.25">
      <c r="A68" s="45" t="s">
        <v>20</v>
      </c>
      <c r="B68" s="46">
        <v>45595</v>
      </c>
      <c r="C68" s="45" t="s">
        <v>168</v>
      </c>
      <c r="D68" s="47"/>
      <c r="E68" s="45" t="s">
        <v>208</v>
      </c>
      <c r="F68" s="45" t="s">
        <v>209</v>
      </c>
      <c r="G68" s="45" t="s">
        <v>210</v>
      </c>
      <c r="H68" s="45" t="s">
        <v>219</v>
      </c>
      <c r="I68" s="45" t="s">
        <v>220</v>
      </c>
      <c r="J68" s="45">
        <v>520020848</v>
      </c>
      <c r="K68" s="45" t="s">
        <v>221</v>
      </c>
      <c r="L68" s="48">
        <v>170</v>
      </c>
      <c r="M68" s="49">
        <v>202410011899</v>
      </c>
      <c r="N68" s="50" t="s">
        <v>28</v>
      </c>
      <c r="O68" s="50"/>
      <c r="P68" s="50"/>
      <c r="Q68" s="51"/>
      <c r="R68" s="50"/>
      <c r="S68" s="50"/>
      <c r="T68" s="50"/>
      <c r="U68" s="50"/>
    </row>
    <row r="69" spans="1:21" x14ac:dyDescent="0.25">
      <c r="A69" s="45" t="s">
        <v>20</v>
      </c>
      <c r="B69" s="46">
        <v>45595</v>
      </c>
      <c r="C69" s="45" t="s">
        <v>168</v>
      </c>
      <c r="D69" s="47"/>
      <c r="E69" s="45" t="s">
        <v>208</v>
      </c>
      <c r="F69" s="45" t="s">
        <v>209</v>
      </c>
      <c r="G69" s="45" t="s">
        <v>210</v>
      </c>
      <c r="H69" s="45" t="s">
        <v>219</v>
      </c>
      <c r="I69" s="45" t="s">
        <v>220</v>
      </c>
      <c r="J69" s="45">
        <v>520020848</v>
      </c>
      <c r="K69" s="45" t="s">
        <v>222</v>
      </c>
      <c r="L69" s="48">
        <v>170</v>
      </c>
      <c r="M69" s="49">
        <v>202410011884</v>
      </c>
      <c r="N69" s="50" t="s">
        <v>28</v>
      </c>
      <c r="O69" s="50"/>
      <c r="P69" s="50"/>
      <c r="Q69" s="51"/>
      <c r="R69" s="50"/>
      <c r="S69" s="50"/>
      <c r="T69" s="50"/>
      <c r="U69" s="50"/>
    </row>
    <row r="70" spans="1:21" x14ac:dyDescent="0.25">
      <c r="A70" s="45" t="s">
        <v>20</v>
      </c>
      <c r="B70" s="46">
        <v>45595</v>
      </c>
      <c r="C70" s="45" t="s">
        <v>168</v>
      </c>
      <c r="D70" s="47"/>
      <c r="E70" s="45" t="s">
        <v>208</v>
      </c>
      <c r="F70" s="45" t="s">
        <v>209</v>
      </c>
      <c r="G70" s="45" t="s">
        <v>210</v>
      </c>
      <c r="H70" s="45" t="s">
        <v>219</v>
      </c>
      <c r="I70" s="45" t="s">
        <v>220</v>
      </c>
      <c r="J70" s="45">
        <v>520020848</v>
      </c>
      <c r="K70" s="45" t="s">
        <v>190</v>
      </c>
      <c r="L70" s="48">
        <v>170</v>
      </c>
      <c r="M70" s="49">
        <v>202410011887</v>
      </c>
      <c r="N70" s="50" t="s">
        <v>28</v>
      </c>
      <c r="O70" s="50"/>
      <c r="P70" s="50"/>
      <c r="Q70" s="51"/>
      <c r="R70" s="50"/>
      <c r="S70" s="50"/>
      <c r="T70" s="50"/>
      <c r="U70" s="50"/>
    </row>
    <row r="71" spans="1:21" x14ac:dyDescent="0.25">
      <c r="A71" s="45" t="s">
        <v>20</v>
      </c>
      <c r="B71" s="46">
        <v>45595</v>
      </c>
      <c r="C71" s="45" t="s">
        <v>168</v>
      </c>
      <c r="D71" s="47"/>
      <c r="E71" s="45" t="s">
        <v>208</v>
      </c>
      <c r="F71" s="45" t="s">
        <v>209</v>
      </c>
      <c r="G71" s="45" t="s">
        <v>210</v>
      </c>
      <c r="H71" s="45" t="s">
        <v>219</v>
      </c>
      <c r="I71" s="45" t="s">
        <v>220</v>
      </c>
      <c r="J71" s="45">
        <v>520020848</v>
      </c>
      <c r="K71" s="45" t="s">
        <v>223</v>
      </c>
      <c r="L71" s="48">
        <v>170</v>
      </c>
      <c r="M71" s="49">
        <v>202410011874</v>
      </c>
      <c r="N71" s="50" t="s">
        <v>28</v>
      </c>
      <c r="O71" s="50"/>
      <c r="P71" s="50"/>
      <c r="Q71" s="51"/>
      <c r="R71" s="50"/>
      <c r="S71" s="50"/>
      <c r="T71" s="50"/>
      <c r="U71" s="50"/>
    </row>
    <row r="72" spans="1:21" x14ac:dyDescent="0.25">
      <c r="A72" s="45" t="s">
        <v>20</v>
      </c>
      <c r="B72" s="46">
        <v>45595</v>
      </c>
      <c r="C72" s="45" t="s">
        <v>168</v>
      </c>
      <c r="D72" s="47"/>
      <c r="E72" s="45" t="s">
        <v>208</v>
      </c>
      <c r="F72" s="45" t="s">
        <v>209</v>
      </c>
      <c r="G72" s="45" t="s">
        <v>210</v>
      </c>
      <c r="H72" s="45" t="s">
        <v>219</v>
      </c>
      <c r="I72" s="45" t="s">
        <v>220</v>
      </c>
      <c r="J72" s="45">
        <v>520020848</v>
      </c>
      <c r="K72" s="45" t="s">
        <v>224</v>
      </c>
      <c r="L72" s="48">
        <v>170</v>
      </c>
      <c r="M72" s="49">
        <v>202410011857</v>
      </c>
      <c r="N72" s="50" t="s">
        <v>28</v>
      </c>
      <c r="O72" s="50"/>
      <c r="P72" s="50"/>
      <c r="Q72" s="51"/>
      <c r="R72" s="50"/>
      <c r="S72" s="50"/>
      <c r="T72" s="50"/>
      <c r="U72" s="50"/>
    </row>
    <row r="73" spans="1:21" x14ac:dyDescent="0.25">
      <c r="A73" s="45" t="s">
        <v>20</v>
      </c>
      <c r="B73" s="46">
        <v>45595</v>
      </c>
      <c r="C73" s="45" t="s">
        <v>168</v>
      </c>
      <c r="D73" s="47"/>
      <c r="E73" s="45" t="s">
        <v>208</v>
      </c>
      <c r="F73" s="45" t="s">
        <v>209</v>
      </c>
      <c r="G73" s="45" t="s">
        <v>210</v>
      </c>
      <c r="H73" s="45" t="s">
        <v>219</v>
      </c>
      <c r="I73" s="45" t="s">
        <v>220</v>
      </c>
      <c r="J73" s="45">
        <v>520020848</v>
      </c>
      <c r="K73" s="45" t="s">
        <v>104</v>
      </c>
      <c r="L73" s="48">
        <v>170</v>
      </c>
      <c r="M73" s="49">
        <v>202410011872</v>
      </c>
      <c r="N73" s="50" t="s">
        <v>28</v>
      </c>
      <c r="O73" s="50"/>
      <c r="P73" s="50"/>
      <c r="Q73" s="51"/>
      <c r="R73" s="50"/>
      <c r="S73" s="50"/>
      <c r="T73" s="50"/>
      <c r="U73" s="50"/>
    </row>
    <row r="74" spans="1:21" x14ac:dyDescent="0.25">
      <c r="A74" s="45" t="s">
        <v>20</v>
      </c>
      <c r="B74" s="46">
        <v>45595</v>
      </c>
      <c r="C74" s="45" t="s">
        <v>168</v>
      </c>
      <c r="D74" s="47"/>
      <c r="E74" s="45" t="s">
        <v>208</v>
      </c>
      <c r="F74" s="45" t="s">
        <v>209</v>
      </c>
      <c r="G74" s="45" t="s">
        <v>210</v>
      </c>
      <c r="H74" s="45" t="s">
        <v>219</v>
      </c>
      <c r="I74" s="45" t="s">
        <v>220</v>
      </c>
      <c r="J74" s="45">
        <v>520020848</v>
      </c>
      <c r="K74" s="45" t="s">
        <v>225</v>
      </c>
      <c r="L74" s="48">
        <v>170</v>
      </c>
      <c r="M74" s="49">
        <v>202410011875</v>
      </c>
      <c r="N74" s="50" t="s">
        <v>28</v>
      </c>
      <c r="O74" s="50"/>
      <c r="P74" s="50"/>
      <c r="Q74" s="51"/>
      <c r="R74" s="50"/>
      <c r="S74" s="50"/>
      <c r="T74" s="50"/>
      <c r="U74" s="50"/>
    </row>
    <row r="75" spans="1:21" x14ac:dyDescent="0.25">
      <c r="A75" s="45" t="s">
        <v>20</v>
      </c>
      <c r="B75" s="46">
        <v>45595</v>
      </c>
      <c r="C75" s="45" t="s">
        <v>168</v>
      </c>
      <c r="D75" s="47"/>
      <c r="E75" s="45" t="s">
        <v>208</v>
      </c>
      <c r="F75" s="45" t="s">
        <v>209</v>
      </c>
      <c r="G75" s="45" t="s">
        <v>210</v>
      </c>
      <c r="H75" s="45" t="s">
        <v>226</v>
      </c>
      <c r="I75" s="45" t="s">
        <v>227</v>
      </c>
      <c r="J75" s="45">
        <v>520255410</v>
      </c>
      <c r="K75" s="45" t="s">
        <v>228</v>
      </c>
      <c r="L75" s="48">
        <v>1530</v>
      </c>
      <c r="M75" s="49">
        <v>202410011863</v>
      </c>
      <c r="N75" s="50" t="s">
        <v>28</v>
      </c>
      <c r="O75" s="50"/>
      <c r="P75" s="50"/>
      <c r="Q75" s="51"/>
      <c r="R75" s="50"/>
      <c r="S75" s="50"/>
      <c r="T75" s="50"/>
      <c r="U75" s="50"/>
    </row>
    <row r="76" spans="1:21" x14ac:dyDescent="0.25">
      <c r="A76" s="45" t="s">
        <v>29</v>
      </c>
      <c r="B76" s="46">
        <v>45595</v>
      </c>
      <c r="C76" s="45" t="s">
        <v>168</v>
      </c>
      <c r="D76" s="47"/>
      <c r="E76" s="45" t="s">
        <v>208</v>
      </c>
      <c r="F76" s="45" t="s">
        <v>209</v>
      </c>
      <c r="G76" s="45" t="s">
        <v>229</v>
      </c>
      <c r="H76" s="45" t="s">
        <v>230</v>
      </c>
      <c r="I76" s="45" t="s">
        <v>231</v>
      </c>
      <c r="J76" s="45">
        <v>523611891</v>
      </c>
      <c r="K76" s="45" t="s">
        <v>232</v>
      </c>
      <c r="L76" s="48">
        <v>1200</v>
      </c>
      <c r="M76" s="49">
        <v>20240930788</v>
      </c>
      <c r="N76" s="50" t="s">
        <v>28</v>
      </c>
      <c r="O76" s="50"/>
      <c r="P76" s="50"/>
      <c r="Q76" s="51"/>
      <c r="R76" s="50"/>
      <c r="S76" s="50"/>
      <c r="T76" s="50"/>
      <c r="U76" s="50"/>
    </row>
    <row r="77" spans="1:21" x14ac:dyDescent="0.25">
      <c r="A77" s="45" t="s">
        <v>233</v>
      </c>
      <c r="B77" s="46">
        <v>45603</v>
      </c>
      <c r="C77" s="45" t="s">
        <v>21</v>
      </c>
      <c r="D77" s="47"/>
      <c r="E77" s="45" t="s">
        <v>208</v>
      </c>
      <c r="F77" s="45" t="s">
        <v>209</v>
      </c>
      <c r="G77" s="45" t="s">
        <v>234</v>
      </c>
      <c r="H77" s="45" t="s">
        <v>235</v>
      </c>
      <c r="I77" s="45" t="s">
        <v>236</v>
      </c>
      <c r="J77" s="45">
        <v>528547084</v>
      </c>
      <c r="K77" s="45" t="s">
        <v>237</v>
      </c>
      <c r="L77" s="48">
        <v>4300</v>
      </c>
      <c r="M77" s="49">
        <v>20241004486</v>
      </c>
      <c r="N77" s="50" t="s">
        <v>28</v>
      </c>
      <c r="O77" s="50"/>
      <c r="P77" s="50"/>
      <c r="Q77" s="51"/>
      <c r="R77" s="50"/>
      <c r="S77" s="50"/>
      <c r="T77" s="50"/>
      <c r="U77" s="50"/>
    </row>
    <row r="78" spans="1:21" x14ac:dyDescent="0.25">
      <c r="A78" s="45" t="s">
        <v>29</v>
      </c>
      <c r="B78" s="46">
        <v>45595</v>
      </c>
      <c r="C78" s="45" t="s">
        <v>168</v>
      </c>
      <c r="D78" s="47"/>
      <c r="E78" s="45" t="s">
        <v>208</v>
      </c>
      <c r="F78" s="45" t="s">
        <v>209</v>
      </c>
      <c r="G78" s="45" t="s">
        <v>238</v>
      </c>
      <c r="H78" s="45" t="s">
        <v>239</v>
      </c>
      <c r="I78" s="45" t="s">
        <v>240</v>
      </c>
      <c r="J78" s="45">
        <v>529893531</v>
      </c>
      <c r="K78" s="45" t="s">
        <v>241</v>
      </c>
      <c r="L78" s="48">
        <v>2391.61</v>
      </c>
      <c r="M78" s="49">
        <v>20241004650</v>
      </c>
      <c r="N78" s="50" t="s">
        <v>28</v>
      </c>
      <c r="O78" s="50"/>
      <c r="P78" s="50"/>
      <c r="Q78" s="51"/>
      <c r="R78" s="50"/>
      <c r="S78" s="50"/>
      <c r="T78" s="50"/>
      <c r="U78" s="50"/>
    </row>
    <row r="79" spans="1:21" x14ac:dyDescent="0.25">
      <c r="A79" s="45" t="s">
        <v>20</v>
      </c>
      <c r="B79" s="46">
        <v>45595</v>
      </c>
      <c r="C79" s="45" t="s">
        <v>168</v>
      </c>
      <c r="D79" s="47"/>
      <c r="E79" s="45" t="s">
        <v>208</v>
      </c>
      <c r="F79" s="45" t="s">
        <v>209</v>
      </c>
      <c r="G79" s="45" t="s">
        <v>30</v>
      </c>
      <c r="H79" s="45" t="s">
        <v>242</v>
      </c>
      <c r="I79" s="45" t="s">
        <v>243</v>
      </c>
      <c r="J79" s="45">
        <v>549198525</v>
      </c>
      <c r="K79" s="45" t="s">
        <v>76</v>
      </c>
      <c r="L79" s="48">
        <v>261.77999999999997</v>
      </c>
      <c r="M79" s="49">
        <v>20240930882</v>
      </c>
      <c r="N79" s="50" t="s">
        <v>28</v>
      </c>
      <c r="O79" s="50"/>
      <c r="P79" s="50"/>
      <c r="Q79" s="51"/>
      <c r="R79" s="50"/>
      <c r="S79" s="50"/>
      <c r="T79" s="50"/>
      <c r="U79" s="50"/>
    </row>
    <row r="80" spans="1:21" ht="25.5" x14ac:dyDescent="0.25">
      <c r="A80" s="45" t="s">
        <v>233</v>
      </c>
      <c r="B80" s="46">
        <v>45593</v>
      </c>
      <c r="C80" s="45" t="s">
        <v>244</v>
      </c>
      <c r="D80" s="47"/>
      <c r="E80" s="45" t="s">
        <v>245</v>
      </c>
      <c r="F80" s="45" t="s">
        <v>246</v>
      </c>
      <c r="G80" s="45" t="s">
        <v>247</v>
      </c>
      <c r="H80" s="45" t="s">
        <v>248</v>
      </c>
      <c r="I80" s="45" t="s">
        <v>249</v>
      </c>
      <c r="J80" s="45">
        <v>96542163</v>
      </c>
      <c r="K80" s="45" t="s">
        <v>250</v>
      </c>
      <c r="L80" s="48">
        <v>3425.64</v>
      </c>
      <c r="M80" s="49">
        <v>20241004409</v>
      </c>
      <c r="N80" s="50" t="s">
        <v>28</v>
      </c>
      <c r="O80" s="50"/>
      <c r="P80" s="50"/>
      <c r="Q80" s="51"/>
      <c r="R80" s="50"/>
      <c r="S80" s="50"/>
      <c r="T80" s="50"/>
      <c r="U80" s="50"/>
    </row>
    <row r="81" spans="1:21" ht="25.5" x14ac:dyDescent="0.25">
      <c r="A81" s="45" t="s">
        <v>29</v>
      </c>
      <c r="B81" s="46">
        <v>45595</v>
      </c>
      <c r="C81" s="45" t="s">
        <v>168</v>
      </c>
      <c r="D81" s="47"/>
      <c r="E81" s="45" t="s">
        <v>245</v>
      </c>
      <c r="F81" s="45" t="s">
        <v>246</v>
      </c>
      <c r="G81" s="45" t="s">
        <v>247</v>
      </c>
      <c r="H81" s="45" t="s">
        <v>251</v>
      </c>
      <c r="I81" s="45" t="s">
        <v>252</v>
      </c>
      <c r="J81" s="45">
        <v>96725525</v>
      </c>
      <c r="K81" s="45" t="s">
        <v>253</v>
      </c>
      <c r="L81" s="48">
        <v>500</v>
      </c>
      <c r="M81" s="49">
        <v>20241002314</v>
      </c>
      <c r="N81" s="50" t="s">
        <v>28</v>
      </c>
      <c r="O81" s="50"/>
      <c r="P81" s="50"/>
      <c r="Q81" s="51"/>
      <c r="R81" s="50"/>
      <c r="S81" s="50"/>
      <c r="T81" s="50"/>
      <c r="U81" s="50"/>
    </row>
    <row r="82" spans="1:21" ht="25.5" x14ac:dyDescent="0.25">
      <c r="A82" s="45" t="s">
        <v>233</v>
      </c>
      <c r="B82" s="46">
        <v>45593</v>
      </c>
      <c r="C82" s="45" t="s">
        <v>244</v>
      </c>
      <c r="D82" s="47"/>
      <c r="E82" s="45" t="s">
        <v>245</v>
      </c>
      <c r="F82" s="45" t="s">
        <v>246</v>
      </c>
      <c r="G82" s="45" t="s">
        <v>247</v>
      </c>
      <c r="H82" s="45" t="s">
        <v>254</v>
      </c>
      <c r="I82" s="45" t="s">
        <v>255</v>
      </c>
      <c r="J82" s="45">
        <v>137662580</v>
      </c>
      <c r="K82" s="45" t="s">
        <v>256</v>
      </c>
      <c r="L82" s="48">
        <v>15.41</v>
      </c>
      <c r="M82" s="49">
        <v>20241003390</v>
      </c>
      <c r="N82" s="50" t="s">
        <v>28</v>
      </c>
      <c r="O82" s="50"/>
      <c r="P82" s="50"/>
      <c r="Q82" s="51"/>
      <c r="R82" s="50"/>
      <c r="S82" s="50"/>
      <c r="T82" s="50"/>
      <c r="U82" s="50"/>
    </row>
    <row r="83" spans="1:21" x14ac:dyDescent="0.25">
      <c r="A83" s="45" t="s">
        <v>233</v>
      </c>
      <c r="B83" s="46">
        <v>45593</v>
      </c>
      <c r="C83" s="45" t="s">
        <v>244</v>
      </c>
      <c r="D83" s="47"/>
      <c r="E83" s="45" t="s">
        <v>245</v>
      </c>
      <c r="F83" s="45" t="s">
        <v>246</v>
      </c>
      <c r="G83" s="45" t="s">
        <v>257</v>
      </c>
      <c r="H83" s="45" t="s">
        <v>258</v>
      </c>
      <c r="I83" s="45" t="s">
        <v>259</v>
      </c>
      <c r="J83" s="45">
        <v>145764689</v>
      </c>
      <c r="K83" s="45" t="s">
        <v>260</v>
      </c>
      <c r="L83" s="48">
        <v>2000</v>
      </c>
      <c r="M83" s="49">
        <v>202410012476</v>
      </c>
      <c r="N83" s="50" t="s">
        <v>28</v>
      </c>
      <c r="O83" s="50"/>
      <c r="P83" s="50"/>
      <c r="Q83" s="51"/>
      <c r="R83" s="50"/>
      <c r="S83" s="50"/>
      <c r="T83" s="50"/>
      <c r="U83" s="50"/>
    </row>
    <row r="84" spans="1:21" ht="25.5" x14ac:dyDescent="0.25">
      <c r="A84" s="45" t="s">
        <v>233</v>
      </c>
      <c r="B84" s="46">
        <v>45593</v>
      </c>
      <c r="C84" s="45" t="s">
        <v>244</v>
      </c>
      <c r="D84" s="47"/>
      <c r="E84" s="45" t="s">
        <v>245</v>
      </c>
      <c r="F84" s="45" t="s">
        <v>246</v>
      </c>
      <c r="G84" s="45" t="s">
        <v>247</v>
      </c>
      <c r="H84" s="45" t="s">
        <v>261</v>
      </c>
      <c r="I84" s="45" t="s">
        <v>262</v>
      </c>
      <c r="J84" s="45">
        <v>146191330</v>
      </c>
      <c r="K84" s="45" t="s">
        <v>256</v>
      </c>
      <c r="L84" s="48">
        <v>137.80000000000001</v>
      </c>
      <c r="M84" s="49">
        <v>202410012010</v>
      </c>
      <c r="N84" s="50" t="s">
        <v>28</v>
      </c>
      <c r="O84" s="50"/>
      <c r="P84" s="50"/>
      <c r="Q84" s="51"/>
      <c r="R84" s="50"/>
      <c r="S84" s="50"/>
      <c r="T84" s="50"/>
      <c r="U84" s="50"/>
    </row>
    <row r="85" spans="1:21" ht="25.5" x14ac:dyDescent="0.25">
      <c r="A85" s="45" t="s">
        <v>233</v>
      </c>
      <c r="B85" s="46">
        <v>45593</v>
      </c>
      <c r="C85" s="45" t="s">
        <v>244</v>
      </c>
      <c r="D85" s="47"/>
      <c r="E85" s="45" t="s">
        <v>245</v>
      </c>
      <c r="F85" s="45" t="s">
        <v>246</v>
      </c>
      <c r="G85" s="45" t="s">
        <v>263</v>
      </c>
      <c r="H85" s="45" t="s">
        <v>264</v>
      </c>
      <c r="I85" s="45" t="s">
        <v>265</v>
      </c>
      <c r="J85" s="45">
        <v>156706308</v>
      </c>
      <c r="K85" s="45" t="s">
        <v>147</v>
      </c>
      <c r="L85" s="48">
        <v>27.48</v>
      </c>
      <c r="M85" s="49">
        <v>20241004807</v>
      </c>
      <c r="N85" s="50" t="s">
        <v>28</v>
      </c>
      <c r="O85" s="50"/>
      <c r="P85" s="50"/>
      <c r="Q85" s="51"/>
      <c r="R85" s="50"/>
      <c r="S85" s="50"/>
      <c r="T85" s="50"/>
      <c r="U85" s="50"/>
    </row>
    <row r="86" spans="1:21" ht="25.5" x14ac:dyDescent="0.25">
      <c r="A86" s="45" t="s">
        <v>233</v>
      </c>
      <c r="B86" s="46">
        <v>45593</v>
      </c>
      <c r="C86" s="45" t="s">
        <v>244</v>
      </c>
      <c r="D86" s="47"/>
      <c r="E86" s="45" t="s">
        <v>245</v>
      </c>
      <c r="F86" s="45" t="s">
        <v>246</v>
      </c>
      <c r="G86" s="45" t="s">
        <v>263</v>
      </c>
      <c r="H86" s="45" t="s">
        <v>264</v>
      </c>
      <c r="I86" s="45" t="s">
        <v>265</v>
      </c>
      <c r="J86" s="45">
        <v>156706308</v>
      </c>
      <c r="K86" s="45" t="s">
        <v>56</v>
      </c>
      <c r="L86" s="48">
        <v>24</v>
      </c>
      <c r="M86" s="49">
        <v>20241004808</v>
      </c>
      <c r="N86" s="50" t="s">
        <v>28</v>
      </c>
      <c r="O86" s="50"/>
      <c r="P86" s="50"/>
      <c r="Q86" s="51"/>
      <c r="R86" s="50"/>
      <c r="S86" s="50"/>
      <c r="T86" s="50"/>
      <c r="U86" s="50"/>
    </row>
    <row r="87" spans="1:21" ht="25.5" x14ac:dyDescent="0.25">
      <c r="A87" s="45" t="s">
        <v>233</v>
      </c>
      <c r="B87" s="46">
        <v>45593</v>
      </c>
      <c r="C87" s="45" t="s">
        <v>244</v>
      </c>
      <c r="D87" s="47"/>
      <c r="E87" s="45" t="s">
        <v>245</v>
      </c>
      <c r="F87" s="45" t="s">
        <v>246</v>
      </c>
      <c r="G87" s="45" t="s">
        <v>247</v>
      </c>
      <c r="H87" s="45" t="s">
        <v>266</v>
      </c>
      <c r="I87" s="45" t="s">
        <v>267</v>
      </c>
      <c r="J87" s="45">
        <v>161709256</v>
      </c>
      <c r="K87" s="45" t="s">
        <v>268</v>
      </c>
      <c r="L87" s="48">
        <v>89.79</v>
      </c>
      <c r="M87" s="49">
        <v>20241003372</v>
      </c>
      <c r="N87" s="50" t="s">
        <v>28</v>
      </c>
      <c r="O87" s="50"/>
      <c r="P87" s="50"/>
      <c r="Q87" s="51"/>
      <c r="R87" s="50"/>
      <c r="S87" s="50"/>
      <c r="T87" s="50"/>
      <c r="U87" s="50"/>
    </row>
    <row r="88" spans="1:21" ht="25.5" x14ac:dyDescent="0.25">
      <c r="A88" s="45" t="s">
        <v>233</v>
      </c>
      <c r="B88" s="46">
        <v>45593</v>
      </c>
      <c r="C88" s="45" t="s">
        <v>244</v>
      </c>
      <c r="D88" s="47"/>
      <c r="E88" s="45" t="s">
        <v>245</v>
      </c>
      <c r="F88" s="45" t="s">
        <v>246</v>
      </c>
      <c r="G88" s="45" t="s">
        <v>247</v>
      </c>
      <c r="H88" s="45" t="s">
        <v>266</v>
      </c>
      <c r="I88" s="45" t="s">
        <v>267</v>
      </c>
      <c r="J88" s="45">
        <v>161709256</v>
      </c>
      <c r="K88" s="45" t="s">
        <v>269</v>
      </c>
      <c r="L88" s="48">
        <v>92.42</v>
      </c>
      <c r="M88" s="49">
        <v>20241003383</v>
      </c>
      <c r="N88" s="50" t="s">
        <v>28</v>
      </c>
      <c r="O88" s="50"/>
      <c r="P88" s="50"/>
      <c r="Q88" s="51"/>
      <c r="R88" s="50"/>
      <c r="S88" s="50"/>
      <c r="T88" s="50"/>
      <c r="U88" s="50"/>
    </row>
    <row r="89" spans="1:21" ht="25.5" x14ac:dyDescent="0.25">
      <c r="A89" s="45" t="s">
        <v>233</v>
      </c>
      <c r="B89" s="46">
        <v>45593</v>
      </c>
      <c r="C89" s="45" t="s">
        <v>244</v>
      </c>
      <c r="D89" s="47"/>
      <c r="E89" s="45" t="s">
        <v>245</v>
      </c>
      <c r="F89" s="45" t="s">
        <v>246</v>
      </c>
      <c r="G89" s="45" t="s">
        <v>247</v>
      </c>
      <c r="H89" s="45" t="s">
        <v>266</v>
      </c>
      <c r="I89" s="45" t="s">
        <v>267</v>
      </c>
      <c r="J89" s="45">
        <v>161709256</v>
      </c>
      <c r="K89" s="45" t="s">
        <v>195</v>
      </c>
      <c r="L89" s="48">
        <v>92.42</v>
      </c>
      <c r="M89" s="49">
        <v>20241003384</v>
      </c>
      <c r="N89" s="50" t="s">
        <v>28</v>
      </c>
      <c r="O89" s="50"/>
      <c r="P89" s="50"/>
      <c r="Q89" s="51"/>
      <c r="R89" s="50"/>
      <c r="S89" s="50"/>
      <c r="T89" s="50"/>
      <c r="U89" s="50"/>
    </row>
    <row r="90" spans="1:21" ht="25.5" x14ac:dyDescent="0.25">
      <c r="A90" s="45" t="s">
        <v>233</v>
      </c>
      <c r="B90" s="46">
        <v>45593</v>
      </c>
      <c r="C90" s="45" t="s">
        <v>244</v>
      </c>
      <c r="D90" s="47"/>
      <c r="E90" s="45" t="s">
        <v>245</v>
      </c>
      <c r="F90" s="45" t="s">
        <v>246</v>
      </c>
      <c r="G90" s="45" t="s">
        <v>247</v>
      </c>
      <c r="H90" s="45" t="s">
        <v>266</v>
      </c>
      <c r="I90" s="45" t="s">
        <v>267</v>
      </c>
      <c r="J90" s="45">
        <v>161709256</v>
      </c>
      <c r="K90" s="45" t="s">
        <v>270</v>
      </c>
      <c r="L90" s="48">
        <v>89.79</v>
      </c>
      <c r="M90" s="49">
        <v>20241003382</v>
      </c>
      <c r="N90" s="50" t="s">
        <v>28</v>
      </c>
      <c r="O90" s="50"/>
      <c r="P90" s="50"/>
      <c r="Q90" s="51"/>
      <c r="R90" s="50"/>
      <c r="S90" s="50"/>
      <c r="T90" s="50"/>
      <c r="U90" s="50"/>
    </row>
    <row r="91" spans="1:21" ht="25.5" x14ac:dyDescent="0.25">
      <c r="A91" s="45" t="s">
        <v>233</v>
      </c>
      <c r="B91" s="46">
        <v>45593</v>
      </c>
      <c r="C91" s="45" t="s">
        <v>244</v>
      </c>
      <c r="D91" s="47"/>
      <c r="E91" s="45" t="s">
        <v>245</v>
      </c>
      <c r="F91" s="45" t="s">
        <v>246</v>
      </c>
      <c r="G91" s="45" t="s">
        <v>247</v>
      </c>
      <c r="H91" s="45" t="s">
        <v>266</v>
      </c>
      <c r="I91" s="45" t="s">
        <v>267</v>
      </c>
      <c r="J91" s="45">
        <v>161709256</v>
      </c>
      <c r="K91" s="45" t="s">
        <v>268</v>
      </c>
      <c r="L91" s="48">
        <v>325.77999999999997</v>
      </c>
      <c r="M91" s="49">
        <v>20241003388</v>
      </c>
      <c r="N91" s="50" t="s">
        <v>28</v>
      </c>
      <c r="O91" s="50"/>
      <c r="P91" s="50"/>
      <c r="Q91" s="51"/>
      <c r="R91" s="50"/>
      <c r="S91" s="50"/>
      <c r="T91" s="50"/>
      <c r="U91" s="50"/>
    </row>
    <row r="92" spans="1:21" ht="25.5" x14ac:dyDescent="0.25">
      <c r="A92" s="45" t="s">
        <v>233</v>
      </c>
      <c r="B92" s="46">
        <v>45593</v>
      </c>
      <c r="C92" s="45" t="s">
        <v>244</v>
      </c>
      <c r="D92" s="47"/>
      <c r="E92" s="45" t="s">
        <v>245</v>
      </c>
      <c r="F92" s="45" t="s">
        <v>246</v>
      </c>
      <c r="G92" s="45" t="s">
        <v>247</v>
      </c>
      <c r="H92" s="45" t="s">
        <v>266</v>
      </c>
      <c r="I92" s="45" t="s">
        <v>267</v>
      </c>
      <c r="J92" s="45">
        <v>161709256</v>
      </c>
      <c r="K92" s="45" t="s">
        <v>271</v>
      </c>
      <c r="L92" s="48">
        <v>92.42</v>
      </c>
      <c r="M92" s="49">
        <v>20241003385</v>
      </c>
      <c r="N92" s="50" t="s">
        <v>28</v>
      </c>
      <c r="O92" s="50"/>
      <c r="P92" s="50"/>
      <c r="Q92" s="51"/>
      <c r="R92" s="50"/>
      <c r="S92" s="50"/>
      <c r="T92" s="50"/>
      <c r="U92" s="50"/>
    </row>
    <row r="93" spans="1:21" ht="25.5" x14ac:dyDescent="0.25">
      <c r="A93" s="45" t="s">
        <v>233</v>
      </c>
      <c r="B93" s="46">
        <v>45593</v>
      </c>
      <c r="C93" s="45" t="s">
        <v>244</v>
      </c>
      <c r="D93" s="47"/>
      <c r="E93" s="45" t="s">
        <v>245</v>
      </c>
      <c r="F93" s="45" t="s">
        <v>246</v>
      </c>
      <c r="G93" s="45" t="s">
        <v>247</v>
      </c>
      <c r="H93" s="45" t="s">
        <v>266</v>
      </c>
      <c r="I93" s="45" t="s">
        <v>267</v>
      </c>
      <c r="J93" s="45">
        <v>161709256</v>
      </c>
      <c r="K93" s="45" t="s">
        <v>194</v>
      </c>
      <c r="L93" s="48">
        <v>92.42</v>
      </c>
      <c r="M93" s="49">
        <v>20241003389</v>
      </c>
      <c r="N93" s="50" t="s">
        <v>28</v>
      </c>
      <c r="O93" s="50"/>
      <c r="P93" s="50"/>
      <c r="Q93" s="51"/>
      <c r="R93" s="50"/>
      <c r="S93" s="50"/>
      <c r="T93" s="50"/>
      <c r="U93" s="50"/>
    </row>
    <row r="94" spans="1:21" ht="25.5" x14ac:dyDescent="0.25">
      <c r="A94" s="45" t="s">
        <v>233</v>
      </c>
      <c r="B94" s="46">
        <v>45593</v>
      </c>
      <c r="C94" s="45" t="s">
        <v>244</v>
      </c>
      <c r="D94" s="47"/>
      <c r="E94" s="45" t="s">
        <v>245</v>
      </c>
      <c r="F94" s="45" t="s">
        <v>246</v>
      </c>
      <c r="G94" s="45" t="s">
        <v>247</v>
      </c>
      <c r="H94" s="45" t="s">
        <v>266</v>
      </c>
      <c r="I94" s="45" t="s">
        <v>267</v>
      </c>
      <c r="J94" s="45">
        <v>161709256</v>
      </c>
      <c r="K94" s="45" t="s">
        <v>272</v>
      </c>
      <c r="L94" s="48">
        <v>92.42</v>
      </c>
      <c r="M94" s="49">
        <v>20241003386</v>
      </c>
      <c r="N94" s="50" t="s">
        <v>28</v>
      </c>
      <c r="O94" s="50"/>
      <c r="P94" s="50"/>
      <c r="Q94" s="51"/>
      <c r="R94" s="50"/>
      <c r="S94" s="50"/>
      <c r="T94" s="50"/>
      <c r="U94" s="50"/>
    </row>
    <row r="95" spans="1:21" x14ac:dyDescent="0.25">
      <c r="A95" s="45" t="s">
        <v>29</v>
      </c>
      <c r="B95" s="46">
        <v>45595</v>
      </c>
      <c r="C95" s="45" t="s">
        <v>168</v>
      </c>
      <c r="D95" s="47"/>
      <c r="E95" s="45" t="s">
        <v>84</v>
      </c>
      <c r="F95" s="45" t="s">
        <v>273</v>
      </c>
      <c r="G95" s="45" t="s">
        <v>274</v>
      </c>
      <c r="H95" s="45" t="s">
        <v>176</v>
      </c>
      <c r="I95" s="45" t="s">
        <v>275</v>
      </c>
      <c r="J95" s="45">
        <v>226292478</v>
      </c>
      <c r="K95" s="45" t="s">
        <v>276</v>
      </c>
      <c r="L95" s="48">
        <v>295</v>
      </c>
      <c r="M95" s="49">
        <v>20241002623</v>
      </c>
      <c r="N95" s="50" t="s">
        <v>28</v>
      </c>
      <c r="O95" s="50"/>
      <c r="P95" s="50"/>
      <c r="Q95" s="51"/>
      <c r="R95" s="50"/>
      <c r="S95" s="50"/>
      <c r="T95" s="50"/>
      <c r="U95" s="50"/>
    </row>
    <row r="96" spans="1:21" x14ac:dyDescent="0.25">
      <c r="A96" s="45" t="s">
        <v>20</v>
      </c>
      <c r="B96" s="46">
        <v>45595</v>
      </c>
      <c r="C96" s="45" t="s">
        <v>168</v>
      </c>
      <c r="D96" s="47"/>
      <c r="E96" s="45" t="s">
        <v>277</v>
      </c>
      <c r="F96" s="45" t="s">
        <v>278</v>
      </c>
      <c r="G96" s="45" t="s">
        <v>30</v>
      </c>
      <c r="H96" s="45" t="s">
        <v>279</v>
      </c>
      <c r="I96" s="45" t="s">
        <v>280</v>
      </c>
      <c r="J96" s="45">
        <v>575804468</v>
      </c>
      <c r="K96" s="45" t="s">
        <v>281</v>
      </c>
      <c r="L96" s="48">
        <v>27.2</v>
      </c>
      <c r="M96" s="49">
        <v>202410012425</v>
      </c>
      <c r="N96" s="50" t="s">
        <v>28</v>
      </c>
      <c r="O96" s="50"/>
      <c r="P96" s="50"/>
      <c r="Q96" s="51"/>
      <c r="R96" s="50"/>
      <c r="S96" s="50"/>
      <c r="T96" s="50"/>
      <c r="U96" s="50"/>
    </row>
    <row r="97" spans="1:21" x14ac:dyDescent="0.25">
      <c r="A97" s="45" t="s">
        <v>38</v>
      </c>
      <c r="B97" s="46">
        <v>45595</v>
      </c>
      <c r="C97" s="45" t="s">
        <v>168</v>
      </c>
      <c r="D97" s="47"/>
      <c r="E97" s="45" t="s">
        <v>277</v>
      </c>
      <c r="F97" s="45" t="s">
        <v>278</v>
      </c>
      <c r="G97" s="45" t="s">
        <v>30</v>
      </c>
      <c r="H97" s="45" t="s">
        <v>279</v>
      </c>
      <c r="I97" s="45" t="s">
        <v>280</v>
      </c>
      <c r="J97" s="45">
        <v>575804468</v>
      </c>
      <c r="K97" s="45" t="s">
        <v>282</v>
      </c>
      <c r="L97" s="48">
        <v>7</v>
      </c>
      <c r="M97" s="49">
        <v>202410012427</v>
      </c>
      <c r="N97" s="50" t="s">
        <v>28</v>
      </c>
      <c r="O97" s="50"/>
      <c r="P97" s="50"/>
      <c r="Q97" s="51"/>
      <c r="R97" s="50"/>
      <c r="S97" s="50"/>
      <c r="T97" s="50"/>
      <c r="U97" s="50"/>
    </row>
    <row r="98" spans="1:21" x14ac:dyDescent="0.25">
      <c r="A98" s="45" t="s">
        <v>20</v>
      </c>
      <c r="B98" s="46">
        <v>45595</v>
      </c>
      <c r="C98" s="45" t="s">
        <v>168</v>
      </c>
      <c r="D98" s="47"/>
      <c r="E98" s="45" t="s">
        <v>277</v>
      </c>
      <c r="F98" s="45" t="s">
        <v>278</v>
      </c>
      <c r="G98" s="45" t="s">
        <v>30</v>
      </c>
      <c r="H98" s="45" t="s">
        <v>279</v>
      </c>
      <c r="I98" s="45" t="s">
        <v>280</v>
      </c>
      <c r="J98" s="45">
        <v>575804468</v>
      </c>
      <c r="K98" s="45" t="s">
        <v>283</v>
      </c>
      <c r="L98" s="48">
        <v>27.2</v>
      </c>
      <c r="M98" s="49">
        <v>202410012426</v>
      </c>
      <c r="N98" s="50" t="s">
        <v>28</v>
      </c>
      <c r="O98" s="50"/>
      <c r="P98" s="50"/>
      <c r="Q98" s="51"/>
      <c r="R98" s="50"/>
      <c r="S98" s="50"/>
      <c r="T98" s="50"/>
      <c r="U98" s="50"/>
    </row>
    <row r="99" spans="1:21" x14ac:dyDescent="0.25">
      <c r="A99" s="45" t="s">
        <v>38</v>
      </c>
      <c r="B99" s="46">
        <v>45595</v>
      </c>
      <c r="C99" s="45" t="s">
        <v>168</v>
      </c>
      <c r="D99" s="47"/>
      <c r="E99" s="45" t="s">
        <v>277</v>
      </c>
      <c r="F99" s="45" t="s">
        <v>278</v>
      </c>
      <c r="G99" s="45" t="s">
        <v>30</v>
      </c>
      <c r="H99" s="45" t="s">
        <v>279</v>
      </c>
      <c r="I99" s="45" t="s">
        <v>280</v>
      </c>
      <c r="J99" s="45">
        <v>575804468</v>
      </c>
      <c r="K99" s="45" t="s">
        <v>284</v>
      </c>
      <c r="L99" s="48">
        <v>106.7</v>
      </c>
      <c r="M99" s="49">
        <v>202410012410</v>
      </c>
      <c r="N99" s="50" t="s">
        <v>28</v>
      </c>
      <c r="O99" s="50"/>
      <c r="P99" s="50"/>
      <c r="Q99" s="51"/>
      <c r="R99" s="50"/>
      <c r="S99" s="50"/>
      <c r="T99" s="50"/>
      <c r="U99" s="50"/>
    </row>
    <row r="100" spans="1:21" x14ac:dyDescent="0.25">
      <c r="A100" s="45" t="s">
        <v>38</v>
      </c>
      <c r="B100" s="46">
        <v>45595</v>
      </c>
      <c r="C100" s="45" t="s">
        <v>168</v>
      </c>
      <c r="D100" s="47"/>
      <c r="E100" s="45" t="s">
        <v>277</v>
      </c>
      <c r="F100" s="45" t="s">
        <v>278</v>
      </c>
      <c r="G100" s="45" t="s">
        <v>30</v>
      </c>
      <c r="H100" s="45" t="s">
        <v>279</v>
      </c>
      <c r="I100" s="45" t="s">
        <v>280</v>
      </c>
      <c r="J100" s="45">
        <v>575804468</v>
      </c>
      <c r="K100" s="45" t="s">
        <v>285</v>
      </c>
      <c r="L100" s="48">
        <v>87.96</v>
      </c>
      <c r="M100" s="49">
        <v>202410012420</v>
      </c>
      <c r="N100" s="50" t="s">
        <v>28</v>
      </c>
      <c r="O100" s="50"/>
      <c r="P100" s="50"/>
      <c r="Q100" s="51"/>
      <c r="R100" s="50"/>
      <c r="S100" s="50"/>
      <c r="T100" s="50"/>
      <c r="U100" s="50"/>
    </row>
    <row r="101" spans="1:21" x14ac:dyDescent="0.25">
      <c r="A101" s="45" t="s">
        <v>38</v>
      </c>
      <c r="B101" s="46">
        <v>45595</v>
      </c>
      <c r="C101" s="45" t="s">
        <v>168</v>
      </c>
      <c r="D101" s="47"/>
      <c r="E101" s="45" t="s">
        <v>277</v>
      </c>
      <c r="F101" s="45" t="s">
        <v>278</v>
      </c>
      <c r="G101" s="45" t="s">
        <v>30</v>
      </c>
      <c r="H101" s="45" t="s">
        <v>279</v>
      </c>
      <c r="I101" s="45" t="s">
        <v>280</v>
      </c>
      <c r="J101" s="45">
        <v>575804468</v>
      </c>
      <c r="K101" s="45" t="s">
        <v>282</v>
      </c>
      <c r="L101" s="48">
        <v>7</v>
      </c>
      <c r="M101" s="49">
        <v>202410012428</v>
      </c>
      <c r="N101" s="50" t="s">
        <v>28</v>
      </c>
      <c r="O101" s="50"/>
      <c r="P101" s="50"/>
      <c r="Q101" s="51"/>
      <c r="R101" s="50"/>
      <c r="S101" s="50"/>
      <c r="T101" s="50"/>
      <c r="U101" s="50"/>
    </row>
    <row r="102" spans="1:21" x14ac:dyDescent="0.25">
      <c r="A102" s="45" t="s">
        <v>38</v>
      </c>
      <c r="B102" s="46">
        <v>45595</v>
      </c>
      <c r="C102" s="45" t="s">
        <v>168</v>
      </c>
      <c r="D102" s="47"/>
      <c r="E102" s="45" t="s">
        <v>277</v>
      </c>
      <c r="F102" s="45" t="s">
        <v>278</v>
      </c>
      <c r="G102" s="45" t="s">
        <v>30</v>
      </c>
      <c r="H102" s="45" t="s">
        <v>279</v>
      </c>
      <c r="I102" s="45" t="s">
        <v>280</v>
      </c>
      <c r="J102" s="45">
        <v>575804468</v>
      </c>
      <c r="K102" s="45" t="s">
        <v>286</v>
      </c>
      <c r="L102" s="48">
        <v>15</v>
      </c>
      <c r="M102" s="49">
        <v>202410012408</v>
      </c>
      <c r="N102" s="50" t="s">
        <v>28</v>
      </c>
      <c r="O102" s="50"/>
      <c r="P102" s="50"/>
      <c r="Q102" s="51"/>
      <c r="R102" s="50"/>
      <c r="S102" s="50"/>
      <c r="T102" s="50"/>
      <c r="U102" s="50"/>
    </row>
    <row r="103" spans="1:21" x14ac:dyDescent="0.25">
      <c r="A103" s="45" t="s">
        <v>38</v>
      </c>
      <c r="B103" s="46">
        <v>45595</v>
      </c>
      <c r="C103" s="45" t="s">
        <v>168</v>
      </c>
      <c r="D103" s="47"/>
      <c r="E103" s="45" t="s">
        <v>277</v>
      </c>
      <c r="F103" s="45" t="s">
        <v>278</v>
      </c>
      <c r="G103" s="45" t="s">
        <v>30</v>
      </c>
      <c r="H103" s="45" t="s">
        <v>279</v>
      </c>
      <c r="I103" s="45" t="s">
        <v>280</v>
      </c>
      <c r="J103" s="45">
        <v>575804468</v>
      </c>
      <c r="K103" s="45" t="s">
        <v>287</v>
      </c>
      <c r="L103" s="48">
        <v>15</v>
      </c>
      <c r="M103" s="49">
        <v>202410012409</v>
      </c>
      <c r="N103" s="50" t="s">
        <v>28</v>
      </c>
      <c r="O103" s="50"/>
      <c r="P103" s="50"/>
      <c r="Q103" s="51"/>
      <c r="R103" s="50"/>
      <c r="S103" s="50"/>
      <c r="T103" s="50"/>
      <c r="U103" s="50"/>
    </row>
    <row r="104" spans="1:21" x14ac:dyDescent="0.25">
      <c r="A104" s="45" t="s">
        <v>38</v>
      </c>
      <c r="B104" s="46">
        <v>45595</v>
      </c>
      <c r="C104" s="45" t="s">
        <v>168</v>
      </c>
      <c r="D104" s="47"/>
      <c r="E104" s="45" t="s">
        <v>277</v>
      </c>
      <c r="F104" s="45" t="s">
        <v>278</v>
      </c>
      <c r="G104" s="45" t="s">
        <v>30</v>
      </c>
      <c r="H104" s="45" t="s">
        <v>279</v>
      </c>
      <c r="I104" s="45" t="s">
        <v>280</v>
      </c>
      <c r="J104" s="45">
        <v>575804468</v>
      </c>
      <c r="K104" s="45" t="s">
        <v>288</v>
      </c>
      <c r="L104" s="48">
        <v>27.52</v>
      </c>
      <c r="M104" s="49">
        <v>202410012418</v>
      </c>
      <c r="N104" s="50" t="s">
        <v>28</v>
      </c>
      <c r="O104" s="50"/>
      <c r="P104" s="50"/>
      <c r="Q104" s="51"/>
      <c r="R104" s="50"/>
      <c r="S104" s="50"/>
      <c r="T104" s="50"/>
      <c r="U104" s="50"/>
    </row>
    <row r="105" spans="1:21" x14ac:dyDescent="0.25">
      <c r="A105" s="45" t="s">
        <v>38</v>
      </c>
      <c r="B105" s="46">
        <v>45595</v>
      </c>
      <c r="C105" s="45" t="s">
        <v>168</v>
      </c>
      <c r="D105" s="47"/>
      <c r="E105" s="45" t="s">
        <v>277</v>
      </c>
      <c r="F105" s="45" t="s">
        <v>278</v>
      </c>
      <c r="G105" s="45" t="s">
        <v>30</v>
      </c>
      <c r="H105" s="45" t="s">
        <v>279</v>
      </c>
      <c r="I105" s="45" t="s">
        <v>280</v>
      </c>
      <c r="J105" s="45">
        <v>575804468</v>
      </c>
      <c r="K105" s="45" t="s">
        <v>289</v>
      </c>
      <c r="L105" s="48">
        <v>92.96</v>
      </c>
      <c r="M105" s="49">
        <v>202410012422</v>
      </c>
      <c r="N105" s="50" t="s">
        <v>28</v>
      </c>
      <c r="O105" s="50"/>
      <c r="P105" s="50"/>
      <c r="Q105" s="51"/>
      <c r="R105" s="50"/>
      <c r="S105" s="50"/>
      <c r="T105" s="50"/>
      <c r="U105" s="50"/>
    </row>
    <row r="106" spans="1:21" x14ac:dyDescent="0.25">
      <c r="A106" s="45" t="s">
        <v>38</v>
      </c>
      <c r="B106" s="46">
        <v>45595</v>
      </c>
      <c r="C106" s="45" t="s">
        <v>168</v>
      </c>
      <c r="D106" s="47"/>
      <c r="E106" s="45" t="s">
        <v>277</v>
      </c>
      <c r="F106" s="45" t="s">
        <v>278</v>
      </c>
      <c r="G106" s="45" t="s">
        <v>30</v>
      </c>
      <c r="H106" s="45" t="s">
        <v>279</v>
      </c>
      <c r="I106" s="45" t="s">
        <v>280</v>
      </c>
      <c r="J106" s="45">
        <v>575804468</v>
      </c>
      <c r="K106" s="45" t="s">
        <v>290</v>
      </c>
      <c r="L106" s="48">
        <v>368.95</v>
      </c>
      <c r="M106" s="49">
        <v>202410012404</v>
      </c>
      <c r="N106" s="50" t="s">
        <v>28</v>
      </c>
      <c r="O106" s="50"/>
      <c r="P106" s="50"/>
      <c r="Q106" s="51"/>
      <c r="R106" s="50"/>
      <c r="S106" s="50"/>
      <c r="T106" s="50"/>
      <c r="U106" s="50"/>
    </row>
    <row r="107" spans="1:21" x14ac:dyDescent="0.25">
      <c r="A107" s="45" t="s">
        <v>38</v>
      </c>
      <c r="B107" s="46">
        <v>45595</v>
      </c>
      <c r="C107" s="45" t="s">
        <v>168</v>
      </c>
      <c r="D107" s="47"/>
      <c r="E107" s="45" t="s">
        <v>277</v>
      </c>
      <c r="F107" s="45" t="s">
        <v>278</v>
      </c>
      <c r="G107" s="45" t="s">
        <v>30</v>
      </c>
      <c r="H107" s="45" t="s">
        <v>279</v>
      </c>
      <c r="I107" s="45" t="s">
        <v>280</v>
      </c>
      <c r="J107" s="45">
        <v>575804468</v>
      </c>
      <c r="K107" s="45" t="s">
        <v>291</v>
      </c>
      <c r="L107" s="48">
        <v>37.54</v>
      </c>
      <c r="M107" s="49">
        <v>202410012405</v>
      </c>
      <c r="N107" s="50" t="s">
        <v>28</v>
      </c>
      <c r="O107" s="50"/>
      <c r="P107" s="50"/>
      <c r="Q107" s="51"/>
      <c r="R107" s="50"/>
      <c r="S107" s="50"/>
      <c r="T107" s="50"/>
      <c r="U107" s="50"/>
    </row>
    <row r="108" spans="1:21" x14ac:dyDescent="0.25">
      <c r="A108" s="45" t="s">
        <v>38</v>
      </c>
      <c r="B108" s="46">
        <v>45595</v>
      </c>
      <c r="C108" s="45" t="s">
        <v>168</v>
      </c>
      <c r="D108" s="47"/>
      <c r="E108" s="45" t="s">
        <v>277</v>
      </c>
      <c r="F108" s="45" t="s">
        <v>278</v>
      </c>
      <c r="G108" s="45" t="s">
        <v>30</v>
      </c>
      <c r="H108" s="45" t="s">
        <v>279</v>
      </c>
      <c r="I108" s="45" t="s">
        <v>280</v>
      </c>
      <c r="J108" s="45">
        <v>575804468</v>
      </c>
      <c r="K108" s="45" t="s">
        <v>292</v>
      </c>
      <c r="L108" s="48">
        <v>15</v>
      </c>
      <c r="M108" s="49">
        <v>202410012406</v>
      </c>
      <c r="N108" s="50" t="s">
        <v>28</v>
      </c>
      <c r="O108" s="50"/>
      <c r="P108" s="50"/>
      <c r="Q108" s="51"/>
      <c r="R108" s="50"/>
      <c r="S108" s="50"/>
      <c r="T108" s="50"/>
      <c r="U108" s="50"/>
    </row>
    <row r="109" spans="1:21" x14ac:dyDescent="0.25">
      <c r="A109" s="45" t="s">
        <v>38</v>
      </c>
      <c r="B109" s="46">
        <v>45593</v>
      </c>
      <c r="C109" s="45" t="s">
        <v>244</v>
      </c>
      <c r="D109" s="47"/>
      <c r="E109" s="45" t="s">
        <v>277</v>
      </c>
      <c r="F109" s="45" t="s">
        <v>278</v>
      </c>
      <c r="G109" s="45" t="s">
        <v>30</v>
      </c>
      <c r="H109" s="45" t="s">
        <v>279</v>
      </c>
      <c r="I109" s="45" t="s">
        <v>280</v>
      </c>
      <c r="J109" s="45">
        <v>575804468</v>
      </c>
      <c r="K109" s="45" t="s">
        <v>293</v>
      </c>
      <c r="L109" s="48">
        <v>12.52</v>
      </c>
      <c r="M109" s="49">
        <v>202410012421</v>
      </c>
      <c r="N109" s="50" t="s">
        <v>28</v>
      </c>
      <c r="O109" s="50"/>
      <c r="P109" s="50"/>
      <c r="Q109" s="51"/>
      <c r="R109" s="50"/>
      <c r="S109" s="50"/>
      <c r="T109" s="50"/>
      <c r="U109" s="50"/>
    </row>
    <row r="110" spans="1:21" x14ac:dyDescent="0.25">
      <c r="A110" s="45" t="s">
        <v>20</v>
      </c>
      <c r="B110" s="46">
        <v>45594</v>
      </c>
      <c r="C110" s="45" t="s">
        <v>294</v>
      </c>
      <c r="D110" s="47"/>
      <c r="E110" s="45" t="s">
        <v>277</v>
      </c>
      <c r="F110" s="45" t="s">
        <v>278</v>
      </c>
      <c r="G110" s="45" t="s">
        <v>30</v>
      </c>
      <c r="H110" s="45" t="s">
        <v>279</v>
      </c>
      <c r="I110" s="45" t="s">
        <v>280</v>
      </c>
      <c r="J110" s="45">
        <v>575804468</v>
      </c>
      <c r="K110" s="45" t="s">
        <v>295</v>
      </c>
      <c r="L110" s="48">
        <v>15</v>
      </c>
      <c r="M110" s="49">
        <v>202410012398</v>
      </c>
      <c r="N110" s="50" t="s">
        <v>28</v>
      </c>
      <c r="O110" s="50"/>
      <c r="P110" s="50"/>
      <c r="Q110" s="51"/>
      <c r="R110" s="50"/>
      <c r="S110" s="50"/>
      <c r="T110" s="50"/>
      <c r="U110" s="50"/>
    </row>
    <row r="111" spans="1:21" x14ac:dyDescent="0.25">
      <c r="A111" s="45" t="s">
        <v>70</v>
      </c>
      <c r="B111" s="46">
        <v>45594</v>
      </c>
      <c r="C111" s="45" t="s">
        <v>294</v>
      </c>
      <c r="D111" s="47"/>
      <c r="E111" s="45" t="s">
        <v>296</v>
      </c>
      <c r="F111" s="45" t="s">
        <v>297</v>
      </c>
      <c r="G111" s="45" t="s">
        <v>298</v>
      </c>
      <c r="H111" s="45" t="s">
        <v>299</v>
      </c>
      <c r="I111" s="45" t="s">
        <v>300</v>
      </c>
      <c r="J111" s="45">
        <v>72047</v>
      </c>
      <c r="K111" s="45" t="s">
        <v>301</v>
      </c>
      <c r="L111" s="48">
        <v>265</v>
      </c>
      <c r="M111" s="49">
        <v>20241003433</v>
      </c>
      <c r="N111" s="50" t="s">
        <v>28</v>
      </c>
      <c r="O111" s="50"/>
      <c r="P111" s="50"/>
      <c r="Q111" s="51"/>
      <c r="R111" s="50"/>
      <c r="S111" s="50"/>
      <c r="T111" s="50"/>
      <c r="U111" s="50"/>
    </row>
    <row r="112" spans="1:21" x14ac:dyDescent="0.25">
      <c r="A112" s="45" t="s">
        <v>70</v>
      </c>
      <c r="B112" s="46">
        <v>45594</v>
      </c>
      <c r="C112" s="45" t="s">
        <v>294</v>
      </c>
      <c r="D112" s="47"/>
      <c r="E112" s="45" t="s">
        <v>296</v>
      </c>
      <c r="F112" s="45" t="s">
        <v>297</v>
      </c>
      <c r="G112" s="45" t="s">
        <v>298</v>
      </c>
      <c r="H112" s="45" t="s">
        <v>299</v>
      </c>
      <c r="I112" s="45" t="s">
        <v>300</v>
      </c>
      <c r="J112" s="45">
        <v>72047</v>
      </c>
      <c r="K112" s="45" t="s">
        <v>241</v>
      </c>
      <c r="L112" s="48">
        <v>265</v>
      </c>
      <c r="M112" s="49">
        <v>20241003421</v>
      </c>
      <c r="N112" s="50" t="s">
        <v>28</v>
      </c>
      <c r="O112" s="50"/>
      <c r="P112" s="50"/>
      <c r="Q112" s="51"/>
      <c r="R112" s="50"/>
      <c r="S112" s="50"/>
      <c r="T112" s="50"/>
      <c r="U112" s="50"/>
    </row>
    <row r="113" spans="1:21" ht="135" x14ac:dyDescent="0.25">
      <c r="A113" s="45" t="s">
        <v>29</v>
      </c>
      <c r="B113" s="46">
        <v>45594</v>
      </c>
      <c r="C113" s="45" t="s">
        <v>294</v>
      </c>
      <c r="D113" s="47"/>
      <c r="E113" s="45" t="s">
        <v>296</v>
      </c>
      <c r="F113" s="45" t="s">
        <v>297</v>
      </c>
      <c r="G113" s="45" t="s">
        <v>298</v>
      </c>
      <c r="H113" s="45" t="s">
        <v>302</v>
      </c>
      <c r="I113" s="45" t="s">
        <v>303</v>
      </c>
      <c r="J113" s="45">
        <v>73136</v>
      </c>
      <c r="K113" s="45" t="s">
        <v>184</v>
      </c>
      <c r="L113" s="48">
        <v>1250</v>
      </c>
      <c r="M113" s="49">
        <v>20241002249</v>
      </c>
      <c r="N113" s="50"/>
      <c r="O113" s="50"/>
      <c r="P113" s="50" t="s">
        <v>304</v>
      </c>
      <c r="Q113" s="51" t="s">
        <v>305</v>
      </c>
      <c r="R113" s="50"/>
      <c r="S113" s="50"/>
      <c r="T113" s="50"/>
      <c r="U113" s="50"/>
    </row>
    <row r="114" spans="1:21" x14ac:dyDescent="0.25">
      <c r="A114" s="45" t="s">
        <v>29</v>
      </c>
      <c r="B114" s="46">
        <v>45594</v>
      </c>
      <c r="C114" s="45" t="s">
        <v>294</v>
      </c>
      <c r="D114" s="47"/>
      <c r="E114" s="45" t="s">
        <v>296</v>
      </c>
      <c r="F114" s="45" t="s">
        <v>297</v>
      </c>
      <c r="G114" s="45" t="s">
        <v>298</v>
      </c>
      <c r="H114" s="45" t="s">
        <v>302</v>
      </c>
      <c r="I114" s="45" t="s">
        <v>303</v>
      </c>
      <c r="J114" s="45">
        <v>73136</v>
      </c>
      <c r="K114" s="45" t="s">
        <v>184</v>
      </c>
      <c r="L114" s="48">
        <v>250</v>
      </c>
      <c r="M114" s="49">
        <v>20241002228</v>
      </c>
      <c r="N114" s="50" t="s">
        <v>28</v>
      </c>
      <c r="O114" s="50"/>
      <c r="P114" s="50"/>
      <c r="Q114" s="51"/>
      <c r="R114" s="50"/>
      <c r="S114" s="50"/>
      <c r="T114" s="50"/>
      <c r="U114" s="50"/>
    </row>
    <row r="115" spans="1:21" x14ac:dyDescent="0.25">
      <c r="A115" s="45" t="s">
        <v>70</v>
      </c>
      <c r="B115" s="46">
        <v>45594</v>
      </c>
      <c r="C115" s="45" t="s">
        <v>294</v>
      </c>
      <c r="D115" s="47"/>
      <c r="E115" s="45" t="s">
        <v>296</v>
      </c>
      <c r="F115" s="45" t="s">
        <v>297</v>
      </c>
      <c r="G115" s="45" t="s">
        <v>298</v>
      </c>
      <c r="H115" s="45" t="s">
        <v>142</v>
      </c>
      <c r="I115" s="45" t="s">
        <v>306</v>
      </c>
      <c r="J115" s="45">
        <v>73455</v>
      </c>
      <c r="K115" s="45" t="s">
        <v>147</v>
      </c>
      <c r="L115" s="48">
        <v>15</v>
      </c>
      <c r="M115" s="49">
        <v>20241003424</v>
      </c>
      <c r="N115" s="50" t="s">
        <v>28</v>
      </c>
      <c r="O115" s="50"/>
      <c r="P115" s="50"/>
      <c r="Q115" s="51"/>
      <c r="R115" s="50"/>
      <c r="S115" s="50"/>
      <c r="T115" s="50"/>
      <c r="U115" s="50"/>
    </row>
    <row r="116" spans="1:21" x14ac:dyDescent="0.25">
      <c r="A116" s="45" t="s">
        <v>70</v>
      </c>
      <c r="B116" s="46">
        <v>45594</v>
      </c>
      <c r="C116" s="45" t="s">
        <v>294</v>
      </c>
      <c r="D116" s="47"/>
      <c r="E116" s="45" t="s">
        <v>296</v>
      </c>
      <c r="F116" s="45" t="s">
        <v>297</v>
      </c>
      <c r="G116" s="45" t="s">
        <v>298</v>
      </c>
      <c r="H116" s="45" t="s">
        <v>142</v>
      </c>
      <c r="I116" s="45" t="s">
        <v>306</v>
      </c>
      <c r="J116" s="45">
        <v>73455</v>
      </c>
      <c r="K116" s="45" t="s">
        <v>56</v>
      </c>
      <c r="L116" s="48">
        <v>15</v>
      </c>
      <c r="M116" s="49">
        <v>20241003434</v>
      </c>
      <c r="N116" s="50" t="s">
        <v>28</v>
      </c>
      <c r="O116" s="50"/>
      <c r="P116" s="50"/>
      <c r="Q116" s="51"/>
      <c r="R116" s="50"/>
      <c r="S116" s="50"/>
      <c r="T116" s="50"/>
      <c r="U116" s="50"/>
    </row>
    <row r="117" spans="1:21" x14ac:dyDescent="0.25">
      <c r="A117" s="45" t="s">
        <v>70</v>
      </c>
      <c r="B117" s="46">
        <v>45594</v>
      </c>
      <c r="C117" s="45" t="s">
        <v>294</v>
      </c>
      <c r="D117" s="47"/>
      <c r="E117" s="45" t="s">
        <v>296</v>
      </c>
      <c r="F117" s="45" t="s">
        <v>297</v>
      </c>
      <c r="G117" s="45" t="s">
        <v>298</v>
      </c>
      <c r="H117" s="45" t="s">
        <v>307</v>
      </c>
      <c r="I117" s="45" t="s">
        <v>308</v>
      </c>
      <c r="J117" s="45">
        <v>73791</v>
      </c>
      <c r="K117" s="45" t="s">
        <v>309</v>
      </c>
      <c r="L117" s="48">
        <v>20</v>
      </c>
      <c r="M117" s="49">
        <v>20240930290</v>
      </c>
      <c r="N117" s="50" t="s">
        <v>28</v>
      </c>
      <c r="O117" s="50"/>
      <c r="P117" s="50"/>
      <c r="Q117" s="51"/>
      <c r="R117" s="50"/>
      <c r="S117" s="50"/>
      <c r="T117" s="50"/>
      <c r="U117" s="50"/>
    </row>
    <row r="118" spans="1:21" x14ac:dyDescent="0.25">
      <c r="A118" s="45" t="s">
        <v>70</v>
      </c>
      <c r="B118" s="46">
        <v>45594</v>
      </c>
      <c r="C118" s="45" t="s">
        <v>294</v>
      </c>
      <c r="D118" s="47"/>
      <c r="E118" s="45" t="s">
        <v>296</v>
      </c>
      <c r="F118" s="45" t="s">
        <v>297</v>
      </c>
      <c r="G118" s="45" t="s">
        <v>298</v>
      </c>
      <c r="H118" s="45" t="s">
        <v>307</v>
      </c>
      <c r="I118" s="45" t="s">
        <v>308</v>
      </c>
      <c r="J118" s="45">
        <v>73791</v>
      </c>
      <c r="K118" s="45" t="s">
        <v>105</v>
      </c>
      <c r="L118" s="48">
        <v>3</v>
      </c>
      <c r="M118" s="49">
        <v>20240930297</v>
      </c>
      <c r="N118" s="50" t="s">
        <v>28</v>
      </c>
      <c r="O118" s="50"/>
      <c r="P118" s="50"/>
      <c r="Q118" s="51"/>
      <c r="R118" s="50"/>
      <c r="S118" s="50"/>
      <c r="T118" s="50"/>
      <c r="U118" s="50"/>
    </row>
    <row r="119" spans="1:21" x14ac:dyDescent="0.25">
      <c r="A119" s="45" t="s">
        <v>70</v>
      </c>
      <c r="B119" s="46">
        <v>45594</v>
      </c>
      <c r="C119" s="45" t="s">
        <v>294</v>
      </c>
      <c r="D119" s="47"/>
      <c r="E119" s="45" t="s">
        <v>296</v>
      </c>
      <c r="F119" s="45" t="s">
        <v>297</v>
      </c>
      <c r="G119" s="45" t="s">
        <v>298</v>
      </c>
      <c r="H119" s="45" t="s">
        <v>307</v>
      </c>
      <c r="I119" s="45" t="s">
        <v>308</v>
      </c>
      <c r="J119" s="45">
        <v>73791</v>
      </c>
      <c r="K119" s="45" t="s">
        <v>310</v>
      </c>
      <c r="L119" s="48">
        <v>21</v>
      </c>
      <c r="M119" s="49">
        <v>20240930313</v>
      </c>
      <c r="N119" s="50" t="s">
        <v>28</v>
      </c>
      <c r="O119" s="50"/>
      <c r="P119" s="50"/>
      <c r="Q119" s="51"/>
      <c r="R119" s="50"/>
      <c r="S119" s="50"/>
      <c r="T119" s="50"/>
      <c r="U119" s="50"/>
    </row>
    <row r="120" spans="1:21" x14ac:dyDescent="0.25">
      <c r="A120" s="45" t="s">
        <v>70</v>
      </c>
      <c r="B120" s="46">
        <v>45594</v>
      </c>
      <c r="C120" s="45" t="s">
        <v>294</v>
      </c>
      <c r="D120" s="47"/>
      <c r="E120" s="45" t="s">
        <v>296</v>
      </c>
      <c r="F120" s="45" t="s">
        <v>297</v>
      </c>
      <c r="G120" s="45" t="s">
        <v>298</v>
      </c>
      <c r="H120" s="45" t="s">
        <v>307</v>
      </c>
      <c r="I120" s="45" t="s">
        <v>308</v>
      </c>
      <c r="J120" s="45">
        <v>73791</v>
      </c>
      <c r="K120" s="45" t="s">
        <v>311</v>
      </c>
      <c r="L120" s="48">
        <v>42</v>
      </c>
      <c r="M120" s="49">
        <v>20240930317</v>
      </c>
      <c r="N120" s="50" t="s">
        <v>28</v>
      </c>
      <c r="O120" s="50"/>
      <c r="P120" s="50"/>
      <c r="Q120" s="51"/>
      <c r="R120" s="50"/>
      <c r="S120" s="50"/>
      <c r="T120" s="50"/>
      <c r="U120" s="50"/>
    </row>
    <row r="121" spans="1:21" x14ac:dyDescent="0.25">
      <c r="A121" s="45" t="s">
        <v>70</v>
      </c>
      <c r="B121" s="46">
        <v>45594</v>
      </c>
      <c r="C121" s="45" t="s">
        <v>294</v>
      </c>
      <c r="D121" s="47"/>
      <c r="E121" s="45" t="s">
        <v>296</v>
      </c>
      <c r="F121" s="45" t="s">
        <v>297</v>
      </c>
      <c r="G121" s="45" t="s">
        <v>298</v>
      </c>
      <c r="H121" s="45" t="s">
        <v>312</v>
      </c>
      <c r="I121" s="45" t="s">
        <v>313</v>
      </c>
      <c r="J121" s="45">
        <v>75606</v>
      </c>
      <c r="K121" s="45" t="s">
        <v>184</v>
      </c>
      <c r="L121" s="48">
        <v>230.37</v>
      </c>
      <c r="M121" s="49">
        <v>20241002219</v>
      </c>
      <c r="N121" s="50" t="s">
        <v>28</v>
      </c>
      <c r="O121" s="50"/>
      <c r="P121" s="50"/>
      <c r="Q121" s="51"/>
      <c r="R121" s="50"/>
      <c r="S121" s="50"/>
      <c r="T121" s="50"/>
      <c r="U121" s="50"/>
    </row>
    <row r="122" spans="1:21" x14ac:dyDescent="0.25">
      <c r="A122" s="45" t="s">
        <v>314</v>
      </c>
      <c r="B122" s="46">
        <v>45594</v>
      </c>
      <c r="C122" s="45" t="s">
        <v>294</v>
      </c>
      <c r="D122" s="47"/>
      <c r="E122" s="45" t="s">
        <v>296</v>
      </c>
      <c r="F122" s="45" t="s">
        <v>297</v>
      </c>
      <c r="G122" s="45" t="s">
        <v>315</v>
      </c>
      <c r="H122" s="45" t="s">
        <v>316</v>
      </c>
      <c r="I122" s="45" t="s">
        <v>317</v>
      </c>
      <c r="J122" s="45">
        <v>13660346</v>
      </c>
      <c r="K122" s="45" t="s">
        <v>223</v>
      </c>
      <c r="L122" s="48">
        <v>132</v>
      </c>
      <c r="M122" s="49">
        <v>202410011955</v>
      </c>
      <c r="N122" s="50" t="s">
        <v>28</v>
      </c>
      <c r="O122" s="50"/>
      <c r="P122" s="50"/>
      <c r="Q122" s="51"/>
      <c r="R122" s="50"/>
      <c r="S122" s="50"/>
      <c r="T122" s="50"/>
      <c r="U122" s="50"/>
    </row>
    <row r="123" spans="1:21" x14ac:dyDescent="0.25">
      <c r="A123" s="45" t="s">
        <v>29</v>
      </c>
      <c r="B123" s="46">
        <v>45594</v>
      </c>
      <c r="C123" s="45" t="s">
        <v>294</v>
      </c>
      <c r="D123" s="47"/>
      <c r="E123" s="45" t="s">
        <v>296</v>
      </c>
      <c r="F123" s="45" t="s">
        <v>297</v>
      </c>
      <c r="G123" s="45" t="s">
        <v>315</v>
      </c>
      <c r="H123" s="45" t="s">
        <v>316</v>
      </c>
      <c r="I123" s="45" t="s">
        <v>317</v>
      </c>
      <c r="J123" s="45">
        <v>13660346</v>
      </c>
      <c r="K123" s="45" t="s">
        <v>318</v>
      </c>
      <c r="L123" s="48">
        <v>3000</v>
      </c>
      <c r="M123" s="49">
        <v>20241002181</v>
      </c>
      <c r="N123" s="50" t="s">
        <v>28</v>
      </c>
      <c r="O123" s="50"/>
      <c r="P123" s="50"/>
      <c r="Q123" s="51"/>
      <c r="R123" s="50"/>
      <c r="S123" s="50"/>
      <c r="T123" s="50"/>
      <c r="U123" s="50"/>
    </row>
    <row r="124" spans="1:21" x14ac:dyDescent="0.25">
      <c r="A124" s="45" t="s">
        <v>20</v>
      </c>
      <c r="B124" s="46">
        <v>45594</v>
      </c>
      <c r="C124" s="45" t="s">
        <v>294</v>
      </c>
      <c r="D124" s="47"/>
      <c r="E124" s="45" t="s">
        <v>296</v>
      </c>
      <c r="F124" s="45" t="s">
        <v>297</v>
      </c>
      <c r="G124" s="45" t="s">
        <v>210</v>
      </c>
      <c r="H124" s="45" t="s">
        <v>319</v>
      </c>
      <c r="I124" s="45" t="s">
        <v>320</v>
      </c>
      <c r="J124" s="45">
        <v>23441226</v>
      </c>
      <c r="K124" s="45" t="s">
        <v>223</v>
      </c>
      <c r="L124" s="48">
        <v>40</v>
      </c>
      <c r="M124" s="49">
        <v>20240930763</v>
      </c>
      <c r="N124" s="50" t="s">
        <v>28</v>
      </c>
      <c r="O124" s="50"/>
      <c r="P124" s="50"/>
      <c r="Q124" s="51"/>
      <c r="R124" s="50"/>
      <c r="S124" s="50"/>
      <c r="T124" s="50"/>
      <c r="U124" s="50"/>
    </row>
    <row r="125" spans="1:21" x14ac:dyDescent="0.25">
      <c r="A125" s="45" t="s">
        <v>29</v>
      </c>
      <c r="B125" s="46">
        <v>45594</v>
      </c>
      <c r="C125" s="45" t="s">
        <v>294</v>
      </c>
      <c r="D125" s="47"/>
      <c r="E125" s="45" t="s">
        <v>296</v>
      </c>
      <c r="F125" s="45" t="s">
        <v>297</v>
      </c>
      <c r="G125" s="45" t="s">
        <v>321</v>
      </c>
      <c r="H125" s="45" t="s">
        <v>322</v>
      </c>
      <c r="I125" s="45" t="s">
        <v>323</v>
      </c>
      <c r="J125" s="45">
        <v>30130401</v>
      </c>
      <c r="K125" s="45" t="s">
        <v>237</v>
      </c>
      <c r="L125" s="48">
        <v>3653.74</v>
      </c>
      <c r="M125" s="49">
        <v>20241003463</v>
      </c>
      <c r="N125" s="50" t="s">
        <v>28</v>
      </c>
      <c r="O125" s="50"/>
      <c r="P125" s="50"/>
      <c r="Q125" s="51"/>
      <c r="R125" s="50"/>
      <c r="S125" s="50"/>
      <c r="T125" s="50"/>
      <c r="U125" s="50"/>
    </row>
    <row r="126" spans="1:21" x14ac:dyDescent="0.25">
      <c r="A126" s="45" t="s">
        <v>324</v>
      </c>
      <c r="B126" s="46">
        <v>45594</v>
      </c>
      <c r="C126" s="45" t="s">
        <v>294</v>
      </c>
      <c r="D126" s="47"/>
      <c r="E126" s="45" t="s">
        <v>325</v>
      </c>
      <c r="F126" s="45" t="s">
        <v>278</v>
      </c>
      <c r="G126" s="45" t="s">
        <v>326</v>
      </c>
      <c r="H126" s="45" t="s">
        <v>327</v>
      </c>
      <c r="I126" s="45" t="s">
        <v>328</v>
      </c>
      <c r="J126" s="45">
        <v>219139746</v>
      </c>
      <c r="K126" s="45" t="s">
        <v>187</v>
      </c>
      <c r="L126" s="48">
        <v>20.32</v>
      </c>
      <c r="M126" s="49">
        <v>20241003796</v>
      </c>
      <c r="N126" s="50" t="s">
        <v>28</v>
      </c>
      <c r="O126" s="50"/>
      <c r="P126" s="50"/>
      <c r="Q126" s="51"/>
      <c r="R126" s="50"/>
      <c r="S126" s="50"/>
      <c r="T126" s="50"/>
      <c r="U126" s="50"/>
    </row>
    <row r="127" spans="1:21" x14ac:dyDescent="0.25">
      <c r="A127" s="45" t="s">
        <v>324</v>
      </c>
      <c r="B127" s="46">
        <v>45594</v>
      </c>
      <c r="C127" s="45" t="s">
        <v>294</v>
      </c>
      <c r="D127" s="47"/>
      <c r="E127" s="45" t="s">
        <v>325</v>
      </c>
      <c r="F127" s="45" t="s">
        <v>278</v>
      </c>
      <c r="G127" s="45" t="s">
        <v>326</v>
      </c>
      <c r="H127" s="45" t="s">
        <v>329</v>
      </c>
      <c r="I127" s="45" t="s">
        <v>330</v>
      </c>
      <c r="J127" s="45">
        <v>237936224</v>
      </c>
      <c r="K127" s="45" t="s">
        <v>56</v>
      </c>
      <c r="L127" s="48">
        <v>140</v>
      </c>
      <c r="M127" s="49">
        <v>20241003798</v>
      </c>
      <c r="N127" s="50" t="s">
        <v>28</v>
      </c>
      <c r="O127" s="50"/>
      <c r="P127" s="50"/>
      <c r="Q127" s="51"/>
      <c r="R127" s="50"/>
      <c r="S127" s="50"/>
      <c r="T127" s="50"/>
      <c r="U127" s="50"/>
    </row>
    <row r="128" spans="1:21" ht="25.5" x14ac:dyDescent="0.25">
      <c r="A128" s="45" t="s">
        <v>233</v>
      </c>
      <c r="B128" s="46">
        <v>45594</v>
      </c>
      <c r="C128" s="45" t="s">
        <v>294</v>
      </c>
      <c r="D128" s="47"/>
      <c r="E128" s="45" t="s">
        <v>325</v>
      </c>
      <c r="F128" s="45" t="s">
        <v>278</v>
      </c>
      <c r="G128" s="45" t="s">
        <v>247</v>
      </c>
      <c r="H128" s="45" t="s">
        <v>331</v>
      </c>
      <c r="I128" s="45" t="s">
        <v>332</v>
      </c>
      <c r="J128" s="45">
        <v>278841270</v>
      </c>
      <c r="K128" s="45" t="s">
        <v>53</v>
      </c>
      <c r="L128" s="48">
        <v>198.04</v>
      </c>
      <c r="M128" s="49">
        <v>20240927344</v>
      </c>
      <c r="N128" s="50" t="s">
        <v>28</v>
      </c>
      <c r="O128" s="50"/>
      <c r="P128" s="50"/>
      <c r="Q128" s="51"/>
      <c r="R128" s="50"/>
      <c r="S128" s="50"/>
      <c r="T128" s="50"/>
      <c r="U128" s="50"/>
    </row>
    <row r="129" spans="1:21" ht="25.5" x14ac:dyDescent="0.25">
      <c r="A129" s="45" t="s">
        <v>233</v>
      </c>
      <c r="B129" s="46">
        <v>45594</v>
      </c>
      <c r="C129" s="45" t="s">
        <v>294</v>
      </c>
      <c r="D129" s="47"/>
      <c r="E129" s="45" t="s">
        <v>325</v>
      </c>
      <c r="F129" s="45" t="s">
        <v>278</v>
      </c>
      <c r="G129" s="45" t="s">
        <v>247</v>
      </c>
      <c r="H129" s="45" t="s">
        <v>331</v>
      </c>
      <c r="I129" s="45" t="s">
        <v>332</v>
      </c>
      <c r="J129" s="45">
        <v>278841270</v>
      </c>
      <c r="K129" s="45" t="s">
        <v>123</v>
      </c>
      <c r="L129" s="48">
        <v>198.04</v>
      </c>
      <c r="M129" s="49">
        <v>20240927341</v>
      </c>
      <c r="N129" s="50" t="s">
        <v>28</v>
      </c>
      <c r="O129" s="50"/>
      <c r="P129" s="50"/>
      <c r="Q129" s="51"/>
      <c r="R129" s="50"/>
      <c r="S129" s="50"/>
      <c r="T129" s="50"/>
      <c r="U129" s="50"/>
    </row>
    <row r="130" spans="1:21" ht="25.5" x14ac:dyDescent="0.25">
      <c r="A130" s="45" t="s">
        <v>233</v>
      </c>
      <c r="B130" s="46">
        <v>45594</v>
      </c>
      <c r="C130" s="45" t="s">
        <v>294</v>
      </c>
      <c r="D130" s="47"/>
      <c r="E130" s="45" t="s">
        <v>325</v>
      </c>
      <c r="F130" s="45" t="s">
        <v>278</v>
      </c>
      <c r="G130" s="45" t="s">
        <v>333</v>
      </c>
      <c r="H130" s="45" t="s">
        <v>334</v>
      </c>
      <c r="I130" s="45" t="s">
        <v>335</v>
      </c>
      <c r="J130" s="45">
        <v>327844340</v>
      </c>
      <c r="K130" s="45" t="s">
        <v>336</v>
      </c>
      <c r="L130" s="48">
        <v>25.9</v>
      </c>
      <c r="M130" s="49">
        <v>20241001821</v>
      </c>
      <c r="N130" s="50" t="s">
        <v>28</v>
      </c>
      <c r="O130" s="50"/>
      <c r="P130" s="50"/>
      <c r="Q130" s="51"/>
      <c r="R130" s="50"/>
      <c r="S130" s="50"/>
      <c r="T130" s="50"/>
      <c r="U130" s="50"/>
    </row>
    <row r="131" spans="1:21" ht="25.5" x14ac:dyDescent="0.25">
      <c r="A131" s="45" t="s">
        <v>233</v>
      </c>
      <c r="B131" s="46">
        <v>45594</v>
      </c>
      <c r="C131" s="45" t="s">
        <v>294</v>
      </c>
      <c r="D131" s="47"/>
      <c r="E131" s="45" t="s">
        <v>325</v>
      </c>
      <c r="F131" s="45" t="s">
        <v>278</v>
      </c>
      <c r="G131" s="45" t="s">
        <v>333</v>
      </c>
      <c r="H131" s="45" t="s">
        <v>334</v>
      </c>
      <c r="I131" s="45" t="s">
        <v>335</v>
      </c>
      <c r="J131" s="45">
        <v>327844340</v>
      </c>
      <c r="K131" s="45" t="s">
        <v>271</v>
      </c>
      <c r="L131" s="48">
        <v>42.68</v>
      </c>
      <c r="M131" s="49">
        <v>20241001822</v>
      </c>
      <c r="N131" s="50" t="s">
        <v>28</v>
      </c>
      <c r="O131" s="50"/>
      <c r="P131" s="50"/>
      <c r="Q131" s="51"/>
      <c r="R131" s="50"/>
      <c r="S131" s="50"/>
      <c r="T131" s="50"/>
      <c r="U131" s="50"/>
    </row>
    <row r="132" spans="1:21" ht="25.5" x14ac:dyDescent="0.25">
      <c r="A132" s="45" t="s">
        <v>233</v>
      </c>
      <c r="B132" s="46">
        <v>45594</v>
      </c>
      <c r="C132" s="45" t="s">
        <v>294</v>
      </c>
      <c r="D132" s="47"/>
      <c r="E132" s="45" t="s">
        <v>325</v>
      </c>
      <c r="F132" s="45" t="s">
        <v>278</v>
      </c>
      <c r="G132" s="45" t="s">
        <v>333</v>
      </c>
      <c r="H132" s="45" t="s">
        <v>334</v>
      </c>
      <c r="I132" s="45" t="s">
        <v>335</v>
      </c>
      <c r="J132" s="45">
        <v>327844340</v>
      </c>
      <c r="K132" s="45" t="s">
        <v>76</v>
      </c>
      <c r="L132" s="48">
        <v>203.95</v>
      </c>
      <c r="M132" s="49">
        <v>20241001819</v>
      </c>
      <c r="N132" s="50" t="s">
        <v>28</v>
      </c>
      <c r="O132" s="50"/>
      <c r="P132" s="50"/>
      <c r="Q132" s="51"/>
      <c r="R132" s="50"/>
      <c r="S132" s="50"/>
      <c r="T132" s="50"/>
      <c r="U132" s="50"/>
    </row>
    <row r="133" spans="1:21" ht="25.5" x14ac:dyDescent="0.25">
      <c r="A133" s="45" t="s">
        <v>233</v>
      </c>
      <c r="B133" s="46">
        <v>45594</v>
      </c>
      <c r="C133" s="45" t="s">
        <v>294</v>
      </c>
      <c r="D133" s="47"/>
      <c r="E133" s="45" t="s">
        <v>325</v>
      </c>
      <c r="F133" s="45" t="s">
        <v>278</v>
      </c>
      <c r="G133" s="45" t="s">
        <v>333</v>
      </c>
      <c r="H133" s="45" t="s">
        <v>334</v>
      </c>
      <c r="I133" s="45" t="s">
        <v>335</v>
      </c>
      <c r="J133" s="45">
        <v>327844340</v>
      </c>
      <c r="K133" s="45" t="s">
        <v>337</v>
      </c>
      <c r="L133" s="48">
        <v>11.57</v>
      </c>
      <c r="M133" s="49">
        <v>20241001820</v>
      </c>
      <c r="N133" s="50" t="s">
        <v>28</v>
      </c>
      <c r="O133" s="50"/>
      <c r="P133" s="50"/>
      <c r="Q133" s="51"/>
      <c r="R133" s="50"/>
      <c r="S133" s="50"/>
      <c r="T133" s="50"/>
      <c r="U133" s="50"/>
    </row>
    <row r="134" spans="1:21" ht="25.5" x14ac:dyDescent="0.25">
      <c r="A134" s="45" t="s">
        <v>233</v>
      </c>
      <c r="B134" s="46">
        <v>45594</v>
      </c>
      <c r="C134" s="45" t="s">
        <v>294</v>
      </c>
      <c r="D134" s="47"/>
      <c r="E134" s="45" t="s">
        <v>325</v>
      </c>
      <c r="F134" s="45" t="s">
        <v>278</v>
      </c>
      <c r="G134" s="45" t="s">
        <v>338</v>
      </c>
      <c r="H134" s="45" t="s">
        <v>339</v>
      </c>
      <c r="I134" s="45" t="s">
        <v>340</v>
      </c>
      <c r="J134" s="45">
        <v>368986597</v>
      </c>
      <c r="K134" s="45" t="s">
        <v>268</v>
      </c>
      <c r="L134" s="48">
        <v>24.19</v>
      </c>
      <c r="M134" s="49">
        <v>20240926353</v>
      </c>
      <c r="N134" s="50" t="s">
        <v>28</v>
      </c>
      <c r="O134" s="50"/>
      <c r="P134" s="50"/>
      <c r="Q134" s="51"/>
      <c r="R134" s="50"/>
      <c r="S134" s="50"/>
      <c r="T134" s="50"/>
      <c r="U134" s="50"/>
    </row>
    <row r="135" spans="1:21" x14ac:dyDescent="0.25">
      <c r="A135" s="45" t="s">
        <v>324</v>
      </c>
      <c r="B135" s="46">
        <v>45594</v>
      </c>
      <c r="C135" s="45" t="s">
        <v>294</v>
      </c>
      <c r="D135" s="47"/>
      <c r="E135" s="45" t="s">
        <v>325</v>
      </c>
      <c r="F135" s="45" t="s">
        <v>278</v>
      </c>
      <c r="G135" s="45" t="s">
        <v>326</v>
      </c>
      <c r="H135" s="45" t="s">
        <v>341</v>
      </c>
      <c r="I135" s="45" t="s">
        <v>342</v>
      </c>
      <c r="J135" s="45">
        <v>413574518</v>
      </c>
      <c r="K135" s="45" t="s">
        <v>56</v>
      </c>
      <c r="L135" s="48">
        <v>493.2</v>
      </c>
      <c r="M135" s="49">
        <v>20241002831</v>
      </c>
      <c r="N135" s="50" t="s">
        <v>28</v>
      </c>
      <c r="O135" s="50"/>
      <c r="P135" s="50"/>
      <c r="Q135" s="51"/>
      <c r="R135" s="50"/>
      <c r="S135" s="50"/>
      <c r="T135" s="50"/>
      <c r="U135" s="50"/>
    </row>
    <row r="136" spans="1:21" x14ac:dyDescent="0.25">
      <c r="A136" s="45" t="s">
        <v>324</v>
      </c>
      <c r="B136" s="46">
        <v>45594</v>
      </c>
      <c r="C136" s="45" t="s">
        <v>294</v>
      </c>
      <c r="D136" s="47"/>
      <c r="E136" s="45" t="s">
        <v>325</v>
      </c>
      <c r="F136" s="45" t="s">
        <v>278</v>
      </c>
      <c r="G136" s="45" t="s">
        <v>326</v>
      </c>
      <c r="H136" s="45" t="s">
        <v>343</v>
      </c>
      <c r="I136" s="45" t="s">
        <v>344</v>
      </c>
      <c r="J136" s="45">
        <v>439714579</v>
      </c>
      <c r="K136" s="45" t="s">
        <v>56</v>
      </c>
      <c r="L136" s="48">
        <v>544.80999999999995</v>
      </c>
      <c r="M136" s="49">
        <v>20241004784</v>
      </c>
      <c r="N136" s="50" t="s">
        <v>28</v>
      </c>
      <c r="O136" s="50"/>
      <c r="P136" s="50"/>
      <c r="Q136" s="51"/>
      <c r="R136" s="50"/>
      <c r="S136" s="50"/>
      <c r="T136" s="50"/>
      <c r="U136" s="50"/>
    </row>
    <row r="137" spans="1:21" x14ac:dyDescent="0.25">
      <c r="A137" s="45" t="s">
        <v>324</v>
      </c>
      <c r="B137" s="46">
        <v>45594</v>
      </c>
      <c r="C137" s="45" t="s">
        <v>294</v>
      </c>
      <c r="D137" s="47"/>
      <c r="E137" s="45" t="s">
        <v>325</v>
      </c>
      <c r="F137" s="45" t="s">
        <v>278</v>
      </c>
      <c r="G137" s="45" t="s">
        <v>326</v>
      </c>
      <c r="H137" s="45" t="s">
        <v>345</v>
      </c>
      <c r="I137" s="45" t="s">
        <v>346</v>
      </c>
      <c r="J137" s="45">
        <v>449374659</v>
      </c>
      <c r="K137" s="45" t="s">
        <v>56</v>
      </c>
      <c r="L137" s="48">
        <v>893</v>
      </c>
      <c r="M137" s="49">
        <v>20241002832</v>
      </c>
      <c r="N137" s="50" t="s">
        <v>28</v>
      </c>
      <c r="O137" s="50"/>
      <c r="P137" s="50"/>
      <c r="Q137" s="51"/>
      <c r="R137" s="50"/>
      <c r="S137" s="50"/>
      <c r="T137" s="50"/>
      <c r="U137" s="50"/>
    </row>
    <row r="138" spans="1:21" x14ac:dyDescent="0.25">
      <c r="A138" s="45" t="s">
        <v>29</v>
      </c>
      <c r="B138" s="46">
        <v>45594</v>
      </c>
      <c r="C138" s="45" t="s">
        <v>294</v>
      </c>
      <c r="D138" s="47"/>
      <c r="E138" s="45" t="s">
        <v>325</v>
      </c>
      <c r="F138" s="45" t="s">
        <v>278</v>
      </c>
      <c r="G138" s="45" t="s">
        <v>347</v>
      </c>
      <c r="H138" s="45" t="s">
        <v>348</v>
      </c>
      <c r="I138" s="45" t="s">
        <v>349</v>
      </c>
      <c r="J138" s="45">
        <v>452756767</v>
      </c>
      <c r="K138" s="45" t="s">
        <v>104</v>
      </c>
      <c r="L138" s="48">
        <v>414</v>
      </c>
      <c r="M138" s="49">
        <v>20241004768</v>
      </c>
      <c r="N138" s="50" t="s">
        <v>28</v>
      </c>
      <c r="O138" s="50"/>
      <c r="P138" s="50"/>
      <c r="Q138" s="51"/>
      <c r="R138" s="50"/>
      <c r="S138" s="50"/>
      <c r="T138" s="50"/>
      <c r="U138" s="50"/>
    </row>
    <row r="139" spans="1:21" x14ac:dyDescent="0.25">
      <c r="A139" s="45" t="s">
        <v>324</v>
      </c>
      <c r="B139" s="46">
        <v>45594</v>
      </c>
      <c r="C139" s="45" t="s">
        <v>294</v>
      </c>
      <c r="D139" s="47"/>
      <c r="E139" s="45" t="s">
        <v>325</v>
      </c>
      <c r="F139" s="45" t="s">
        <v>278</v>
      </c>
      <c r="G139" s="45" t="s">
        <v>326</v>
      </c>
      <c r="H139" s="45" t="s">
        <v>350</v>
      </c>
      <c r="I139" s="45" t="s">
        <v>351</v>
      </c>
      <c r="J139" s="45">
        <v>455657256</v>
      </c>
      <c r="K139" s="45" t="s">
        <v>56</v>
      </c>
      <c r="L139" s="48">
        <v>527.17999999999995</v>
      </c>
      <c r="M139" s="49">
        <v>20241001827</v>
      </c>
      <c r="N139" s="50" t="s">
        <v>28</v>
      </c>
      <c r="O139" s="50"/>
      <c r="P139" s="50"/>
      <c r="Q139" s="51"/>
      <c r="R139" s="50"/>
      <c r="S139" s="50"/>
      <c r="T139" s="50"/>
      <c r="U139" s="50"/>
    </row>
    <row r="140" spans="1:21" x14ac:dyDescent="0.25">
      <c r="A140" s="45" t="s">
        <v>324</v>
      </c>
      <c r="B140" s="46">
        <v>45587</v>
      </c>
      <c r="C140" s="45" t="s">
        <v>352</v>
      </c>
      <c r="D140" s="47"/>
      <c r="E140" s="45" t="s">
        <v>325</v>
      </c>
      <c r="F140" s="45" t="s">
        <v>278</v>
      </c>
      <c r="G140" s="45" t="s">
        <v>326</v>
      </c>
      <c r="H140" s="45" t="s">
        <v>350</v>
      </c>
      <c r="I140" s="45" t="s">
        <v>351</v>
      </c>
      <c r="J140" s="45">
        <v>455657256</v>
      </c>
      <c r="K140" s="45" t="s">
        <v>56</v>
      </c>
      <c r="L140" s="48">
        <v>37.5</v>
      </c>
      <c r="M140" s="49">
        <v>20241002827</v>
      </c>
      <c r="N140" s="50" t="s">
        <v>28</v>
      </c>
      <c r="O140" s="50"/>
      <c r="P140" s="50"/>
      <c r="Q140" s="51"/>
      <c r="R140" s="50"/>
      <c r="S140" s="50"/>
      <c r="T140" s="50"/>
      <c r="U140" s="50"/>
    </row>
    <row r="141" spans="1:21" ht="25.5" x14ac:dyDescent="0.25">
      <c r="A141" s="45" t="s">
        <v>233</v>
      </c>
      <c r="B141" s="46">
        <v>45587</v>
      </c>
      <c r="C141" s="45" t="s">
        <v>352</v>
      </c>
      <c r="D141" s="47"/>
      <c r="E141" s="45" t="s">
        <v>353</v>
      </c>
      <c r="F141" s="45" t="s">
        <v>354</v>
      </c>
      <c r="G141" s="45" t="s">
        <v>355</v>
      </c>
      <c r="H141" s="45" t="s">
        <v>356</v>
      </c>
      <c r="I141" s="45" t="s">
        <v>357</v>
      </c>
      <c r="J141" s="45">
        <v>557735002</v>
      </c>
      <c r="K141" s="45" t="s">
        <v>358</v>
      </c>
      <c r="L141" s="48">
        <v>20</v>
      </c>
      <c r="M141" s="49">
        <v>20240923156</v>
      </c>
      <c r="N141" s="50" t="s">
        <v>28</v>
      </c>
      <c r="O141" s="50"/>
      <c r="P141" s="50"/>
      <c r="Q141" s="51"/>
      <c r="R141" s="50"/>
      <c r="S141" s="50"/>
      <c r="T141" s="50"/>
      <c r="U141" s="50"/>
    </row>
    <row r="142" spans="1:21" ht="25.5" x14ac:dyDescent="0.25">
      <c r="A142" s="45" t="s">
        <v>233</v>
      </c>
      <c r="B142" s="46">
        <v>45587</v>
      </c>
      <c r="C142" s="45" t="s">
        <v>352</v>
      </c>
      <c r="D142" s="47"/>
      <c r="E142" s="45" t="s">
        <v>353</v>
      </c>
      <c r="F142" s="45" t="s">
        <v>354</v>
      </c>
      <c r="G142" s="45" t="s">
        <v>355</v>
      </c>
      <c r="H142" s="45" t="s">
        <v>356</v>
      </c>
      <c r="I142" s="45" t="s">
        <v>357</v>
      </c>
      <c r="J142" s="45">
        <v>557735002</v>
      </c>
      <c r="K142" s="45" t="s">
        <v>337</v>
      </c>
      <c r="L142" s="48">
        <v>25</v>
      </c>
      <c r="M142" s="49">
        <v>20240923159</v>
      </c>
      <c r="N142" s="50" t="s">
        <v>28</v>
      </c>
      <c r="O142" s="50"/>
      <c r="P142" s="50"/>
      <c r="Q142" s="51"/>
      <c r="R142" s="50"/>
      <c r="S142" s="50"/>
      <c r="T142" s="50"/>
      <c r="U142" s="50"/>
    </row>
    <row r="143" spans="1:21" x14ac:dyDescent="0.25">
      <c r="A143" s="45" t="s">
        <v>29</v>
      </c>
      <c r="B143" s="46">
        <v>45587</v>
      </c>
      <c r="C143" s="45" t="s">
        <v>352</v>
      </c>
      <c r="D143" s="47"/>
      <c r="E143" s="45" t="s">
        <v>353</v>
      </c>
      <c r="F143" s="45" t="s">
        <v>354</v>
      </c>
      <c r="G143" s="45" t="s">
        <v>30</v>
      </c>
      <c r="H143" s="45" t="s">
        <v>359</v>
      </c>
      <c r="I143" s="45" t="s">
        <v>360</v>
      </c>
      <c r="J143" s="45">
        <v>561954522</v>
      </c>
      <c r="K143" s="45" t="s">
        <v>184</v>
      </c>
      <c r="L143" s="48">
        <v>46</v>
      </c>
      <c r="M143" s="49">
        <v>20240918234</v>
      </c>
      <c r="N143" s="50" t="s">
        <v>28</v>
      </c>
      <c r="O143" s="50"/>
      <c r="P143" s="50"/>
      <c r="Q143" s="51"/>
      <c r="R143" s="50"/>
      <c r="S143" s="50"/>
      <c r="T143" s="50"/>
      <c r="U143" s="50"/>
    </row>
    <row r="144" spans="1:21" ht="25.5" x14ac:dyDescent="0.25">
      <c r="A144" s="45" t="s">
        <v>20</v>
      </c>
      <c r="B144" s="46">
        <v>45587</v>
      </c>
      <c r="C144" s="45" t="s">
        <v>352</v>
      </c>
      <c r="D144" s="47"/>
      <c r="E144" s="45" t="s">
        <v>353</v>
      </c>
      <c r="F144" s="45" t="s">
        <v>354</v>
      </c>
      <c r="G144" s="45" t="s">
        <v>361</v>
      </c>
      <c r="H144" s="45" t="s">
        <v>362</v>
      </c>
      <c r="I144" s="45" t="s">
        <v>363</v>
      </c>
      <c r="J144" s="45">
        <v>564774791</v>
      </c>
      <c r="K144" s="45" t="s">
        <v>256</v>
      </c>
      <c r="L144" s="48">
        <v>260.60000000000002</v>
      </c>
      <c r="M144" s="49">
        <v>20240930265</v>
      </c>
      <c r="N144" s="50" t="s">
        <v>28</v>
      </c>
      <c r="O144" s="50"/>
      <c r="P144" s="50"/>
      <c r="Q144" s="51"/>
      <c r="R144" s="50"/>
      <c r="S144" s="50"/>
      <c r="T144" s="50"/>
      <c r="U144" s="50"/>
    </row>
    <row r="145" spans="1:21" ht="25.5" x14ac:dyDescent="0.25">
      <c r="A145" s="45" t="s">
        <v>29</v>
      </c>
      <c r="B145" s="46">
        <v>45587</v>
      </c>
      <c r="C145" s="45" t="s">
        <v>352</v>
      </c>
      <c r="D145" s="47"/>
      <c r="E145" s="45" t="s">
        <v>353</v>
      </c>
      <c r="F145" s="45" t="s">
        <v>354</v>
      </c>
      <c r="G145" s="45" t="s">
        <v>361</v>
      </c>
      <c r="H145" s="45" t="s">
        <v>362</v>
      </c>
      <c r="I145" s="45" t="s">
        <v>363</v>
      </c>
      <c r="J145" s="45">
        <v>564774791</v>
      </c>
      <c r="K145" s="45" t="s">
        <v>48</v>
      </c>
      <c r="L145" s="48">
        <v>175</v>
      </c>
      <c r="M145" s="49">
        <v>20240930262</v>
      </c>
      <c r="N145" s="50" t="s">
        <v>28</v>
      </c>
      <c r="O145" s="50"/>
      <c r="P145" s="50"/>
      <c r="Q145" s="51"/>
      <c r="R145" s="50"/>
      <c r="S145" s="50"/>
      <c r="T145" s="50"/>
      <c r="U145" s="50"/>
    </row>
    <row r="146" spans="1:21" ht="25.5" x14ac:dyDescent="0.25">
      <c r="A146" s="45" t="s">
        <v>20</v>
      </c>
      <c r="B146" s="46">
        <v>45587</v>
      </c>
      <c r="C146" s="45" t="s">
        <v>352</v>
      </c>
      <c r="D146" s="47"/>
      <c r="E146" s="45" t="s">
        <v>353</v>
      </c>
      <c r="F146" s="45" t="s">
        <v>354</v>
      </c>
      <c r="G146" s="45" t="s">
        <v>361</v>
      </c>
      <c r="H146" s="45" t="s">
        <v>362</v>
      </c>
      <c r="I146" s="45" t="s">
        <v>363</v>
      </c>
      <c r="J146" s="45">
        <v>564774791</v>
      </c>
      <c r="K146" s="45" t="s">
        <v>364</v>
      </c>
      <c r="L146" s="48">
        <v>41</v>
      </c>
      <c r="M146" s="49">
        <v>20240930267</v>
      </c>
      <c r="N146" s="50" t="s">
        <v>28</v>
      </c>
      <c r="O146" s="50"/>
      <c r="P146" s="50"/>
      <c r="Q146" s="51"/>
      <c r="R146" s="50"/>
      <c r="S146" s="50"/>
      <c r="T146" s="50"/>
      <c r="U146" s="50"/>
    </row>
    <row r="147" spans="1:21" ht="25.5" x14ac:dyDescent="0.25">
      <c r="A147" s="45" t="s">
        <v>29</v>
      </c>
      <c r="B147" s="46">
        <v>45587</v>
      </c>
      <c r="C147" s="45" t="s">
        <v>352</v>
      </c>
      <c r="D147" s="47"/>
      <c r="E147" s="45" t="s">
        <v>353</v>
      </c>
      <c r="F147" s="45" t="s">
        <v>354</v>
      </c>
      <c r="G147" s="45" t="s">
        <v>361</v>
      </c>
      <c r="H147" s="45" t="s">
        <v>362</v>
      </c>
      <c r="I147" s="45" t="s">
        <v>363</v>
      </c>
      <c r="J147" s="45">
        <v>564774791</v>
      </c>
      <c r="K147" s="45" t="s">
        <v>48</v>
      </c>
      <c r="L147" s="48">
        <v>175</v>
      </c>
      <c r="M147" s="49">
        <v>20240930264</v>
      </c>
      <c r="N147" s="50" t="s">
        <v>28</v>
      </c>
      <c r="O147" s="50"/>
      <c r="P147" s="50"/>
      <c r="Q147" s="51"/>
      <c r="R147" s="50"/>
      <c r="S147" s="50"/>
      <c r="T147" s="50"/>
      <c r="U147" s="50"/>
    </row>
    <row r="148" spans="1:21" ht="25.5" x14ac:dyDescent="0.25">
      <c r="A148" s="45" t="s">
        <v>20</v>
      </c>
      <c r="B148" s="46">
        <v>45587</v>
      </c>
      <c r="C148" s="45" t="s">
        <v>352</v>
      </c>
      <c r="D148" s="47"/>
      <c r="E148" s="45" t="s">
        <v>353</v>
      </c>
      <c r="F148" s="45" t="s">
        <v>354</v>
      </c>
      <c r="G148" s="45" t="s">
        <v>361</v>
      </c>
      <c r="H148" s="45" t="s">
        <v>362</v>
      </c>
      <c r="I148" s="45" t="s">
        <v>363</v>
      </c>
      <c r="J148" s="45">
        <v>564774791</v>
      </c>
      <c r="K148" s="45" t="s">
        <v>365</v>
      </c>
      <c r="L148" s="48">
        <v>13.93</v>
      </c>
      <c r="M148" s="49">
        <v>20240930274</v>
      </c>
      <c r="N148" s="50" t="s">
        <v>28</v>
      </c>
      <c r="O148" s="50"/>
      <c r="P148" s="50"/>
      <c r="Q148" s="51"/>
      <c r="R148" s="50"/>
      <c r="S148" s="50"/>
      <c r="T148" s="50"/>
      <c r="U148" s="50"/>
    </row>
    <row r="149" spans="1:21" ht="25.5" x14ac:dyDescent="0.25">
      <c r="A149" s="45" t="s">
        <v>29</v>
      </c>
      <c r="B149" s="46">
        <v>45587</v>
      </c>
      <c r="C149" s="45" t="s">
        <v>352</v>
      </c>
      <c r="D149" s="47"/>
      <c r="E149" s="45" t="s">
        <v>353</v>
      </c>
      <c r="F149" s="45" t="s">
        <v>354</v>
      </c>
      <c r="G149" s="45" t="s">
        <v>361</v>
      </c>
      <c r="H149" s="45" t="s">
        <v>362</v>
      </c>
      <c r="I149" s="45" t="s">
        <v>363</v>
      </c>
      <c r="J149" s="45">
        <v>564774791</v>
      </c>
      <c r="K149" s="45" t="s">
        <v>184</v>
      </c>
      <c r="L149" s="48">
        <v>175</v>
      </c>
      <c r="M149" s="49">
        <v>20240930260</v>
      </c>
      <c r="N149" s="50" t="s">
        <v>28</v>
      </c>
      <c r="O149" s="50"/>
      <c r="P149" s="50"/>
      <c r="Q149" s="51"/>
      <c r="R149" s="50"/>
      <c r="S149" s="50"/>
      <c r="T149" s="50"/>
      <c r="U149" s="50"/>
    </row>
    <row r="150" spans="1:21" ht="25.5" x14ac:dyDescent="0.25">
      <c r="A150" s="45" t="s">
        <v>20</v>
      </c>
      <c r="B150" s="46">
        <v>45587</v>
      </c>
      <c r="C150" s="45" t="s">
        <v>352</v>
      </c>
      <c r="D150" s="47"/>
      <c r="E150" s="45" t="s">
        <v>353</v>
      </c>
      <c r="F150" s="45" t="s">
        <v>354</v>
      </c>
      <c r="G150" s="45" t="s">
        <v>361</v>
      </c>
      <c r="H150" s="45" t="s">
        <v>362</v>
      </c>
      <c r="I150" s="45" t="s">
        <v>363</v>
      </c>
      <c r="J150" s="45">
        <v>564774791</v>
      </c>
      <c r="K150" s="45" t="s">
        <v>366</v>
      </c>
      <c r="L150" s="48">
        <v>314.5</v>
      </c>
      <c r="M150" s="49">
        <v>20240930269</v>
      </c>
      <c r="N150" s="50" t="s">
        <v>28</v>
      </c>
      <c r="O150" s="50"/>
      <c r="P150" s="50"/>
      <c r="Q150" s="51"/>
      <c r="R150" s="50"/>
      <c r="S150" s="50"/>
      <c r="T150" s="50"/>
      <c r="U150" s="50"/>
    </row>
    <row r="151" spans="1:21" ht="25.5" x14ac:dyDescent="0.25">
      <c r="A151" s="45" t="s">
        <v>29</v>
      </c>
      <c r="B151" s="46">
        <v>45587</v>
      </c>
      <c r="C151" s="45" t="s">
        <v>352</v>
      </c>
      <c r="D151" s="47"/>
      <c r="E151" s="45" t="s">
        <v>353</v>
      </c>
      <c r="F151" s="45" t="s">
        <v>354</v>
      </c>
      <c r="G151" s="45" t="s">
        <v>361</v>
      </c>
      <c r="H151" s="45" t="s">
        <v>362</v>
      </c>
      <c r="I151" s="45" t="s">
        <v>363</v>
      </c>
      <c r="J151" s="45">
        <v>564774791</v>
      </c>
      <c r="K151" s="45" t="s">
        <v>184</v>
      </c>
      <c r="L151" s="48">
        <v>175</v>
      </c>
      <c r="M151" s="49">
        <v>20240930258</v>
      </c>
      <c r="N151" s="50" t="s">
        <v>28</v>
      </c>
      <c r="O151" s="50"/>
      <c r="P151" s="50"/>
      <c r="Q151" s="51"/>
      <c r="R151" s="50"/>
      <c r="S151" s="50"/>
      <c r="T151" s="50"/>
      <c r="U151" s="50"/>
    </row>
    <row r="152" spans="1:21" ht="25.5" x14ac:dyDescent="0.25">
      <c r="A152" s="45" t="s">
        <v>20</v>
      </c>
      <c r="B152" s="46">
        <v>45587</v>
      </c>
      <c r="C152" s="45" t="s">
        <v>352</v>
      </c>
      <c r="D152" s="47"/>
      <c r="E152" s="45" t="s">
        <v>353</v>
      </c>
      <c r="F152" s="45" t="s">
        <v>354</v>
      </c>
      <c r="G152" s="45" t="s">
        <v>361</v>
      </c>
      <c r="H152" s="45" t="s">
        <v>362</v>
      </c>
      <c r="I152" s="45" t="s">
        <v>363</v>
      </c>
      <c r="J152" s="45">
        <v>564774791</v>
      </c>
      <c r="K152" s="45" t="s">
        <v>367</v>
      </c>
      <c r="L152" s="48">
        <v>41</v>
      </c>
      <c r="M152" s="49">
        <v>20240930272</v>
      </c>
      <c r="N152" s="50" t="s">
        <v>28</v>
      </c>
      <c r="O152" s="50"/>
      <c r="P152" s="50"/>
      <c r="Q152" s="51"/>
      <c r="R152" s="50"/>
      <c r="S152" s="50"/>
      <c r="T152" s="50"/>
      <c r="U152" s="50"/>
    </row>
    <row r="153" spans="1:21" ht="25.5" x14ac:dyDescent="0.25">
      <c r="A153" s="45" t="s">
        <v>20</v>
      </c>
      <c r="B153" s="46">
        <v>45587</v>
      </c>
      <c r="C153" s="45" t="s">
        <v>352</v>
      </c>
      <c r="D153" s="47"/>
      <c r="E153" s="45" t="s">
        <v>353</v>
      </c>
      <c r="F153" s="45" t="s">
        <v>354</v>
      </c>
      <c r="G153" s="45" t="s">
        <v>361</v>
      </c>
      <c r="H153" s="45" t="s">
        <v>362</v>
      </c>
      <c r="I153" s="45" t="s">
        <v>363</v>
      </c>
      <c r="J153" s="45">
        <v>564774791</v>
      </c>
      <c r="K153" s="45" t="s">
        <v>105</v>
      </c>
      <c r="L153" s="48">
        <v>47.55</v>
      </c>
      <c r="M153" s="49">
        <v>20240930270</v>
      </c>
      <c r="N153" s="50" t="s">
        <v>28</v>
      </c>
      <c r="O153" s="50"/>
      <c r="P153" s="50"/>
      <c r="Q153" s="51"/>
      <c r="R153" s="50"/>
      <c r="S153" s="50"/>
      <c r="T153" s="50"/>
      <c r="U153" s="50"/>
    </row>
    <row r="154" spans="1:21" ht="25.5" x14ac:dyDescent="0.25">
      <c r="A154" s="45" t="s">
        <v>20</v>
      </c>
      <c r="B154" s="46">
        <v>45587</v>
      </c>
      <c r="C154" s="45" t="s">
        <v>352</v>
      </c>
      <c r="D154" s="47"/>
      <c r="E154" s="45" t="s">
        <v>353</v>
      </c>
      <c r="F154" s="45" t="s">
        <v>354</v>
      </c>
      <c r="G154" s="45" t="s">
        <v>361</v>
      </c>
      <c r="H154" s="45" t="s">
        <v>362</v>
      </c>
      <c r="I154" s="45" t="s">
        <v>363</v>
      </c>
      <c r="J154" s="45">
        <v>564774791</v>
      </c>
      <c r="K154" s="45" t="s">
        <v>105</v>
      </c>
      <c r="L154" s="48">
        <v>47.55</v>
      </c>
      <c r="M154" s="49">
        <v>20240930271</v>
      </c>
      <c r="N154" s="50" t="s">
        <v>28</v>
      </c>
      <c r="O154" s="50"/>
      <c r="P154" s="50"/>
      <c r="Q154" s="51"/>
      <c r="R154" s="50"/>
      <c r="S154" s="50"/>
      <c r="T154" s="50"/>
      <c r="U154" s="50"/>
    </row>
    <row r="155" spans="1:21" x14ac:dyDescent="0.25">
      <c r="A155" s="45" t="s">
        <v>20</v>
      </c>
      <c r="B155" s="46">
        <v>45587</v>
      </c>
      <c r="C155" s="45" t="s">
        <v>352</v>
      </c>
      <c r="D155" s="47"/>
      <c r="E155" s="45" t="s">
        <v>353</v>
      </c>
      <c r="F155" s="45" t="s">
        <v>354</v>
      </c>
      <c r="G155" s="45" t="s">
        <v>368</v>
      </c>
      <c r="H155" s="45" t="s">
        <v>84</v>
      </c>
      <c r="I155" s="45" t="s">
        <v>369</v>
      </c>
      <c r="J155" s="45">
        <v>566952452</v>
      </c>
      <c r="K155" s="45" t="s">
        <v>370</v>
      </c>
      <c r="L155" s="48">
        <v>189</v>
      </c>
      <c r="M155" s="49">
        <v>20240909359</v>
      </c>
      <c r="N155" s="50" t="s">
        <v>28</v>
      </c>
      <c r="O155" s="50"/>
      <c r="P155" s="50"/>
      <c r="Q155" s="51"/>
      <c r="R155" s="50"/>
      <c r="S155" s="50"/>
      <c r="T155" s="50"/>
      <c r="U155" s="50"/>
    </row>
    <row r="156" spans="1:21" x14ac:dyDescent="0.25">
      <c r="A156" s="45" t="s">
        <v>324</v>
      </c>
      <c r="B156" s="46">
        <v>45587</v>
      </c>
      <c r="C156" s="45" t="s">
        <v>352</v>
      </c>
      <c r="D156" s="47"/>
      <c r="E156" s="45" t="s">
        <v>371</v>
      </c>
      <c r="F156" s="45" t="s">
        <v>372</v>
      </c>
      <c r="G156" s="45" t="s">
        <v>274</v>
      </c>
      <c r="H156" s="45" t="s">
        <v>373</v>
      </c>
      <c r="I156" s="45" t="s">
        <v>374</v>
      </c>
      <c r="J156" s="45">
        <v>161699349</v>
      </c>
      <c r="K156" s="45" t="s">
        <v>56</v>
      </c>
      <c r="L156" s="48">
        <v>96</v>
      </c>
      <c r="M156" s="49">
        <v>20241003345</v>
      </c>
      <c r="N156" s="50" t="s">
        <v>28</v>
      </c>
      <c r="O156" s="50"/>
      <c r="P156" s="50"/>
      <c r="Q156" s="51"/>
      <c r="R156" s="50"/>
      <c r="S156" s="50"/>
      <c r="T156" s="50"/>
      <c r="U156" s="50"/>
    </row>
    <row r="157" spans="1:21" x14ac:dyDescent="0.25">
      <c r="A157" s="45" t="s">
        <v>375</v>
      </c>
      <c r="B157" s="46">
        <v>45587</v>
      </c>
      <c r="C157" s="45" t="s">
        <v>352</v>
      </c>
      <c r="D157" s="47"/>
      <c r="E157" s="45" t="s">
        <v>371</v>
      </c>
      <c r="F157" s="45" t="s">
        <v>372</v>
      </c>
      <c r="G157" s="45" t="s">
        <v>376</v>
      </c>
      <c r="H157" s="45" t="s">
        <v>377</v>
      </c>
      <c r="I157" s="45" t="s">
        <v>378</v>
      </c>
      <c r="J157" s="45">
        <v>183485860</v>
      </c>
      <c r="K157" s="45" t="s">
        <v>311</v>
      </c>
      <c r="L157" s="48">
        <v>141.76</v>
      </c>
      <c r="M157" s="49">
        <v>20240930346</v>
      </c>
      <c r="N157" s="50" t="s">
        <v>28</v>
      </c>
      <c r="O157" s="50"/>
      <c r="P157" s="50"/>
      <c r="Q157" s="51"/>
      <c r="R157" s="50"/>
      <c r="S157" s="50"/>
      <c r="T157" s="50"/>
      <c r="U157" s="50"/>
    </row>
    <row r="158" spans="1:21" x14ac:dyDescent="0.25">
      <c r="A158" s="45" t="s">
        <v>375</v>
      </c>
      <c r="B158" s="46">
        <v>45587</v>
      </c>
      <c r="C158" s="45" t="s">
        <v>352</v>
      </c>
      <c r="D158" s="47"/>
      <c r="E158" s="45" t="s">
        <v>371</v>
      </c>
      <c r="F158" s="45" t="s">
        <v>372</v>
      </c>
      <c r="G158" s="45" t="s">
        <v>376</v>
      </c>
      <c r="H158" s="45" t="s">
        <v>377</v>
      </c>
      <c r="I158" s="45" t="s">
        <v>378</v>
      </c>
      <c r="J158" s="45">
        <v>183485860</v>
      </c>
      <c r="K158" s="45" t="s">
        <v>379</v>
      </c>
      <c r="L158" s="48">
        <v>113.24</v>
      </c>
      <c r="M158" s="49">
        <v>20240930344</v>
      </c>
      <c r="N158" s="50" t="s">
        <v>28</v>
      </c>
      <c r="O158" s="50"/>
      <c r="P158" s="50"/>
      <c r="Q158" s="51"/>
      <c r="R158" s="50"/>
      <c r="S158" s="50"/>
      <c r="T158" s="50"/>
      <c r="U158" s="50"/>
    </row>
    <row r="159" spans="1:21" x14ac:dyDescent="0.25">
      <c r="A159" s="45" t="s">
        <v>375</v>
      </c>
      <c r="B159" s="46">
        <v>45587</v>
      </c>
      <c r="C159" s="45" t="s">
        <v>352</v>
      </c>
      <c r="D159" s="47"/>
      <c r="E159" s="45" t="s">
        <v>371</v>
      </c>
      <c r="F159" s="45" t="s">
        <v>372</v>
      </c>
      <c r="G159" s="45" t="s">
        <v>376</v>
      </c>
      <c r="H159" s="45" t="s">
        <v>380</v>
      </c>
      <c r="I159" s="45" t="s">
        <v>381</v>
      </c>
      <c r="J159" s="45">
        <v>216620103</v>
      </c>
      <c r="K159" s="45" t="s">
        <v>382</v>
      </c>
      <c r="L159" s="48">
        <v>24.99</v>
      </c>
      <c r="M159" s="49">
        <v>20240930241</v>
      </c>
      <c r="N159" s="50" t="s">
        <v>28</v>
      </c>
      <c r="O159" s="50"/>
      <c r="P159" s="50"/>
      <c r="Q159" s="51"/>
      <c r="R159" s="50"/>
      <c r="S159" s="50"/>
      <c r="T159" s="50"/>
      <c r="U159" s="50"/>
    </row>
    <row r="160" spans="1:21" x14ac:dyDescent="0.25">
      <c r="A160" s="45" t="s">
        <v>375</v>
      </c>
      <c r="B160" s="46">
        <v>45587</v>
      </c>
      <c r="C160" s="45" t="s">
        <v>352</v>
      </c>
      <c r="D160" s="47"/>
      <c r="E160" s="45" t="s">
        <v>371</v>
      </c>
      <c r="F160" s="45" t="s">
        <v>372</v>
      </c>
      <c r="G160" s="45" t="s">
        <v>376</v>
      </c>
      <c r="H160" s="45" t="s">
        <v>380</v>
      </c>
      <c r="I160" s="45" t="s">
        <v>381</v>
      </c>
      <c r="J160" s="45">
        <v>216620103</v>
      </c>
      <c r="K160" s="45" t="s">
        <v>59</v>
      </c>
      <c r="L160" s="48">
        <v>22.5</v>
      </c>
      <c r="M160" s="49">
        <v>20240930242</v>
      </c>
      <c r="N160" s="50" t="s">
        <v>28</v>
      </c>
      <c r="O160" s="50"/>
      <c r="P160" s="50"/>
      <c r="Q160" s="51"/>
      <c r="R160" s="50"/>
      <c r="S160" s="50"/>
      <c r="T160" s="50"/>
      <c r="U160" s="50"/>
    </row>
    <row r="161" spans="1:21" x14ac:dyDescent="0.25">
      <c r="A161" s="45" t="s">
        <v>375</v>
      </c>
      <c r="B161" s="46">
        <v>45587</v>
      </c>
      <c r="C161" s="45" t="s">
        <v>352</v>
      </c>
      <c r="D161" s="47"/>
      <c r="E161" s="45" t="s">
        <v>371</v>
      </c>
      <c r="F161" s="45" t="s">
        <v>372</v>
      </c>
      <c r="G161" s="45" t="s">
        <v>376</v>
      </c>
      <c r="H161" s="45" t="s">
        <v>380</v>
      </c>
      <c r="I161" s="45" t="s">
        <v>381</v>
      </c>
      <c r="J161" s="45">
        <v>216620103</v>
      </c>
      <c r="K161" s="45" t="s">
        <v>268</v>
      </c>
      <c r="L161" s="48">
        <v>28.61</v>
      </c>
      <c r="M161" s="49">
        <v>20240930246</v>
      </c>
      <c r="N161" s="50" t="s">
        <v>28</v>
      </c>
      <c r="O161" s="50"/>
      <c r="P161" s="50"/>
      <c r="Q161" s="51"/>
      <c r="R161" s="50"/>
      <c r="S161" s="50"/>
      <c r="T161" s="50"/>
      <c r="U161" s="50"/>
    </row>
    <row r="162" spans="1:21" x14ac:dyDescent="0.25">
      <c r="A162" s="45" t="s">
        <v>375</v>
      </c>
      <c r="B162" s="46">
        <v>45587</v>
      </c>
      <c r="C162" s="45" t="s">
        <v>352</v>
      </c>
      <c r="D162" s="47"/>
      <c r="E162" s="45" t="s">
        <v>371</v>
      </c>
      <c r="F162" s="45" t="s">
        <v>372</v>
      </c>
      <c r="G162" s="45" t="s">
        <v>376</v>
      </c>
      <c r="H162" s="45" t="s">
        <v>380</v>
      </c>
      <c r="I162" s="45" t="s">
        <v>381</v>
      </c>
      <c r="J162" s="45">
        <v>216620103</v>
      </c>
      <c r="K162" s="45" t="s">
        <v>383</v>
      </c>
      <c r="L162" s="48">
        <v>1</v>
      </c>
      <c r="M162" s="49">
        <v>20240930236</v>
      </c>
      <c r="N162" s="50" t="s">
        <v>28</v>
      </c>
      <c r="O162" s="50"/>
      <c r="P162" s="50"/>
      <c r="Q162" s="51"/>
      <c r="R162" s="50"/>
      <c r="S162" s="50"/>
      <c r="T162" s="50"/>
      <c r="U162" s="50"/>
    </row>
    <row r="163" spans="1:21" x14ac:dyDescent="0.25">
      <c r="A163" s="45" t="s">
        <v>375</v>
      </c>
      <c r="B163" s="46">
        <v>45587</v>
      </c>
      <c r="C163" s="45" t="s">
        <v>352</v>
      </c>
      <c r="D163" s="47"/>
      <c r="E163" s="45" t="s">
        <v>371</v>
      </c>
      <c r="F163" s="45" t="s">
        <v>372</v>
      </c>
      <c r="G163" s="45" t="s">
        <v>376</v>
      </c>
      <c r="H163" s="45" t="s">
        <v>380</v>
      </c>
      <c r="I163" s="45" t="s">
        <v>381</v>
      </c>
      <c r="J163" s="45">
        <v>216620103</v>
      </c>
      <c r="K163" s="45" t="s">
        <v>384</v>
      </c>
      <c r="L163" s="48">
        <v>30</v>
      </c>
      <c r="M163" s="49">
        <v>20240930243</v>
      </c>
      <c r="N163" s="50" t="s">
        <v>28</v>
      </c>
      <c r="O163" s="50"/>
      <c r="P163" s="50"/>
      <c r="Q163" s="51"/>
      <c r="R163" s="50"/>
      <c r="S163" s="50"/>
      <c r="T163" s="50"/>
      <c r="U163" s="50"/>
    </row>
    <row r="164" spans="1:21" x14ac:dyDescent="0.25">
      <c r="A164" s="45" t="s">
        <v>324</v>
      </c>
      <c r="B164" s="46">
        <v>45587</v>
      </c>
      <c r="C164" s="45" t="s">
        <v>352</v>
      </c>
      <c r="D164" s="47"/>
      <c r="E164" s="45" t="s">
        <v>371</v>
      </c>
      <c r="F164" s="45" t="s">
        <v>372</v>
      </c>
      <c r="G164" s="45" t="s">
        <v>274</v>
      </c>
      <c r="H164" s="45" t="s">
        <v>385</v>
      </c>
      <c r="I164" s="45" t="s">
        <v>386</v>
      </c>
      <c r="J164" s="45">
        <v>219337254</v>
      </c>
      <c r="K164" s="45" t="s">
        <v>387</v>
      </c>
      <c r="L164" s="48">
        <v>200</v>
      </c>
      <c r="M164" s="49">
        <v>20241004291</v>
      </c>
      <c r="N164" s="50" t="s">
        <v>28</v>
      </c>
      <c r="O164" s="50"/>
      <c r="P164" s="50"/>
      <c r="Q164" s="51"/>
      <c r="R164" s="50"/>
      <c r="S164" s="50"/>
      <c r="T164" s="50"/>
      <c r="U164" s="50"/>
    </row>
    <row r="165" spans="1:21" x14ac:dyDescent="0.25">
      <c r="A165" s="45" t="s">
        <v>324</v>
      </c>
      <c r="B165" s="46">
        <v>45587</v>
      </c>
      <c r="C165" s="45" t="s">
        <v>352</v>
      </c>
      <c r="D165" s="47"/>
      <c r="E165" s="45" t="s">
        <v>371</v>
      </c>
      <c r="F165" s="45" t="s">
        <v>372</v>
      </c>
      <c r="G165" s="45" t="s">
        <v>274</v>
      </c>
      <c r="H165" s="45" t="s">
        <v>385</v>
      </c>
      <c r="I165" s="45" t="s">
        <v>386</v>
      </c>
      <c r="J165" s="45">
        <v>219337254</v>
      </c>
      <c r="K165" s="45" t="s">
        <v>388</v>
      </c>
      <c r="L165" s="48">
        <v>216.57</v>
      </c>
      <c r="M165" s="49">
        <v>20241004294</v>
      </c>
      <c r="N165" s="50" t="s">
        <v>28</v>
      </c>
      <c r="O165" s="50"/>
      <c r="P165" s="50"/>
      <c r="Q165" s="51"/>
      <c r="R165" s="50"/>
      <c r="S165" s="50"/>
      <c r="T165" s="50"/>
      <c r="U165" s="50"/>
    </row>
    <row r="166" spans="1:21" x14ac:dyDescent="0.25">
      <c r="A166" s="45" t="s">
        <v>324</v>
      </c>
      <c r="B166" s="46">
        <v>45587</v>
      </c>
      <c r="C166" s="45" t="s">
        <v>352</v>
      </c>
      <c r="D166" s="47"/>
      <c r="E166" s="45" t="s">
        <v>371</v>
      </c>
      <c r="F166" s="45" t="s">
        <v>372</v>
      </c>
      <c r="G166" s="45" t="s">
        <v>274</v>
      </c>
      <c r="H166" s="45" t="s">
        <v>385</v>
      </c>
      <c r="I166" s="45" t="s">
        <v>386</v>
      </c>
      <c r="J166" s="45">
        <v>219337254</v>
      </c>
      <c r="K166" s="45" t="s">
        <v>389</v>
      </c>
      <c r="L166" s="48">
        <v>216.57</v>
      </c>
      <c r="M166" s="49">
        <v>20241004295</v>
      </c>
      <c r="N166" s="50" t="s">
        <v>28</v>
      </c>
      <c r="O166" s="50"/>
      <c r="P166" s="50"/>
      <c r="Q166" s="51"/>
      <c r="R166" s="50"/>
      <c r="S166" s="50"/>
      <c r="T166" s="50"/>
      <c r="U166" s="50"/>
    </row>
    <row r="167" spans="1:21" x14ac:dyDescent="0.25">
      <c r="A167" s="45" t="s">
        <v>324</v>
      </c>
      <c r="B167" s="46">
        <v>45587</v>
      </c>
      <c r="C167" s="45" t="s">
        <v>352</v>
      </c>
      <c r="D167" s="47"/>
      <c r="E167" s="45" t="s">
        <v>371</v>
      </c>
      <c r="F167" s="45" t="s">
        <v>372</v>
      </c>
      <c r="G167" s="45" t="s">
        <v>274</v>
      </c>
      <c r="H167" s="45" t="s">
        <v>385</v>
      </c>
      <c r="I167" s="45" t="s">
        <v>386</v>
      </c>
      <c r="J167" s="45">
        <v>219337254</v>
      </c>
      <c r="K167" s="45" t="s">
        <v>390</v>
      </c>
      <c r="L167" s="48">
        <v>200</v>
      </c>
      <c r="M167" s="49">
        <v>20241004292</v>
      </c>
      <c r="N167" s="50" t="s">
        <v>28</v>
      </c>
      <c r="O167" s="50"/>
      <c r="P167" s="50"/>
      <c r="Q167" s="51"/>
      <c r="R167" s="50"/>
      <c r="S167" s="50"/>
      <c r="T167" s="50"/>
      <c r="U167" s="50"/>
    </row>
    <row r="168" spans="1:21" x14ac:dyDescent="0.25">
      <c r="A168" s="45" t="s">
        <v>324</v>
      </c>
      <c r="B168" s="46">
        <v>45587</v>
      </c>
      <c r="C168" s="45" t="s">
        <v>352</v>
      </c>
      <c r="D168" s="47"/>
      <c r="E168" s="45" t="s">
        <v>371</v>
      </c>
      <c r="F168" s="45" t="s">
        <v>372</v>
      </c>
      <c r="G168" s="45" t="s">
        <v>274</v>
      </c>
      <c r="H168" s="45" t="s">
        <v>95</v>
      </c>
      <c r="I168" s="45" t="s">
        <v>391</v>
      </c>
      <c r="J168" s="45">
        <v>224372893</v>
      </c>
      <c r="K168" s="45" t="s">
        <v>392</v>
      </c>
      <c r="L168" s="48">
        <v>56.65</v>
      </c>
      <c r="M168" s="49">
        <v>202410011954</v>
      </c>
      <c r="N168" s="50" t="s">
        <v>28</v>
      </c>
      <c r="O168" s="50"/>
      <c r="P168" s="50"/>
      <c r="Q168" s="51"/>
      <c r="R168" s="50"/>
      <c r="S168" s="50"/>
      <c r="T168" s="50"/>
      <c r="U168" s="50"/>
    </row>
    <row r="169" spans="1:21" x14ac:dyDescent="0.25">
      <c r="A169" s="45" t="s">
        <v>324</v>
      </c>
      <c r="B169" s="46">
        <v>45587</v>
      </c>
      <c r="C169" s="45" t="s">
        <v>352</v>
      </c>
      <c r="D169" s="47"/>
      <c r="E169" s="45" t="s">
        <v>371</v>
      </c>
      <c r="F169" s="45" t="s">
        <v>372</v>
      </c>
      <c r="G169" s="45" t="s">
        <v>274</v>
      </c>
      <c r="H169" s="45" t="s">
        <v>95</v>
      </c>
      <c r="I169" s="45" t="s">
        <v>391</v>
      </c>
      <c r="J169" s="45">
        <v>224372893</v>
      </c>
      <c r="K169" s="45" t="s">
        <v>393</v>
      </c>
      <c r="L169" s="48">
        <v>56.65</v>
      </c>
      <c r="M169" s="49">
        <v>202410011959</v>
      </c>
      <c r="N169" s="50" t="s">
        <v>28</v>
      </c>
      <c r="O169" s="50"/>
      <c r="P169" s="50"/>
      <c r="Q169" s="51"/>
      <c r="R169" s="50"/>
      <c r="S169" s="50"/>
      <c r="T169" s="50"/>
      <c r="U169" s="50"/>
    </row>
    <row r="170" spans="1:21" x14ac:dyDescent="0.25">
      <c r="A170" s="45" t="s">
        <v>324</v>
      </c>
      <c r="B170" s="46">
        <v>45603</v>
      </c>
      <c r="C170" s="45" t="s">
        <v>21</v>
      </c>
      <c r="D170" s="47"/>
      <c r="E170" s="45" t="s">
        <v>371</v>
      </c>
      <c r="F170" s="45" t="s">
        <v>372</v>
      </c>
      <c r="G170" s="45" t="s">
        <v>274</v>
      </c>
      <c r="H170" s="45" t="s">
        <v>95</v>
      </c>
      <c r="I170" s="45" t="s">
        <v>391</v>
      </c>
      <c r="J170" s="45">
        <v>224372893</v>
      </c>
      <c r="K170" s="45" t="s">
        <v>370</v>
      </c>
      <c r="L170" s="48">
        <v>61.8</v>
      </c>
      <c r="M170" s="49">
        <v>202410011956</v>
      </c>
      <c r="N170" s="50" t="s">
        <v>28</v>
      </c>
      <c r="O170" s="50"/>
      <c r="P170" s="50"/>
      <c r="Q170" s="51"/>
      <c r="R170" s="50"/>
      <c r="S170" s="50"/>
      <c r="T170" s="50"/>
      <c r="U170" s="50"/>
    </row>
    <row r="171" spans="1:21" x14ac:dyDescent="0.25">
      <c r="A171" s="45" t="s">
        <v>233</v>
      </c>
      <c r="B171" s="46">
        <v>45603</v>
      </c>
      <c r="C171" s="45" t="s">
        <v>21</v>
      </c>
      <c r="D171" s="47"/>
      <c r="E171" s="45" t="s">
        <v>362</v>
      </c>
      <c r="F171" s="45" t="s">
        <v>394</v>
      </c>
      <c r="G171" s="45" t="s">
        <v>395</v>
      </c>
      <c r="H171" s="45" t="s">
        <v>396</v>
      </c>
      <c r="I171" s="45" t="s">
        <v>397</v>
      </c>
      <c r="J171" s="45">
        <v>501175430</v>
      </c>
      <c r="K171" s="45" t="s">
        <v>311</v>
      </c>
      <c r="L171" s="48">
        <v>40</v>
      </c>
      <c r="M171" s="49">
        <v>20241004443</v>
      </c>
      <c r="N171" s="50" t="s">
        <v>28</v>
      </c>
      <c r="O171" s="50"/>
      <c r="P171" s="50"/>
      <c r="Q171" s="51"/>
      <c r="R171" s="50"/>
      <c r="S171" s="50"/>
      <c r="T171" s="50"/>
      <c r="U171" s="50"/>
    </row>
    <row r="172" spans="1:21" x14ac:dyDescent="0.25">
      <c r="A172" s="45" t="s">
        <v>233</v>
      </c>
      <c r="B172" s="46">
        <v>45603</v>
      </c>
      <c r="C172" s="45" t="s">
        <v>21</v>
      </c>
      <c r="D172" s="47"/>
      <c r="E172" s="45" t="s">
        <v>362</v>
      </c>
      <c r="F172" s="45" t="s">
        <v>394</v>
      </c>
      <c r="G172" s="45" t="s">
        <v>395</v>
      </c>
      <c r="H172" s="45" t="s">
        <v>396</v>
      </c>
      <c r="I172" s="45" t="s">
        <v>397</v>
      </c>
      <c r="J172" s="45">
        <v>501175430</v>
      </c>
      <c r="K172" s="45" t="s">
        <v>86</v>
      </c>
      <c r="L172" s="48">
        <v>40</v>
      </c>
      <c r="M172" s="49">
        <v>20241004447</v>
      </c>
      <c r="N172" s="50" t="s">
        <v>28</v>
      </c>
      <c r="O172" s="50"/>
      <c r="P172" s="50"/>
      <c r="Q172" s="51"/>
      <c r="R172" s="50"/>
      <c r="S172" s="50"/>
      <c r="T172" s="50"/>
      <c r="U172" s="50"/>
    </row>
    <row r="173" spans="1:21" x14ac:dyDescent="0.25">
      <c r="A173" s="45" t="s">
        <v>233</v>
      </c>
      <c r="B173" s="46">
        <v>45603</v>
      </c>
      <c r="C173" s="45" t="s">
        <v>21</v>
      </c>
      <c r="D173" s="47"/>
      <c r="E173" s="45" t="s">
        <v>362</v>
      </c>
      <c r="F173" s="45" t="s">
        <v>394</v>
      </c>
      <c r="G173" s="45" t="s">
        <v>395</v>
      </c>
      <c r="H173" s="45" t="s">
        <v>396</v>
      </c>
      <c r="I173" s="45" t="s">
        <v>397</v>
      </c>
      <c r="J173" s="45">
        <v>501175430</v>
      </c>
      <c r="K173" s="45" t="s">
        <v>398</v>
      </c>
      <c r="L173" s="48">
        <v>40</v>
      </c>
      <c r="M173" s="49">
        <v>20241004445</v>
      </c>
      <c r="N173" s="50" t="s">
        <v>28</v>
      </c>
      <c r="O173" s="50"/>
      <c r="P173" s="50"/>
      <c r="Q173" s="51"/>
      <c r="R173" s="50"/>
      <c r="S173" s="50"/>
      <c r="T173" s="50"/>
      <c r="U173" s="50"/>
    </row>
    <row r="174" spans="1:21" x14ac:dyDescent="0.25">
      <c r="A174" s="45" t="s">
        <v>233</v>
      </c>
      <c r="B174" s="46">
        <v>45603</v>
      </c>
      <c r="C174" s="45" t="s">
        <v>21</v>
      </c>
      <c r="D174" s="47"/>
      <c r="E174" s="45" t="s">
        <v>362</v>
      </c>
      <c r="F174" s="45" t="s">
        <v>394</v>
      </c>
      <c r="G174" s="45" t="s">
        <v>395</v>
      </c>
      <c r="H174" s="45" t="s">
        <v>396</v>
      </c>
      <c r="I174" s="45" t="s">
        <v>397</v>
      </c>
      <c r="J174" s="45">
        <v>501175430</v>
      </c>
      <c r="K174" s="45" t="s">
        <v>384</v>
      </c>
      <c r="L174" s="48">
        <v>40</v>
      </c>
      <c r="M174" s="49">
        <v>20241004474</v>
      </c>
      <c r="N174" s="50" t="s">
        <v>28</v>
      </c>
      <c r="O174" s="50"/>
      <c r="P174" s="50"/>
      <c r="Q174" s="51"/>
      <c r="R174" s="50"/>
      <c r="S174" s="50"/>
      <c r="T174" s="50"/>
      <c r="U174" s="50"/>
    </row>
    <row r="175" spans="1:21" x14ac:dyDescent="0.25">
      <c r="A175" s="45" t="s">
        <v>233</v>
      </c>
      <c r="B175" s="46">
        <v>45603</v>
      </c>
      <c r="C175" s="45" t="s">
        <v>21</v>
      </c>
      <c r="D175" s="47"/>
      <c r="E175" s="45" t="s">
        <v>362</v>
      </c>
      <c r="F175" s="45" t="s">
        <v>394</v>
      </c>
      <c r="G175" s="45" t="s">
        <v>395</v>
      </c>
      <c r="H175" s="45" t="s">
        <v>396</v>
      </c>
      <c r="I175" s="45" t="s">
        <v>397</v>
      </c>
      <c r="J175" s="45">
        <v>501175430</v>
      </c>
      <c r="K175" s="45" t="s">
        <v>399</v>
      </c>
      <c r="L175" s="48">
        <v>40</v>
      </c>
      <c r="M175" s="49">
        <v>20241004460</v>
      </c>
      <c r="N175" s="50" t="s">
        <v>28</v>
      </c>
      <c r="O175" s="50"/>
      <c r="P175" s="50"/>
      <c r="Q175" s="51"/>
      <c r="R175" s="50"/>
      <c r="S175" s="50"/>
      <c r="T175" s="50"/>
      <c r="U175" s="50"/>
    </row>
    <row r="176" spans="1:21" x14ac:dyDescent="0.25">
      <c r="A176" s="45" t="s">
        <v>233</v>
      </c>
      <c r="B176" s="46">
        <v>45603</v>
      </c>
      <c r="C176" s="45" t="s">
        <v>21</v>
      </c>
      <c r="D176" s="47"/>
      <c r="E176" s="45" t="s">
        <v>362</v>
      </c>
      <c r="F176" s="45" t="s">
        <v>394</v>
      </c>
      <c r="G176" s="45" t="s">
        <v>395</v>
      </c>
      <c r="H176" s="45" t="s">
        <v>396</v>
      </c>
      <c r="I176" s="45" t="s">
        <v>397</v>
      </c>
      <c r="J176" s="45">
        <v>501175430</v>
      </c>
      <c r="K176" s="45" t="s">
        <v>309</v>
      </c>
      <c r="L176" s="48">
        <v>40</v>
      </c>
      <c r="M176" s="49">
        <v>20241004449</v>
      </c>
      <c r="N176" s="50" t="s">
        <v>28</v>
      </c>
      <c r="O176" s="50"/>
      <c r="P176" s="50"/>
      <c r="Q176" s="51"/>
      <c r="R176" s="50"/>
      <c r="S176" s="50"/>
      <c r="T176" s="50"/>
      <c r="U176" s="50"/>
    </row>
    <row r="177" spans="1:21" x14ac:dyDescent="0.25">
      <c r="A177" s="45" t="s">
        <v>233</v>
      </c>
      <c r="B177" s="46">
        <v>45603</v>
      </c>
      <c r="C177" s="45" t="s">
        <v>21</v>
      </c>
      <c r="D177" s="47"/>
      <c r="E177" s="45" t="s">
        <v>362</v>
      </c>
      <c r="F177" s="45" t="s">
        <v>394</v>
      </c>
      <c r="G177" s="45" t="s">
        <v>395</v>
      </c>
      <c r="H177" s="45" t="s">
        <v>396</v>
      </c>
      <c r="I177" s="45" t="s">
        <v>397</v>
      </c>
      <c r="J177" s="45">
        <v>501175430</v>
      </c>
      <c r="K177" s="45" t="s">
        <v>310</v>
      </c>
      <c r="L177" s="48">
        <v>20.29</v>
      </c>
      <c r="M177" s="49">
        <v>20241004439</v>
      </c>
      <c r="N177" s="50" t="s">
        <v>28</v>
      </c>
      <c r="O177" s="50"/>
      <c r="P177" s="50"/>
      <c r="Q177" s="51"/>
      <c r="R177" s="50"/>
      <c r="S177" s="50"/>
      <c r="T177" s="50"/>
      <c r="U177" s="50"/>
    </row>
    <row r="178" spans="1:21" x14ac:dyDescent="0.25">
      <c r="A178" s="45" t="s">
        <v>233</v>
      </c>
      <c r="B178" s="46">
        <v>45603</v>
      </c>
      <c r="C178" s="45" t="s">
        <v>21</v>
      </c>
      <c r="D178" s="47"/>
      <c r="E178" s="45" t="s">
        <v>362</v>
      </c>
      <c r="F178" s="45" t="s">
        <v>394</v>
      </c>
      <c r="G178" s="45" t="s">
        <v>400</v>
      </c>
      <c r="H178" s="45" t="s">
        <v>362</v>
      </c>
      <c r="I178" s="45" t="s">
        <v>401</v>
      </c>
      <c r="J178" s="45">
        <v>518290485</v>
      </c>
      <c r="K178" s="45" t="s">
        <v>402</v>
      </c>
      <c r="L178" s="48">
        <v>2120.17</v>
      </c>
      <c r="M178" s="49">
        <v>202410012219</v>
      </c>
      <c r="N178" s="50" t="s">
        <v>28</v>
      </c>
      <c r="O178" s="50"/>
      <c r="P178" s="50"/>
      <c r="Q178" s="51"/>
      <c r="R178" s="50"/>
      <c r="S178" s="50"/>
      <c r="T178" s="50"/>
      <c r="U178" s="50"/>
    </row>
    <row r="179" spans="1:21" x14ac:dyDescent="0.25">
      <c r="A179" s="45" t="s">
        <v>233</v>
      </c>
      <c r="B179" s="46">
        <v>45603</v>
      </c>
      <c r="C179" s="45" t="s">
        <v>21</v>
      </c>
      <c r="D179" s="47"/>
      <c r="E179" s="45" t="s">
        <v>362</v>
      </c>
      <c r="F179" s="45" t="s">
        <v>394</v>
      </c>
      <c r="G179" s="45" t="s">
        <v>400</v>
      </c>
      <c r="H179" s="45" t="s">
        <v>362</v>
      </c>
      <c r="I179" s="45" t="s">
        <v>401</v>
      </c>
      <c r="J179" s="45">
        <v>518290485</v>
      </c>
      <c r="K179" s="45" t="s">
        <v>403</v>
      </c>
      <c r="L179" s="48">
        <v>58.09</v>
      </c>
      <c r="M179" s="49">
        <v>202410012220</v>
      </c>
      <c r="N179" s="50" t="s">
        <v>28</v>
      </c>
      <c r="O179" s="50"/>
      <c r="P179" s="50"/>
      <c r="Q179" s="51"/>
      <c r="R179" s="50"/>
      <c r="S179" s="50"/>
      <c r="T179" s="50"/>
      <c r="U179" s="50"/>
    </row>
    <row r="180" spans="1:21" x14ac:dyDescent="0.25">
      <c r="A180" s="45" t="s">
        <v>233</v>
      </c>
      <c r="B180" s="46">
        <v>45603</v>
      </c>
      <c r="C180" s="45" t="s">
        <v>21</v>
      </c>
      <c r="D180" s="47"/>
      <c r="E180" s="45" t="s">
        <v>362</v>
      </c>
      <c r="F180" s="45" t="s">
        <v>394</v>
      </c>
      <c r="G180" s="45" t="s">
        <v>395</v>
      </c>
      <c r="H180" s="45" t="s">
        <v>404</v>
      </c>
      <c r="I180" s="45" t="s">
        <v>405</v>
      </c>
      <c r="J180" s="45">
        <v>519061064</v>
      </c>
      <c r="K180" s="45" t="s">
        <v>406</v>
      </c>
      <c r="L180" s="48">
        <v>40</v>
      </c>
      <c r="M180" s="49">
        <v>202410012074</v>
      </c>
      <c r="N180" s="50" t="s">
        <v>28</v>
      </c>
      <c r="O180" s="50"/>
      <c r="P180" s="50"/>
      <c r="Q180" s="51"/>
      <c r="R180" s="50"/>
      <c r="S180" s="50"/>
      <c r="T180" s="50"/>
      <c r="U180" s="50"/>
    </row>
    <row r="181" spans="1:21" x14ac:dyDescent="0.25">
      <c r="A181" s="45" t="s">
        <v>233</v>
      </c>
      <c r="B181" s="46">
        <v>45603</v>
      </c>
      <c r="C181" s="45" t="s">
        <v>21</v>
      </c>
      <c r="D181" s="47"/>
      <c r="E181" s="45" t="s">
        <v>362</v>
      </c>
      <c r="F181" s="45" t="s">
        <v>394</v>
      </c>
      <c r="G181" s="45" t="s">
        <v>395</v>
      </c>
      <c r="H181" s="45" t="s">
        <v>404</v>
      </c>
      <c r="I181" s="45" t="s">
        <v>405</v>
      </c>
      <c r="J181" s="45">
        <v>519061064</v>
      </c>
      <c r="K181" s="45" t="s">
        <v>53</v>
      </c>
      <c r="L181" s="48">
        <v>40</v>
      </c>
      <c r="M181" s="49">
        <v>202410012080</v>
      </c>
      <c r="N181" s="50" t="s">
        <v>28</v>
      </c>
      <c r="O181" s="50"/>
      <c r="P181" s="50"/>
      <c r="Q181" s="51"/>
      <c r="R181" s="50"/>
      <c r="S181" s="50"/>
      <c r="T181" s="50"/>
      <c r="U181" s="50"/>
    </row>
    <row r="182" spans="1:21" x14ac:dyDescent="0.25">
      <c r="A182" s="45" t="s">
        <v>233</v>
      </c>
      <c r="B182" s="46">
        <v>45603</v>
      </c>
      <c r="C182" s="45" t="s">
        <v>21</v>
      </c>
      <c r="D182" s="47"/>
      <c r="E182" s="45" t="s">
        <v>362</v>
      </c>
      <c r="F182" s="45" t="s">
        <v>394</v>
      </c>
      <c r="G182" s="45" t="s">
        <v>395</v>
      </c>
      <c r="H182" s="45" t="s">
        <v>404</v>
      </c>
      <c r="I182" s="45" t="s">
        <v>405</v>
      </c>
      <c r="J182" s="45">
        <v>519061064</v>
      </c>
      <c r="K182" s="45" t="s">
        <v>232</v>
      </c>
      <c r="L182" s="48">
        <v>40</v>
      </c>
      <c r="M182" s="49">
        <v>202410012027</v>
      </c>
      <c r="N182" s="50" t="s">
        <v>28</v>
      </c>
      <c r="O182" s="50"/>
      <c r="P182" s="50"/>
      <c r="Q182" s="51"/>
      <c r="R182" s="50"/>
      <c r="S182" s="50"/>
      <c r="T182" s="50"/>
      <c r="U182" s="50"/>
    </row>
    <row r="183" spans="1:21" x14ac:dyDescent="0.25">
      <c r="A183" s="45" t="s">
        <v>407</v>
      </c>
      <c r="B183" s="46">
        <v>45603</v>
      </c>
      <c r="C183" s="45" t="s">
        <v>21</v>
      </c>
      <c r="D183" s="47"/>
      <c r="E183" s="45" t="s">
        <v>362</v>
      </c>
      <c r="F183" s="45" t="s">
        <v>394</v>
      </c>
      <c r="G183" s="45" t="s">
        <v>395</v>
      </c>
      <c r="H183" s="45" t="s">
        <v>404</v>
      </c>
      <c r="I183" s="45" t="s">
        <v>405</v>
      </c>
      <c r="J183" s="45">
        <v>519061064</v>
      </c>
      <c r="K183" s="45" t="s">
        <v>392</v>
      </c>
      <c r="L183" s="48">
        <v>195.89</v>
      </c>
      <c r="M183" s="49">
        <v>202410012035</v>
      </c>
      <c r="N183" s="50" t="s">
        <v>28</v>
      </c>
      <c r="O183" s="50"/>
      <c r="P183" s="50"/>
      <c r="Q183" s="51"/>
      <c r="R183" s="50"/>
      <c r="S183" s="50"/>
      <c r="T183" s="50"/>
      <c r="U183" s="50"/>
    </row>
    <row r="184" spans="1:21" x14ac:dyDescent="0.25">
      <c r="A184" s="45" t="s">
        <v>233</v>
      </c>
      <c r="B184" s="46">
        <v>45603</v>
      </c>
      <c r="C184" s="45" t="s">
        <v>21</v>
      </c>
      <c r="D184" s="47"/>
      <c r="E184" s="45" t="s">
        <v>362</v>
      </c>
      <c r="F184" s="45" t="s">
        <v>394</v>
      </c>
      <c r="G184" s="45" t="s">
        <v>395</v>
      </c>
      <c r="H184" s="45" t="s">
        <v>404</v>
      </c>
      <c r="I184" s="45" t="s">
        <v>405</v>
      </c>
      <c r="J184" s="45">
        <v>519061064</v>
      </c>
      <c r="K184" s="45" t="s">
        <v>408</v>
      </c>
      <c r="L184" s="48">
        <v>75</v>
      </c>
      <c r="M184" s="49">
        <v>202410012047</v>
      </c>
      <c r="N184" s="50" t="s">
        <v>28</v>
      </c>
      <c r="O184" s="50"/>
      <c r="P184" s="50"/>
      <c r="Q184" s="51"/>
      <c r="R184" s="50"/>
      <c r="S184" s="50"/>
      <c r="T184" s="50"/>
      <c r="U184" s="50"/>
    </row>
    <row r="185" spans="1:21" x14ac:dyDescent="0.25">
      <c r="A185" s="45" t="s">
        <v>407</v>
      </c>
      <c r="B185" s="46">
        <v>45603</v>
      </c>
      <c r="C185" s="45" t="s">
        <v>21</v>
      </c>
      <c r="D185" s="47"/>
      <c r="E185" s="45" t="s">
        <v>362</v>
      </c>
      <c r="F185" s="45" t="s">
        <v>394</v>
      </c>
      <c r="G185" s="45" t="s">
        <v>395</v>
      </c>
      <c r="H185" s="45" t="s">
        <v>404</v>
      </c>
      <c r="I185" s="45" t="s">
        <v>405</v>
      </c>
      <c r="J185" s="45">
        <v>519061064</v>
      </c>
      <c r="K185" s="45" t="s">
        <v>392</v>
      </c>
      <c r="L185" s="48">
        <v>384.34</v>
      </c>
      <c r="M185" s="49">
        <v>202410012043</v>
      </c>
      <c r="N185" s="50" t="s">
        <v>28</v>
      </c>
      <c r="O185" s="50"/>
      <c r="P185" s="50"/>
      <c r="Q185" s="51"/>
      <c r="R185" s="50"/>
      <c r="S185" s="50"/>
      <c r="T185" s="50"/>
      <c r="U185" s="50"/>
    </row>
    <row r="186" spans="1:21" x14ac:dyDescent="0.25">
      <c r="A186" s="45" t="s">
        <v>29</v>
      </c>
      <c r="B186" s="46">
        <v>45603</v>
      </c>
      <c r="C186" s="45" t="s">
        <v>21</v>
      </c>
      <c r="D186" s="47"/>
      <c r="E186" s="45" t="s">
        <v>362</v>
      </c>
      <c r="F186" s="45" t="s">
        <v>409</v>
      </c>
      <c r="G186" s="45" t="s">
        <v>178</v>
      </c>
      <c r="H186" s="45" t="s">
        <v>377</v>
      </c>
      <c r="I186" s="45" t="s">
        <v>410</v>
      </c>
      <c r="J186" s="45">
        <v>150864446</v>
      </c>
      <c r="K186" s="45" t="s">
        <v>56</v>
      </c>
      <c r="L186" s="48">
        <v>770</v>
      </c>
      <c r="M186" s="49">
        <v>20240827609</v>
      </c>
      <c r="N186" s="50" t="s">
        <v>28</v>
      </c>
      <c r="O186" s="50"/>
      <c r="P186" s="50"/>
      <c r="Q186" s="51"/>
      <c r="R186" s="50"/>
      <c r="S186" s="50"/>
      <c r="T186" s="50"/>
      <c r="U186" s="50"/>
    </row>
    <row r="187" spans="1:21" ht="25.5" x14ac:dyDescent="0.25">
      <c r="A187" s="45" t="s">
        <v>20</v>
      </c>
      <c r="B187" s="46">
        <v>45603</v>
      </c>
      <c r="C187" s="45" t="s">
        <v>21</v>
      </c>
      <c r="D187" s="47"/>
      <c r="E187" s="45" t="s">
        <v>411</v>
      </c>
      <c r="F187" s="45" t="s">
        <v>412</v>
      </c>
      <c r="G187" s="45" t="s">
        <v>413</v>
      </c>
      <c r="H187" s="45" t="s">
        <v>414</v>
      </c>
      <c r="I187" s="45" t="s">
        <v>415</v>
      </c>
      <c r="J187" s="45">
        <v>449911157</v>
      </c>
      <c r="K187" s="45" t="s">
        <v>416</v>
      </c>
      <c r="L187" s="48">
        <v>47</v>
      </c>
      <c r="M187" s="49">
        <v>20240926436</v>
      </c>
      <c r="N187" s="50" t="s">
        <v>28</v>
      </c>
      <c r="O187" s="50"/>
      <c r="P187" s="50"/>
      <c r="Q187" s="51"/>
      <c r="R187" s="50"/>
      <c r="S187" s="50"/>
      <c r="T187" s="50"/>
      <c r="U187" s="50"/>
    </row>
    <row r="188" spans="1:21" ht="25.5" x14ac:dyDescent="0.25">
      <c r="A188" s="45" t="s">
        <v>29</v>
      </c>
      <c r="B188" s="46">
        <v>45603</v>
      </c>
      <c r="C188" s="45" t="s">
        <v>21</v>
      </c>
      <c r="D188" s="47"/>
      <c r="E188" s="45" t="s">
        <v>417</v>
      </c>
      <c r="F188" s="45" t="s">
        <v>418</v>
      </c>
      <c r="G188" s="45" t="s">
        <v>419</v>
      </c>
      <c r="H188" s="45" t="s">
        <v>420</v>
      </c>
      <c r="I188" s="45" t="s">
        <v>421</v>
      </c>
      <c r="J188" s="45">
        <v>615602292</v>
      </c>
      <c r="K188" s="45" t="s">
        <v>422</v>
      </c>
      <c r="L188" s="48">
        <v>750</v>
      </c>
      <c r="M188" s="49">
        <v>20240820519</v>
      </c>
      <c r="N188" s="50" t="s">
        <v>28</v>
      </c>
      <c r="O188" s="50"/>
      <c r="P188" s="50"/>
      <c r="Q188" s="51"/>
      <c r="R188" s="50"/>
      <c r="S188" s="50"/>
      <c r="T188" s="50"/>
      <c r="U188" s="50"/>
    </row>
    <row r="189" spans="1:21" x14ac:dyDescent="0.25">
      <c r="A189" s="45" t="s">
        <v>20</v>
      </c>
      <c r="B189" s="46">
        <v>45603</v>
      </c>
      <c r="C189" s="45" t="s">
        <v>21</v>
      </c>
      <c r="D189" s="47"/>
      <c r="E189" s="45" t="s">
        <v>423</v>
      </c>
      <c r="F189" s="45" t="s">
        <v>424</v>
      </c>
      <c r="G189" s="45" t="s">
        <v>30</v>
      </c>
      <c r="H189" s="45" t="s">
        <v>279</v>
      </c>
      <c r="I189" s="45" t="s">
        <v>280</v>
      </c>
      <c r="J189" s="45">
        <v>575804468</v>
      </c>
      <c r="K189" s="45" t="s">
        <v>283</v>
      </c>
      <c r="L189" s="48">
        <v>27.2</v>
      </c>
      <c r="M189" s="49">
        <v>202410012426</v>
      </c>
      <c r="N189" s="50" t="s">
        <v>28</v>
      </c>
      <c r="O189" s="50"/>
      <c r="P189" s="50"/>
      <c r="Q189" s="51"/>
      <c r="R189" s="50"/>
      <c r="S189" s="50"/>
      <c r="T189" s="50"/>
      <c r="U189" s="50"/>
    </row>
    <row r="190" spans="1:21" ht="25.5" x14ac:dyDescent="0.25">
      <c r="A190" s="45" t="s">
        <v>20</v>
      </c>
      <c r="B190" s="46">
        <v>45603</v>
      </c>
      <c r="C190" s="45" t="s">
        <v>21</v>
      </c>
      <c r="D190" s="47"/>
      <c r="E190" s="45" t="s">
        <v>425</v>
      </c>
      <c r="F190" s="45" t="s">
        <v>426</v>
      </c>
      <c r="G190" s="45" t="s">
        <v>427</v>
      </c>
      <c r="H190" s="45" t="s">
        <v>72</v>
      </c>
      <c r="I190" s="45" t="s">
        <v>428</v>
      </c>
      <c r="J190" s="45">
        <v>153748554</v>
      </c>
      <c r="K190" s="45" t="s">
        <v>429</v>
      </c>
      <c r="L190" s="48">
        <v>220</v>
      </c>
      <c r="M190" s="49">
        <v>202410012188</v>
      </c>
      <c r="N190" s="50" t="s">
        <v>28</v>
      </c>
      <c r="O190" s="50"/>
      <c r="P190" s="50"/>
      <c r="Q190" s="51"/>
      <c r="R190" s="50"/>
      <c r="S190" s="50"/>
      <c r="T190" s="50"/>
      <c r="U190" s="50"/>
    </row>
    <row r="191" spans="1:21" ht="25.5" x14ac:dyDescent="0.25">
      <c r="A191" s="45" t="s">
        <v>20</v>
      </c>
      <c r="B191" s="46">
        <v>45603</v>
      </c>
      <c r="C191" s="45" t="s">
        <v>21</v>
      </c>
      <c r="D191" s="47"/>
      <c r="E191" s="45" t="s">
        <v>425</v>
      </c>
      <c r="F191" s="45" t="s">
        <v>426</v>
      </c>
      <c r="G191" s="45" t="s">
        <v>430</v>
      </c>
      <c r="H191" s="45" t="s">
        <v>431</v>
      </c>
      <c r="I191" s="45" t="s">
        <v>432</v>
      </c>
      <c r="J191" s="45">
        <v>301722379</v>
      </c>
      <c r="K191" s="45" t="s">
        <v>272</v>
      </c>
      <c r="L191" s="48">
        <v>20</v>
      </c>
      <c r="M191" s="49">
        <v>20240904379</v>
      </c>
      <c r="N191" s="50" t="s">
        <v>28</v>
      </c>
      <c r="O191" s="50"/>
      <c r="P191" s="50"/>
      <c r="Q191" s="51"/>
      <c r="R191" s="50"/>
      <c r="S191" s="50"/>
      <c r="T191" s="50"/>
      <c r="U191" s="50"/>
    </row>
    <row r="192" spans="1:21" x14ac:dyDescent="0.25">
      <c r="A192" s="45" t="s">
        <v>20</v>
      </c>
      <c r="B192" s="46">
        <v>45603</v>
      </c>
      <c r="C192" s="45" t="s">
        <v>21</v>
      </c>
      <c r="D192" s="47"/>
      <c r="E192" s="45" t="s">
        <v>425</v>
      </c>
      <c r="F192" s="45" t="s">
        <v>426</v>
      </c>
      <c r="G192" s="45" t="s">
        <v>433</v>
      </c>
      <c r="H192" s="45" t="s">
        <v>434</v>
      </c>
      <c r="I192" s="45" t="s">
        <v>435</v>
      </c>
      <c r="J192" s="45">
        <v>342666404</v>
      </c>
      <c r="K192" s="45" t="s">
        <v>436</v>
      </c>
      <c r="L192" s="48">
        <v>30</v>
      </c>
      <c r="M192" s="49">
        <v>20240930687</v>
      </c>
      <c r="N192" s="50" t="s">
        <v>28</v>
      </c>
      <c r="O192" s="50"/>
      <c r="P192" s="50"/>
      <c r="Q192" s="51"/>
      <c r="R192" s="50"/>
      <c r="S192" s="50"/>
      <c r="T192" s="50"/>
      <c r="U192" s="50"/>
    </row>
  </sheetData>
  <autoFilter ref="A1:U192" xr:uid="{29F6D24A-B590-4662-9596-FE49877868FC}"/>
  <sortState xmlns:xlrd2="http://schemas.microsoft.com/office/spreadsheetml/2017/richdata2" ref="A2:U192">
    <sortCondition ref="J2:J192"/>
  </sortState>
  <conditionalFormatting sqref="N1:N1048576">
    <cfRule type="cellIs" priority="13" stopIfTrue="1" operator="equal">
      <formula>""</formula>
    </cfRule>
    <cfRule type="cellIs" priority="14" stopIfTrue="1" operator="equal">
      <formula>"Correct = C"</formula>
    </cfRule>
    <cfRule type="cellIs" dxfId="230" priority="15" operator="notEqual">
      <formula>"C"</formula>
    </cfRule>
  </conditionalFormatting>
  <conditionalFormatting sqref="O1:O1048576">
    <cfRule type="cellIs" priority="10" stopIfTrue="1" operator="equal">
      <formula>""</formula>
    </cfRule>
    <cfRule type="cellIs" priority="11" stopIfTrue="1" operator="equal">
      <formula>"Major = M"</formula>
    </cfRule>
    <cfRule type="cellIs" dxfId="229" priority="12" operator="notEqual">
      <formula>"M"</formula>
    </cfRule>
  </conditionalFormatting>
  <conditionalFormatting sqref="P1:P1048576">
    <cfRule type="cellIs" priority="7" stopIfTrue="1" operator="equal">
      <formula>""</formula>
    </cfRule>
    <cfRule type="cellIs" priority="8" stopIfTrue="1" operator="equal">
      <formula>"Minor = E"</formula>
    </cfRule>
    <cfRule type="cellIs" dxfId="228" priority="9" operator="notEqual">
      <formula>"E"</formula>
    </cfRule>
  </conditionalFormatting>
  <conditionalFormatting sqref="R1:R1048576">
    <cfRule type="cellIs" priority="4" stopIfTrue="1" operator="equal">
      <formula>""</formula>
    </cfRule>
    <cfRule type="cellIs" priority="5" stopIfTrue="1" operator="equal">
      <formula>"Inserted Major = M"</formula>
    </cfRule>
    <cfRule type="cellIs" dxfId="227" priority="6" operator="notEqual">
      <formula>"M"</formula>
    </cfRule>
  </conditionalFormatting>
  <conditionalFormatting sqref="S1:S1048576">
    <cfRule type="cellIs" priority="1" stopIfTrue="1" operator="equal">
      <formula>""</formula>
    </cfRule>
    <cfRule type="cellIs" priority="2" stopIfTrue="1" operator="equal">
      <formula>"Inserted Minor = E"</formula>
    </cfRule>
    <cfRule type="cellIs" dxfId="226" priority="3" operator="notEqual">
      <formula>"E"</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16F9CA-7654-48F2-AFDF-27AC00160FAB}">
  <sheetPr codeName="Sheet11"/>
  <dimension ref="B2:AA48"/>
  <sheetViews>
    <sheetView workbookViewId="0"/>
  </sheetViews>
  <sheetFormatPr defaultRowHeight="15" x14ac:dyDescent="0.25"/>
  <cols>
    <col min="1" max="1" width="2.7109375" customWidth="1"/>
    <col min="2" max="2" width="28.140625" style="1" bestFit="1" customWidth="1"/>
    <col min="3" max="3" width="19.140625" style="1" hidden="1" customWidth="1"/>
    <col min="4" max="4" width="21.7109375" style="1" hidden="1" customWidth="1"/>
    <col min="5" max="5" width="11" style="1" hidden="1" customWidth="1"/>
    <col min="6" max="6" width="9.5703125" style="1" hidden="1" customWidth="1"/>
    <col min="7" max="7" width="16.140625" style="1" hidden="1" customWidth="1"/>
    <col min="8" max="8" width="17.140625" style="1" customWidth="1"/>
    <col min="9" max="9" width="33.85546875" style="1" hidden="1" customWidth="1"/>
    <col min="10" max="10" width="16.140625" style="1" customWidth="1"/>
    <col min="11" max="11" width="20.85546875" style="1" hidden="1" customWidth="1"/>
    <col min="12" max="12" width="19.85546875" style="1" hidden="1" customWidth="1"/>
    <col min="13" max="13" width="8.85546875" style="1"/>
    <col min="14" max="16" width="0" style="1" hidden="1" customWidth="1"/>
    <col min="17" max="17" width="8.85546875" style="1"/>
    <col min="18" max="19" width="8.85546875" style="27"/>
    <col min="20" max="20" width="8.85546875" style="1"/>
    <col min="21" max="22" width="8.85546875" style="2"/>
    <col min="23" max="23" width="8.85546875" style="1"/>
    <col min="24" max="24" width="18.85546875" style="1" bestFit="1" customWidth="1"/>
    <col min="25" max="27" width="8.85546875" style="1"/>
  </cols>
  <sheetData>
    <row r="2" spans="2:24" s="1" customFormat="1" ht="52.5" x14ac:dyDescent="0.25">
      <c r="B2" s="22" t="s">
        <v>437</v>
      </c>
      <c r="C2" s="22" t="s">
        <v>438</v>
      </c>
      <c r="D2" s="22" t="s">
        <v>439</v>
      </c>
      <c r="E2" s="23" t="s">
        <v>440</v>
      </c>
      <c r="F2" s="23" t="s">
        <v>441</v>
      </c>
      <c r="G2" s="23" t="s">
        <v>442</v>
      </c>
      <c r="H2" s="23" t="s">
        <v>443</v>
      </c>
      <c r="I2" s="23" t="s">
        <v>444</v>
      </c>
      <c r="J2" s="23" t="s">
        <v>445</v>
      </c>
      <c r="K2" s="23" t="s">
        <v>446</v>
      </c>
      <c r="L2" s="23" t="s">
        <v>447</v>
      </c>
      <c r="M2" s="24" t="s">
        <v>448</v>
      </c>
      <c r="N2" s="24"/>
      <c r="O2" s="24"/>
      <c r="P2" s="24" t="s">
        <v>449</v>
      </c>
      <c r="Q2" s="24" t="s">
        <v>450</v>
      </c>
      <c r="R2" s="25" t="s">
        <v>451</v>
      </c>
      <c r="S2" s="25" t="s">
        <v>452</v>
      </c>
      <c r="T2" s="24" t="s">
        <v>453</v>
      </c>
      <c r="U2" s="26" t="s">
        <v>454</v>
      </c>
      <c r="V2" s="2"/>
    </row>
    <row r="3" spans="2:24" s="1" customFormat="1" ht="15" customHeight="1" x14ac:dyDescent="0.25">
      <c r="B3" s="1" t="s">
        <v>455</v>
      </c>
      <c r="C3" s="1" t="s">
        <v>456</v>
      </c>
      <c r="D3" s="1" t="s">
        <v>297</v>
      </c>
      <c r="E3" t="s">
        <v>457</v>
      </c>
      <c r="F3" t="s">
        <v>458</v>
      </c>
      <c r="G3" t="s">
        <v>459</v>
      </c>
      <c r="H3" t="s">
        <v>460</v>
      </c>
      <c r="I3" t="s">
        <v>461</v>
      </c>
      <c r="J3" t="s">
        <v>462</v>
      </c>
      <c r="K3"/>
      <c r="L3" t="s">
        <v>463</v>
      </c>
      <c r="M3">
        <v>0</v>
      </c>
      <c r="N3" t="s">
        <v>464</v>
      </c>
      <c r="O3"/>
      <c r="P3"/>
      <c r="Q3" s="7">
        <v>6</v>
      </c>
      <c r="R3" s="27">
        <f t="shared" ref="R3:R47" si="0">IF(Q3-SUM(S3:T3)=0,"",Q3-SUM(S3:T3))</f>
        <v>6</v>
      </c>
      <c r="S3" s="27" t="str">
        <f>IF(SUM(COUNTIFS('09_30_10_06'!E:E,'09_30_10_06 Acc Rate'!C3,'09_30_10_06'!O:O,"*M*"),COUNTIFS('09_30_10_06'!E:E,'09_30_10_06 Acc Rate'!C3,'09_30_10_06'!R:R,"*M*"))=0,"",SUM(COUNTIFS('09_30_10_06'!E:E,'09_30_10_06 Acc Rate'!C3,'09_30_10_06'!O:O,"*M*"),COUNTIFS('09_30_10_06'!E:E,'09_30_10_06 Acc Rate'!C3,'09_30_10_06'!R:R,"*M*")))</f>
        <v/>
      </c>
      <c r="T3" s="1" t="str">
        <f>IF(SUM(COUNTIFS('09_30_10_06'!E:E,'09_30_10_06 Acc Rate'!C3,'09_30_10_06'!P:P,"*E*"),COUNTIFS('09_30_10_06'!E:E,'09_30_10_06 Acc Rate'!C3,'09_30_10_06'!S:S,"*E*"))=0,"",SUM(COUNTIFS('09_30_10_06'!E:E,'09_30_10_06 Acc Rate'!C3,'09_30_10_06'!P:P,"*E*"),COUNTIFS('09_30_10_06'!E:E,'09_30_10_06 Acc Rate'!C3,'09_30_10_06'!S:S,"*E*")))</f>
        <v/>
      </c>
      <c r="U3" s="8">
        <f>IF(ISERROR(SUM(_xlfn.NUMBERVALUE(S3)*8+_xlfn.NUMBERVALUE(T3)*2)/Q3),"",SUM(_xlfn.NUMBERVALUE(S3)*8+_xlfn.NUMBERVALUE(T3)*2)/Q3)</f>
        <v>0</v>
      </c>
      <c r="V3" s="2"/>
      <c r="W3" s="83" t="s">
        <v>465</v>
      </c>
      <c r="X3" s="83"/>
    </row>
    <row r="4" spans="2:24" s="1" customFormat="1" ht="15" customHeight="1" x14ac:dyDescent="0.25">
      <c r="B4" s="1" t="s">
        <v>466</v>
      </c>
      <c r="C4" s="1" t="s">
        <v>353</v>
      </c>
      <c r="D4" s="1" t="s">
        <v>354</v>
      </c>
      <c r="E4" t="s">
        <v>467</v>
      </c>
      <c r="F4" t="s">
        <v>294</v>
      </c>
      <c r="G4" t="s">
        <v>468</v>
      </c>
      <c r="H4" t="s">
        <v>460</v>
      </c>
      <c r="I4" t="s">
        <v>469</v>
      </c>
      <c r="J4" t="s">
        <v>470</v>
      </c>
      <c r="K4"/>
      <c r="L4" t="s">
        <v>471</v>
      </c>
      <c r="M4">
        <v>15</v>
      </c>
      <c r="N4" t="s">
        <v>472</v>
      </c>
      <c r="O4">
        <v>127</v>
      </c>
      <c r="P4">
        <v>40</v>
      </c>
      <c r="Q4" s="7">
        <v>471</v>
      </c>
      <c r="R4" s="27">
        <f t="shared" si="0"/>
        <v>471</v>
      </c>
      <c r="S4" s="27" t="str">
        <f>IF(SUM(COUNTIFS('09_30_10_06'!E:E,'09_30_10_06 Acc Rate'!C4,'09_30_10_06'!O:O,"*M*"),COUNTIFS('09_30_10_06'!E:E,'09_30_10_06 Acc Rate'!C4,'09_30_10_06'!R:R,"*M*"))=0,"",SUM(COUNTIFS('09_30_10_06'!E:E,'09_30_10_06 Acc Rate'!C4,'09_30_10_06'!O:O,"*M*"),COUNTIFS('09_30_10_06'!E:E,'09_30_10_06 Acc Rate'!C4,'09_30_10_06'!R:R,"*M*")))</f>
        <v/>
      </c>
      <c r="T4" s="1" t="str">
        <f>IF(SUM(COUNTIFS('09_30_10_06'!E:E,'09_30_10_06 Acc Rate'!C4,'09_30_10_06'!P:P,"*E*"),COUNTIFS('09_30_10_06'!E:E,'09_30_10_06 Acc Rate'!C4,'09_30_10_06'!S:S,"*E*"))=0,"",SUM(COUNTIFS('09_30_10_06'!E:E,'09_30_10_06 Acc Rate'!C4,'09_30_10_06'!P:P,"*E*"),COUNTIFS('09_30_10_06'!E:E,'09_30_10_06 Acc Rate'!C4,'09_30_10_06'!S:S,"*E*")))</f>
        <v/>
      </c>
      <c r="U4" s="8">
        <f t="shared" ref="U4:U46" si="1">IF(ISERROR(SUM(_xlfn.NUMBERVALUE(S4)*8+_xlfn.NUMBERVALUE(T4)*2)/Q4),"",SUM(_xlfn.NUMBERVALUE(S4)*8+_xlfn.NUMBERVALUE(T4)*2)/Q4)</f>
        <v>0</v>
      </c>
      <c r="V4" s="2"/>
      <c r="W4" s="40" t="s">
        <v>473</v>
      </c>
      <c r="X4" s="41" t="s">
        <v>474</v>
      </c>
    </row>
    <row r="5" spans="2:24" s="1" customFormat="1" ht="15" customHeight="1" x14ac:dyDescent="0.25">
      <c r="B5" s="1" t="s">
        <v>475</v>
      </c>
      <c r="C5" s="1" t="s">
        <v>362</v>
      </c>
      <c r="D5" s="1" t="s">
        <v>394</v>
      </c>
      <c r="E5" t="s">
        <v>476</v>
      </c>
      <c r="F5" t="s">
        <v>175</v>
      </c>
      <c r="G5" t="s">
        <v>477</v>
      </c>
      <c r="H5" t="s">
        <v>460</v>
      </c>
      <c r="I5" t="s">
        <v>478</v>
      </c>
      <c r="J5" t="s">
        <v>479</v>
      </c>
      <c r="K5" t="s">
        <v>469</v>
      </c>
      <c r="L5" t="s">
        <v>480</v>
      </c>
      <c r="M5">
        <v>15</v>
      </c>
      <c r="N5" t="s">
        <v>481</v>
      </c>
      <c r="O5">
        <v>67</v>
      </c>
      <c r="P5">
        <v>20</v>
      </c>
      <c r="Q5" s="7">
        <v>213</v>
      </c>
      <c r="R5" s="27">
        <f t="shared" si="0"/>
        <v>213</v>
      </c>
      <c r="S5" s="27" t="str">
        <f>IF(SUM(COUNTIFS('09_30_10_06'!E:E,'09_30_10_06 Acc Rate'!C5,'09_30_10_06'!O:O,"*M*"),COUNTIFS('09_30_10_06'!E:E,'09_30_10_06 Acc Rate'!C5,'09_30_10_06'!R:R,"*M*"))=0,"",SUM(COUNTIFS('09_30_10_06'!E:E,'09_30_10_06 Acc Rate'!C5,'09_30_10_06'!O:O,"*M*"),COUNTIFS('09_30_10_06'!E:E,'09_30_10_06 Acc Rate'!C5,'09_30_10_06'!R:R,"*M*")))</f>
        <v/>
      </c>
      <c r="T5" s="1" t="str">
        <f>IF(SUM(COUNTIFS('09_30_10_06'!E:E,'09_30_10_06 Acc Rate'!C5,'09_30_10_06'!P:P,"*E*"),COUNTIFS('09_30_10_06'!E:E,'09_30_10_06 Acc Rate'!C5,'09_30_10_06'!S:S,"*E*"))=0,"",SUM(COUNTIFS('09_30_10_06'!E:E,'09_30_10_06 Acc Rate'!C5,'09_30_10_06'!P:P,"*E*"),COUNTIFS('09_30_10_06'!E:E,'09_30_10_06 Acc Rate'!C5,'09_30_10_06'!S:S,"*E*")))</f>
        <v/>
      </c>
      <c r="U5" s="8">
        <f t="shared" si="1"/>
        <v>0</v>
      </c>
      <c r="V5" s="2"/>
      <c r="W5" s="40" t="s">
        <v>482</v>
      </c>
      <c r="X5" s="41" t="s">
        <v>483</v>
      </c>
    </row>
    <row r="6" spans="2:24" s="1" customFormat="1" ht="15" customHeight="1" x14ac:dyDescent="0.25">
      <c r="B6" s="1" t="s">
        <v>484</v>
      </c>
      <c r="C6" s="1" t="s">
        <v>22</v>
      </c>
      <c r="D6" s="1" t="s">
        <v>23</v>
      </c>
      <c r="E6" t="s">
        <v>485</v>
      </c>
      <c r="F6" t="s">
        <v>486</v>
      </c>
      <c r="G6" t="s">
        <v>487</v>
      </c>
      <c r="H6" t="s">
        <v>460</v>
      </c>
      <c r="I6" t="s">
        <v>488</v>
      </c>
      <c r="J6" t="s">
        <v>479</v>
      </c>
      <c r="K6" t="s">
        <v>469</v>
      </c>
      <c r="L6"/>
      <c r="M6">
        <v>15</v>
      </c>
      <c r="N6" t="s">
        <v>489</v>
      </c>
      <c r="O6">
        <v>2117</v>
      </c>
      <c r="P6">
        <v>40</v>
      </c>
      <c r="Q6" s="7">
        <v>644</v>
      </c>
      <c r="R6" s="27">
        <f t="shared" si="0"/>
        <v>644</v>
      </c>
      <c r="S6" s="27" t="str">
        <f>IF(SUM(COUNTIFS('09_30_10_06'!E:E,'09_30_10_06 Acc Rate'!C6,'09_30_10_06'!O:O,"*M*"),COUNTIFS('09_30_10_06'!E:E,'09_30_10_06 Acc Rate'!C6,'09_30_10_06'!R:R,"*M*"))=0,"",SUM(COUNTIFS('09_30_10_06'!E:E,'09_30_10_06 Acc Rate'!C6,'09_30_10_06'!O:O,"*M*"),COUNTIFS('09_30_10_06'!E:E,'09_30_10_06 Acc Rate'!C6,'09_30_10_06'!R:R,"*M*")))</f>
        <v/>
      </c>
      <c r="T6" s="1" t="str">
        <f>IF(SUM(COUNTIFS('09_30_10_06'!E:E,'09_30_10_06 Acc Rate'!C6,'09_30_10_06'!P:P,"*E*"),COUNTIFS('09_30_10_06'!E:E,'09_30_10_06 Acc Rate'!C6,'09_30_10_06'!S:S,"*E*"))=0,"",SUM(COUNTIFS('09_30_10_06'!E:E,'09_30_10_06 Acc Rate'!C6,'09_30_10_06'!P:P,"*E*"),COUNTIFS('09_30_10_06'!E:E,'09_30_10_06 Acc Rate'!C6,'09_30_10_06'!S:S,"*E*")))</f>
        <v/>
      </c>
      <c r="U6" s="8">
        <f t="shared" si="1"/>
        <v>0</v>
      </c>
      <c r="V6" s="2"/>
      <c r="W6" s="40" t="s">
        <v>490</v>
      </c>
      <c r="X6" s="41" t="s">
        <v>491</v>
      </c>
    </row>
    <row r="7" spans="2:24" s="1" customFormat="1" ht="15" customHeight="1" x14ac:dyDescent="0.25">
      <c r="B7" s="1" t="s">
        <v>492</v>
      </c>
      <c r="C7" s="1" t="s">
        <v>107</v>
      </c>
      <c r="D7" s="1" t="s">
        <v>108</v>
      </c>
      <c r="E7" t="s">
        <v>493</v>
      </c>
      <c r="F7" t="s">
        <v>494</v>
      </c>
      <c r="G7" t="s">
        <v>495</v>
      </c>
      <c r="H7" t="s">
        <v>460</v>
      </c>
      <c r="I7" t="s">
        <v>496</v>
      </c>
      <c r="J7" t="s">
        <v>479</v>
      </c>
      <c r="K7" t="s">
        <v>469</v>
      </c>
      <c r="L7"/>
      <c r="M7">
        <v>15</v>
      </c>
      <c r="N7" t="s">
        <v>497</v>
      </c>
      <c r="O7" t="s">
        <v>498</v>
      </c>
      <c r="P7">
        <v>40</v>
      </c>
      <c r="Q7" s="7">
        <v>1099</v>
      </c>
      <c r="R7" s="27">
        <f t="shared" si="0"/>
        <v>1095</v>
      </c>
      <c r="S7" s="27">
        <f>IF(SUM(COUNTIFS('09_30_10_06'!E:E,'09_30_10_06 Acc Rate'!C7,'09_30_10_06'!O:O,"*M*"),COUNTIFS('09_30_10_06'!E:E,'09_30_10_06 Acc Rate'!C7,'09_30_10_06'!R:R,"*M*"))=0,"",SUM(COUNTIFS('09_30_10_06'!E:E,'09_30_10_06 Acc Rate'!C7,'09_30_10_06'!O:O,"*M*"),COUNTIFS('09_30_10_06'!E:E,'09_30_10_06 Acc Rate'!C7,'09_30_10_06'!R:R,"*M*")))</f>
        <v>4</v>
      </c>
      <c r="T7" s="1" t="str">
        <f>IF(SUM(COUNTIFS('09_30_10_06'!E:E,'09_30_10_06 Acc Rate'!C7,'09_30_10_06'!P:P,"*E*"),COUNTIFS('09_30_10_06'!E:E,'09_30_10_06 Acc Rate'!C7,'09_30_10_06'!S:S,"*E*"))=0,"",SUM(COUNTIFS('09_30_10_06'!E:E,'09_30_10_06 Acc Rate'!C7,'09_30_10_06'!P:P,"*E*"),COUNTIFS('09_30_10_06'!E:E,'09_30_10_06 Acc Rate'!C7,'09_30_10_06'!S:S,"*E*")))</f>
        <v/>
      </c>
      <c r="U7" s="8">
        <f t="shared" si="1"/>
        <v>2.9117379435850774E-2</v>
      </c>
      <c r="V7" s="2"/>
      <c r="W7" s="84" t="s">
        <v>499</v>
      </c>
      <c r="X7" s="84"/>
    </row>
    <row r="8" spans="2:24" s="1" customFormat="1" ht="15" customHeight="1" x14ac:dyDescent="0.25">
      <c r="B8" s="1" t="s">
        <v>500</v>
      </c>
      <c r="C8" s="1" t="s">
        <v>176</v>
      </c>
      <c r="D8" s="1" t="s">
        <v>177</v>
      </c>
      <c r="E8" t="s">
        <v>501</v>
      </c>
      <c r="F8" t="s">
        <v>168</v>
      </c>
      <c r="G8" t="s">
        <v>502</v>
      </c>
      <c r="H8" t="s">
        <v>460</v>
      </c>
      <c r="I8" t="s">
        <v>503</v>
      </c>
      <c r="J8" t="s">
        <v>479</v>
      </c>
      <c r="K8" t="s">
        <v>469</v>
      </c>
      <c r="L8"/>
      <c r="M8">
        <v>15</v>
      </c>
      <c r="N8" t="s">
        <v>504</v>
      </c>
      <c r="O8">
        <v>182</v>
      </c>
      <c r="P8">
        <v>40</v>
      </c>
      <c r="Q8" s="7">
        <v>477</v>
      </c>
      <c r="R8" s="27">
        <f t="shared" si="0"/>
        <v>477</v>
      </c>
      <c r="S8" s="27" t="str">
        <f>IF(SUM(COUNTIFS('09_30_10_06'!E:E,'09_30_10_06 Acc Rate'!C8,'09_30_10_06'!O:O,"*M*"),COUNTIFS('09_30_10_06'!E:E,'09_30_10_06 Acc Rate'!C8,'09_30_10_06'!R:R,"*M*"))=0,"",SUM(COUNTIFS('09_30_10_06'!E:E,'09_30_10_06 Acc Rate'!C8,'09_30_10_06'!O:O,"*M*"),COUNTIFS('09_30_10_06'!E:E,'09_30_10_06 Acc Rate'!C8,'09_30_10_06'!R:R,"*M*")))</f>
        <v/>
      </c>
      <c r="T8" s="1" t="str">
        <f>IF(SUM(COUNTIFS('09_30_10_06'!E:E,'09_30_10_06 Acc Rate'!C8,'09_30_10_06'!P:P,"*E*"),COUNTIFS('09_30_10_06'!E:E,'09_30_10_06 Acc Rate'!C8,'09_30_10_06'!S:S,"*E*"))=0,"",SUM(COUNTIFS('09_30_10_06'!E:E,'09_30_10_06 Acc Rate'!C8,'09_30_10_06'!P:P,"*E*"),COUNTIFS('09_30_10_06'!E:E,'09_30_10_06 Acc Rate'!C8,'09_30_10_06'!S:S,"*E*")))</f>
        <v/>
      </c>
      <c r="U8" s="8">
        <f t="shared" si="1"/>
        <v>0</v>
      </c>
      <c r="V8" s="2"/>
      <c r="W8" s="85" t="s">
        <v>505</v>
      </c>
      <c r="X8" s="85"/>
    </row>
    <row r="9" spans="2:24" s="1" customFormat="1" ht="15" customHeight="1" x14ac:dyDescent="0.25">
      <c r="B9" s="1" t="s">
        <v>506</v>
      </c>
      <c r="C9" s="1" t="s">
        <v>208</v>
      </c>
      <c r="D9" s="1" t="s">
        <v>209</v>
      </c>
      <c r="E9" t="s">
        <v>507</v>
      </c>
      <c r="F9" t="s">
        <v>352</v>
      </c>
      <c r="G9" t="s">
        <v>508</v>
      </c>
      <c r="H9" t="s">
        <v>460</v>
      </c>
      <c r="I9" t="s">
        <v>509</v>
      </c>
      <c r="J9" t="s">
        <v>479</v>
      </c>
      <c r="K9" t="s">
        <v>469</v>
      </c>
      <c r="L9" t="s">
        <v>510</v>
      </c>
      <c r="M9">
        <v>15</v>
      </c>
      <c r="N9" t="s">
        <v>511</v>
      </c>
      <c r="O9">
        <v>32</v>
      </c>
      <c r="P9">
        <v>40</v>
      </c>
      <c r="Q9" s="7">
        <v>372</v>
      </c>
      <c r="R9" s="27">
        <f t="shared" si="0"/>
        <v>372</v>
      </c>
      <c r="S9" s="27" t="str">
        <f>IF(SUM(COUNTIFS('09_30_10_06'!E:E,'09_30_10_06 Acc Rate'!C9,'09_30_10_06'!O:O,"*M*"),COUNTIFS('09_30_10_06'!E:E,'09_30_10_06 Acc Rate'!C9,'09_30_10_06'!R:R,"*M*"))=0,"",SUM(COUNTIFS('09_30_10_06'!E:E,'09_30_10_06 Acc Rate'!C9,'09_30_10_06'!O:O,"*M*"),COUNTIFS('09_30_10_06'!E:E,'09_30_10_06 Acc Rate'!C9,'09_30_10_06'!R:R,"*M*")))</f>
        <v/>
      </c>
      <c r="T9" s="1" t="str">
        <f>IF(SUM(COUNTIFS('09_30_10_06'!E:E,'09_30_10_06 Acc Rate'!C9,'09_30_10_06'!P:P,"*E*"),COUNTIFS('09_30_10_06'!E:E,'09_30_10_06 Acc Rate'!C9,'09_30_10_06'!S:S,"*E*"))=0,"",SUM(COUNTIFS('09_30_10_06'!E:E,'09_30_10_06 Acc Rate'!C9,'09_30_10_06'!P:P,"*E*"),COUNTIFS('09_30_10_06'!E:E,'09_30_10_06 Acc Rate'!C9,'09_30_10_06'!S:S,"*E*")))</f>
        <v/>
      </c>
      <c r="U9" s="8">
        <f t="shared" si="1"/>
        <v>0</v>
      </c>
      <c r="V9" s="2"/>
    </row>
    <row r="10" spans="2:24" s="1" customFormat="1" ht="15" customHeight="1" x14ac:dyDescent="0.25">
      <c r="B10" s="1" t="s">
        <v>512</v>
      </c>
      <c r="C10" s="1" t="s">
        <v>371</v>
      </c>
      <c r="D10" s="1" t="s">
        <v>372</v>
      </c>
      <c r="E10" t="s">
        <v>513</v>
      </c>
      <c r="F10" t="s">
        <v>34</v>
      </c>
      <c r="G10" t="s">
        <v>514</v>
      </c>
      <c r="H10" t="s">
        <v>460</v>
      </c>
      <c r="I10" t="s">
        <v>515</v>
      </c>
      <c r="J10" t="s">
        <v>470</v>
      </c>
      <c r="K10"/>
      <c r="L10" t="s">
        <v>516</v>
      </c>
      <c r="M10">
        <v>15</v>
      </c>
      <c r="N10" t="s">
        <v>517</v>
      </c>
      <c r="O10">
        <v>132</v>
      </c>
      <c r="P10">
        <v>40</v>
      </c>
      <c r="Q10" s="7">
        <v>498</v>
      </c>
      <c r="R10" s="27">
        <f t="shared" si="0"/>
        <v>498</v>
      </c>
      <c r="S10" s="27" t="str">
        <f>IF(SUM(COUNTIFS('09_30_10_06'!E:E,'09_30_10_06 Acc Rate'!C10,'09_30_10_06'!O:O,"*M*"),COUNTIFS('09_30_10_06'!E:E,'09_30_10_06 Acc Rate'!C10,'09_30_10_06'!R:R,"*M*"))=0,"",SUM(COUNTIFS('09_30_10_06'!E:E,'09_30_10_06 Acc Rate'!C10,'09_30_10_06'!O:O,"*M*"),COUNTIFS('09_30_10_06'!E:E,'09_30_10_06 Acc Rate'!C10,'09_30_10_06'!R:R,"*M*")))</f>
        <v/>
      </c>
      <c r="T10" s="1" t="str">
        <f>IF(SUM(COUNTIFS('09_30_10_06'!E:E,'09_30_10_06 Acc Rate'!C10,'09_30_10_06'!P:P,"*E*"),COUNTIFS('09_30_10_06'!E:E,'09_30_10_06 Acc Rate'!C10,'09_30_10_06'!S:S,"*E*"))=0,"",SUM(COUNTIFS('09_30_10_06'!E:E,'09_30_10_06 Acc Rate'!C10,'09_30_10_06'!P:P,"*E*"),COUNTIFS('09_30_10_06'!E:E,'09_30_10_06 Acc Rate'!C10,'09_30_10_06'!S:S,"*E*")))</f>
        <v/>
      </c>
      <c r="U10" s="8">
        <f t="shared" si="1"/>
        <v>0</v>
      </c>
      <c r="V10" s="2"/>
    </row>
    <row r="11" spans="2:24" s="1" customFormat="1" ht="15" customHeight="1" x14ac:dyDescent="0.25">
      <c r="B11" s="1" t="s">
        <v>518</v>
      </c>
      <c r="C11" s="1" t="s">
        <v>296</v>
      </c>
      <c r="D11" s="1" t="s">
        <v>297</v>
      </c>
      <c r="E11" t="s">
        <v>519</v>
      </c>
      <c r="F11" t="s">
        <v>520</v>
      </c>
      <c r="G11" t="s">
        <v>521</v>
      </c>
      <c r="H11" t="s">
        <v>460</v>
      </c>
      <c r="I11" t="s">
        <v>522</v>
      </c>
      <c r="J11" t="s">
        <v>523</v>
      </c>
      <c r="K11" t="s">
        <v>515</v>
      </c>
      <c r="L11"/>
      <c r="M11">
        <v>15</v>
      </c>
      <c r="N11" t="s">
        <v>524</v>
      </c>
      <c r="O11">
        <v>719</v>
      </c>
      <c r="P11">
        <v>40</v>
      </c>
      <c r="Q11" s="7">
        <v>668</v>
      </c>
      <c r="R11" s="27">
        <f t="shared" si="0"/>
        <v>667</v>
      </c>
      <c r="S11" s="27" t="str">
        <f>IF(SUM(COUNTIFS('09_30_10_06'!E:E,'09_30_10_06 Acc Rate'!C11,'09_30_10_06'!O:O,"*M*"),COUNTIFS('09_30_10_06'!E:E,'09_30_10_06 Acc Rate'!C11,'09_30_10_06'!R:R,"*M*"))=0,"",SUM(COUNTIFS('09_30_10_06'!E:E,'09_30_10_06 Acc Rate'!C11,'09_30_10_06'!O:O,"*M*"),COUNTIFS('09_30_10_06'!E:E,'09_30_10_06 Acc Rate'!C11,'09_30_10_06'!R:R,"*M*")))</f>
        <v/>
      </c>
      <c r="T11" s="1">
        <f>IF(SUM(COUNTIFS('09_30_10_06'!E:E,'09_30_10_06 Acc Rate'!C11,'09_30_10_06'!P:P,"*E*"),COUNTIFS('09_30_10_06'!E:E,'09_30_10_06 Acc Rate'!C11,'09_30_10_06'!S:S,"*E*"))=0,"",SUM(COUNTIFS('09_30_10_06'!E:E,'09_30_10_06 Acc Rate'!C11,'09_30_10_06'!P:P,"*E*"),COUNTIFS('09_30_10_06'!E:E,'09_30_10_06 Acc Rate'!C11,'09_30_10_06'!S:S,"*E*")))</f>
        <v>1</v>
      </c>
      <c r="U11" s="8">
        <f t="shared" si="1"/>
        <v>2.9940119760479044E-3</v>
      </c>
      <c r="V11" s="2"/>
    </row>
    <row r="12" spans="2:24" s="1" customFormat="1" ht="15" customHeight="1" x14ac:dyDescent="0.25">
      <c r="B12" s="1" t="s">
        <v>525</v>
      </c>
      <c r="C12" s="1" t="s">
        <v>277</v>
      </c>
      <c r="D12" s="1" t="s">
        <v>278</v>
      </c>
      <c r="E12" t="s">
        <v>526</v>
      </c>
      <c r="F12" t="s">
        <v>527</v>
      </c>
      <c r="G12" t="s">
        <v>528</v>
      </c>
      <c r="H12" t="s">
        <v>460</v>
      </c>
      <c r="I12" t="s">
        <v>529</v>
      </c>
      <c r="J12" t="s">
        <v>523</v>
      </c>
      <c r="K12" t="s">
        <v>515</v>
      </c>
      <c r="L12"/>
      <c r="M12">
        <v>15</v>
      </c>
      <c r="N12" t="s">
        <v>530</v>
      </c>
      <c r="O12">
        <v>219</v>
      </c>
      <c r="P12">
        <v>25</v>
      </c>
      <c r="Q12" s="7">
        <v>265</v>
      </c>
      <c r="R12" s="27">
        <f t="shared" si="0"/>
        <v>265</v>
      </c>
      <c r="S12" s="27" t="str">
        <f>IF(SUM(COUNTIFS('09_30_10_06'!E:E,'09_30_10_06 Acc Rate'!C12,'09_30_10_06'!O:O,"*M*"),COUNTIFS('09_30_10_06'!E:E,'09_30_10_06 Acc Rate'!C12,'09_30_10_06'!R:R,"*M*"))=0,"",SUM(COUNTIFS('09_30_10_06'!E:E,'09_30_10_06 Acc Rate'!C12,'09_30_10_06'!O:O,"*M*"),COUNTIFS('09_30_10_06'!E:E,'09_30_10_06 Acc Rate'!C12,'09_30_10_06'!R:R,"*M*")))</f>
        <v/>
      </c>
      <c r="T12" s="1" t="str">
        <f>IF(SUM(COUNTIFS('09_30_10_06'!E:E,'09_30_10_06 Acc Rate'!C12,'09_30_10_06'!P:P,"*E*"),COUNTIFS('09_30_10_06'!E:E,'09_30_10_06 Acc Rate'!C12,'09_30_10_06'!S:S,"*E*"))=0,"",SUM(COUNTIFS('09_30_10_06'!E:E,'09_30_10_06 Acc Rate'!C12,'09_30_10_06'!P:P,"*E*"),COUNTIFS('09_30_10_06'!E:E,'09_30_10_06 Acc Rate'!C12,'09_30_10_06'!S:S,"*E*")))</f>
        <v/>
      </c>
      <c r="U12" s="8">
        <f t="shared" si="1"/>
        <v>0</v>
      </c>
      <c r="V12" s="2"/>
    </row>
    <row r="13" spans="2:24" s="1" customFormat="1" ht="15" customHeight="1" x14ac:dyDescent="0.25">
      <c r="B13" s="1" t="s">
        <v>531</v>
      </c>
      <c r="C13" s="1" t="s">
        <v>325</v>
      </c>
      <c r="D13" s="1" t="s">
        <v>278</v>
      </c>
      <c r="E13" t="s">
        <v>532</v>
      </c>
      <c r="F13" t="s">
        <v>244</v>
      </c>
      <c r="G13" t="s">
        <v>533</v>
      </c>
      <c r="H13" t="s">
        <v>460</v>
      </c>
      <c r="I13" t="s">
        <v>534</v>
      </c>
      <c r="J13" t="s">
        <v>523</v>
      </c>
      <c r="K13" t="s">
        <v>515</v>
      </c>
      <c r="L13" t="s">
        <v>535</v>
      </c>
      <c r="M13">
        <v>15</v>
      </c>
      <c r="N13" t="s">
        <v>536</v>
      </c>
      <c r="O13">
        <v>142</v>
      </c>
      <c r="P13">
        <v>25</v>
      </c>
      <c r="Q13" s="7">
        <v>79</v>
      </c>
      <c r="R13" s="27">
        <f t="shared" si="0"/>
        <v>79</v>
      </c>
      <c r="S13" s="27" t="str">
        <f>IF(SUM(COUNTIFS('09_30_10_06'!E:E,'09_30_10_06 Acc Rate'!C13,'09_30_10_06'!O:O,"*M*"),COUNTIFS('09_30_10_06'!E:E,'09_30_10_06 Acc Rate'!C13,'09_30_10_06'!R:R,"*M*"))=0,"",SUM(COUNTIFS('09_30_10_06'!E:E,'09_30_10_06 Acc Rate'!C13,'09_30_10_06'!O:O,"*M*"),COUNTIFS('09_30_10_06'!E:E,'09_30_10_06 Acc Rate'!C13,'09_30_10_06'!R:R,"*M*")))</f>
        <v/>
      </c>
      <c r="T13" s="1" t="str">
        <f>IF(SUM(COUNTIFS('09_30_10_06'!E:E,'09_30_10_06 Acc Rate'!C13,'09_30_10_06'!P:P,"*E*"),COUNTIFS('09_30_10_06'!E:E,'09_30_10_06 Acc Rate'!C13,'09_30_10_06'!S:S,"*E*"))=0,"",SUM(COUNTIFS('09_30_10_06'!E:E,'09_30_10_06 Acc Rate'!C13,'09_30_10_06'!P:P,"*E*"),COUNTIFS('09_30_10_06'!E:E,'09_30_10_06 Acc Rate'!C13,'09_30_10_06'!S:S,"*E*")))</f>
        <v/>
      </c>
      <c r="U13" s="8">
        <f t="shared" si="1"/>
        <v>0</v>
      </c>
      <c r="V13" s="2"/>
    </row>
    <row r="14" spans="2:24" s="1" customFormat="1" ht="15" customHeight="1" x14ac:dyDescent="0.25">
      <c r="B14" s="1" t="s">
        <v>537</v>
      </c>
      <c r="C14" s="1" t="s">
        <v>64</v>
      </c>
      <c r="D14" s="1" t="s">
        <v>65</v>
      </c>
      <c r="E14" t="s">
        <v>538</v>
      </c>
      <c r="F14" t="s">
        <v>114</v>
      </c>
      <c r="G14" t="s">
        <v>539</v>
      </c>
      <c r="H14" t="s">
        <v>460</v>
      </c>
      <c r="I14" t="s">
        <v>540</v>
      </c>
      <c r="J14" t="s">
        <v>523</v>
      </c>
      <c r="K14" t="s">
        <v>515</v>
      </c>
      <c r="L14"/>
      <c r="M14">
        <v>15</v>
      </c>
      <c r="N14" t="s">
        <v>541</v>
      </c>
      <c r="O14">
        <v>716</v>
      </c>
      <c r="P14">
        <v>25</v>
      </c>
      <c r="Q14" s="7">
        <v>560</v>
      </c>
      <c r="R14" s="27">
        <f t="shared" si="0"/>
        <v>560</v>
      </c>
      <c r="S14" s="27" t="str">
        <f>IF(SUM(COUNTIFS('09_30_10_06'!E:E,'09_30_10_06 Acc Rate'!C14,'09_30_10_06'!O:O,"*M*"),COUNTIFS('09_30_10_06'!E:E,'09_30_10_06 Acc Rate'!C14,'09_30_10_06'!R:R,"*M*"))=0,"",SUM(COUNTIFS('09_30_10_06'!E:E,'09_30_10_06 Acc Rate'!C14,'09_30_10_06'!O:O,"*M*"),COUNTIFS('09_30_10_06'!E:E,'09_30_10_06 Acc Rate'!C14,'09_30_10_06'!R:R,"*M*")))</f>
        <v/>
      </c>
      <c r="T14" s="1" t="str">
        <f>IF(SUM(COUNTIFS('09_30_10_06'!E:E,'09_30_10_06 Acc Rate'!C14,'09_30_10_06'!P:P,"*E*"),COUNTIFS('09_30_10_06'!E:E,'09_30_10_06 Acc Rate'!C14,'09_30_10_06'!S:S,"*E*"))=0,"",SUM(COUNTIFS('09_30_10_06'!E:E,'09_30_10_06 Acc Rate'!C14,'09_30_10_06'!P:P,"*E*"),COUNTIFS('09_30_10_06'!E:E,'09_30_10_06 Acc Rate'!C14,'09_30_10_06'!S:S,"*E*")))</f>
        <v/>
      </c>
      <c r="U14" s="8">
        <f t="shared" si="1"/>
        <v>0</v>
      </c>
      <c r="V14" s="2"/>
    </row>
    <row r="15" spans="2:24" ht="15" customHeight="1" x14ac:dyDescent="0.25">
      <c r="B15" s="1" t="s">
        <v>542</v>
      </c>
      <c r="C15" s="1" t="s">
        <v>245</v>
      </c>
      <c r="D15" s="1" t="s">
        <v>246</v>
      </c>
      <c r="E15" t="s">
        <v>543</v>
      </c>
      <c r="F15" t="s">
        <v>21</v>
      </c>
      <c r="G15" t="s">
        <v>544</v>
      </c>
      <c r="H15" t="s">
        <v>460</v>
      </c>
      <c r="I15" t="s">
        <v>545</v>
      </c>
      <c r="J15" t="s">
        <v>523</v>
      </c>
      <c r="K15" t="s">
        <v>515</v>
      </c>
      <c r="L15" t="s">
        <v>546</v>
      </c>
      <c r="M15">
        <v>15</v>
      </c>
      <c r="N15" t="s">
        <v>547</v>
      </c>
      <c r="O15">
        <v>209</v>
      </c>
      <c r="P15">
        <v>40</v>
      </c>
      <c r="Q15" s="7">
        <v>358</v>
      </c>
      <c r="R15" s="27">
        <f t="shared" si="0"/>
        <v>358</v>
      </c>
      <c r="S15" s="27" t="str">
        <f>IF(SUM(COUNTIFS('09_30_10_06'!E:E,'09_30_10_06 Acc Rate'!C15,'09_30_10_06'!O:O,"*M*"),COUNTIFS('09_30_10_06'!E:E,'09_30_10_06 Acc Rate'!C15,'09_30_10_06'!R:R,"*M*"))=0,"",SUM(COUNTIFS('09_30_10_06'!E:E,'09_30_10_06 Acc Rate'!C15,'09_30_10_06'!O:O,"*M*"),COUNTIFS('09_30_10_06'!E:E,'09_30_10_06 Acc Rate'!C15,'09_30_10_06'!R:R,"*M*")))</f>
        <v/>
      </c>
      <c r="T15" s="1" t="str">
        <f>IF(SUM(COUNTIFS('09_30_10_06'!E:E,'09_30_10_06 Acc Rate'!C15,'09_30_10_06'!P:P,"*E*"),COUNTIFS('09_30_10_06'!E:E,'09_30_10_06 Acc Rate'!C15,'09_30_10_06'!S:S,"*E*"))=0,"",SUM(COUNTIFS('09_30_10_06'!E:E,'09_30_10_06 Acc Rate'!C15,'09_30_10_06'!P:P,"*E*"),COUNTIFS('09_30_10_06'!E:E,'09_30_10_06 Acc Rate'!C15,'09_30_10_06'!S:S,"*E*")))</f>
        <v/>
      </c>
      <c r="U15" s="8">
        <f t="shared" si="1"/>
        <v>0</v>
      </c>
    </row>
    <row r="16" spans="2:24" ht="15" customHeight="1" x14ac:dyDescent="0.25">
      <c r="B16" s="1" t="s">
        <v>548</v>
      </c>
      <c r="C16" s="1" t="s">
        <v>396</v>
      </c>
      <c r="D16" s="1" t="s">
        <v>549</v>
      </c>
      <c r="E16"/>
      <c r="F16" t="s">
        <v>550</v>
      </c>
      <c r="G16" t="s">
        <v>551</v>
      </c>
      <c r="H16" t="s">
        <v>552</v>
      </c>
      <c r="I16" t="s">
        <v>553</v>
      </c>
      <c r="J16" t="s">
        <v>554</v>
      </c>
      <c r="K16"/>
      <c r="L16"/>
      <c r="M16">
        <v>6</v>
      </c>
      <c r="N16"/>
      <c r="O16"/>
      <c r="P16"/>
      <c r="Q16" s="7"/>
      <c r="R16" s="27" t="str">
        <f t="shared" si="0"/>
        <v/>
      </c>
      <c r="S16" s="27" t="str">
        <f>IF(SUM(COUNTIFS('09_30_10_06'!E:E,'09_30_10_06 Acc Rate'!C16,'09_30_10_06'!O:O,"*M*"),COUNTIFS('09_30_10_06'!E:E,'09_30_10_06 Acc Rate'!C16,'09_30_10_06'!R:R,"*M*"))=0,"",SUM(COUNTIFS('09_30_10_06'!E:E,'09_30_10_06 Acc Rate'!C16,'09_30_10_06'!O:O,"*M*"),COUNTIFS('09_30_10_06'!E:E,'09_30_10_06 Acc Rate'!C16,'09_30_10_06'!R:R,"*M*")))</f>
        <v/>
      </c>
      <c r="T16" s="1" t="str">
        <f>IF(SUM(COUNTIFS('09_30_10_06'!E:E,'09_30_10_06 Acc Rate'!C16,'09_30_10_06'!P:P,"*E*"),COUNTIFS('09_30_10_06'!E:E,'09_30_10_06 Acc Rate'!C16,'09_30_10_06'!S:S,"*E*"))=0,"",SUM(COUNTIFS('09_30_10_06'!E:E,'09_30_10_06 Acc Rate'!C16,'09_30_10_06'!P:P,"*E*"),COUNTIFS('09_30_10_06'!E:E,'09_30_10_06 Acc Rate'!C16,'09_30_10_06'!S:S,"*E*")))</f>
        <v/>
      </c>
      <c r="U16" s="8" t="str">
        <f t="shared" si="1"/>
        <v/>
      </c>
    </row>
    <row r="17" spans="2:21" ht="15" customHeight="1" x14ac:dyDescent="0.25">
      <c r="B17" s="1" t="s">
        <v>555</v>
      </c>
      <c r="C17" s="1" t="s">
        <v>556</v>
      </c>
      <c r="D17" s="1" t="s">
        <v>557</v>
      </c>
      <c r="E17"/>
      <c r="F17" t="s">
        <v>558</v>
      </c>
      <c r="G17" t="s">
        <v>559</v>
      </c>
      <c r="H17" t="s">
        <v>552</v>
      </c>
      <c r="I17" t="s">
        <v>560</v>
      </c>
      <c r="J17" t="s">
        <v>561</v>
      </c>
      <c r="K17" t="s">
        <v>553</v>
      </c>
      <c r="L17"/>
      <c r="M17">
        <v>6</v>
      </c>
      <c r="N17"/>
      <c r="O17"/>
      <c r="P17"/>
      <c r="Q17" s="7"/>
      <c r="R17" s="27" t="str">
        <f t="shared" si="0"/>
        <v/>
      </c>
      <c r="S17" s="27" t="str">
        <f>IF(SUM(COUNTIFS('09_30_10_06'!E:E,'09_30_10_06 Acc Rate'!C17,'09_30_10_06'!O:O,"*M*"),COUNTIFS('09_30_10_06'!E:E,'09_30_10_06 Acc Rate'!C17,'09_30_10_06'!R:R,"*M*"))=0,"",SUM(COUNTIFS('09_30_10_06'!E:E,'09_30_10_06 Acc Rate'!C17,'09_30_10_06'!O:O,"*M*"),COUNTIFS('09_30_10_06'!E:E,'09_30_10_06 Acc Rate'!C17,'09_30_10_06'!R:R,"*M*")))</f>
        <v/>
      </c>
      <c r="T17" s="1" t="str">
        <f>IF(SUM(COUNTIFS('09_30_10_06'!E:E,'09_30_10_06 Acc Rate'!C17,'09_30_10_06'!P:P,"*E*"),COUNTIFS('09_30_10_06'!E:E,'09_30_10_06 Acc Rate'!C17,'09_30_10_06'!S:S,"*E*"))=0,"",SUM(COUNTIFS('09_30_10_06'!E:E,'09_30_10_06 Acc Rate'!C17,'09_30_10_06'!P:P,"*E*"),COUNTIFS('09_30_10_06'!E:E,'09_30_10_06 Acc Rate'!C17,'09_30_10_06'!S:S,"*E*")))</f>
        <v/>
      </c>
      <c r="U17" s="8" t="str">
        <f t="shared" si="1"/>
        <v/>
      </c>
    </row>
    <row r="18" spans="2:21" ht="15" customHeight="1" x14ac:dyDescent="0.25">
      <c r="B18" s="1" t="s">
        <v>562</v>
      </c>
      <c r="C18" s="1" t="s">
        <v>563</v>
      </c>
      <c r="D18" s="1" t="s">
        <v>564</v>
      </c>
      <c r="E18"/>
      <c r="F18" t="s">
        <v>565</v>
      </c>
      <c r="G18" t="s">
        <v>566</v>
      </c>
      <c r="H18" t="s">
        <v>552</v>
      </c>
      <c r="I18" t="s">
        <v>567</v>
      </c>
      <c r="J18" t="s">
        <v>561</v>
      </c>
      <c r="K18" t="s">
        <v>553</v>
      </c>
      <c r="L18"/>
      <c r="M18">
        <v>6</v>
      </c>
      <c r="N18"/>
      <c r="O18"/>
      <c r="P18"/>
      <c r="Q18" s="7"/>
      <c r="R18" s="27" t="str">
        <f t="shared" si="0"/>
        <v/>
      </c>
      <c r="S18" s="27" t="str">
        <f>IF(SUM(COUNTIFS('09_30_10_06'!E:E,'09_30_10_06 Acc Rate'!C18,'09_30_10_06'!O:O,"*M*"),COUNTIFS('09_30_10_06'!E:E,'09_30_10_06 Acc Rate'!C18,'09_30_10_06'!R:R,"*M*"))=0,"",SUM(COUNTIFS('09_30_10_06'!E:E,'09_30_10_06 Acc Rate'!C18,'09_30_10_06'!O:O,"*M*"),COUNTIFS('09_30_10_06'!E:E,'09_30_10_06 Acc Rate'!C18,'09_30_10_06'!R:R,"*M*")))</f>
        <v/>
      </c>
      <c r="T18" s="1" t="str">
        <f>IF(SUM(COUNTIFS('09_30_10_06'!E:E,'09_30_10_06 Acc Rate'!C18,'09_30_10_06'!P:P,"*E*"),COUNTIFS('09_30_10_06'!E:E,'09_30_10_06 Acc Rate'!C18,'09_30_10_06'!S:S,"*E*"))=0,"",SUM(COUNTIFS('09_30_10_06'!E:E,'09_30_10_06 Acc Rate'!C18,'09_30_10_06'!P:P,"*E*"),COUNTIFS('09_30_10_06'!E:E,'09_30_10_06 Acc Rate'!C18,'09_30_10_06'!S:S,"*E*")))</f>
        <v/>
      </c>
      <c r="U18" s="8" t="str">
        <f t="shared" si="1"/>
        <v/>
      </c>
    </row>
    <row r="19" spans="2:21" ht="15" customHeight="1" x14ac:dyDescent="0.25">
      <c r="B19" s="1" t="s">
        <v>568</v>
      </c>
      <c r="C19" s="1" t="s">
        <v>569</v>
      </c>
      <c r="D19" s="1" t="s">
        <v>570</v>
      </c>
      <c r="E19"/>
      <c r="F19" t="s">
        <v>571</v>
      </c>
      <c r="G19" t="s">
        <v>572</v>
      </c>
      <c r="H19" t="s">
        <v>552</v>
      </c>
      <c r="I19" t="s">
        <v>573</v>
      </c>
      <c r="J19" t="s">
        <v>561</v>
      </c>
      <c r="K19" t="s">
        <v>553</v>
      </c>
      <c r="L19"/>
      <c r="M19">
        <v>6</v>
      </c>
      <c r="N19"/>
      <c r="O19"/>
      <c r="P19"/>
      <c r="Q19" s="7"/>
      <c r="R19" s="27" t="str">
        <f t="shared" si="0"/>
        <v/>
      </c>
      <c r="S19" s="27" t="str">
        <f>IF(SUM(COUNTIFS('09_30_10_06'!E:E,'09_30_10_06 Acc Rate'!C19,'09_30_10_06'!O:O,"*M*"),COUNTIFS('09_30_10_06'!E:E,'09_30_10_06 Acc Rate'!C19,'09_30_10_06'!R:R,"*M*"))=0,"",SUM(COUNTIFS('09_30_10_06'!E:E,'09_30_10_06 Acc Rate'!C19,'09_30_10_06'!O:O,"*M*"),COUNTIFS('09_30_10_06'!E:E,'09_30_10_06 Acc Rate'!C19,'09_30_10_06'!R:R,"*M*")))</f>
        <v/>
      </c>
      <c r="T19" s="1" t="str">
        <f>IF(SUM(COUNTIFS('09_30_10_06'!E:E,'09_30_10_06 Acc Rate'!C19,'09_30_10_06'!P:P,"*E*"),COUNTIFS('09_30_10_06'!E:E,'09_30_10_06 Acc Rate'!C19,'09_30_10_06'!S:S,"*E*"))=0,"",SUM(COUNTIFS('09_30_10_06'!E:E,'09_30_10_06 Acc Rate'!C19,'09_30_10_06'!P:P,"*E*"),COUNTIFS('09_30_10_06'!E:E,'09_30_10_06 Acc Rate'!C19,'09_30_10_06'!S:S,"*E*")))</f>
        <v/>
      </c>
      <c r="U19" s="8" t="str">
        <f t="shared" si="1"/>
        <v/>
      </c>
    </row>
    <row r="20" spans="2:21" ht="15" customHeight="1" x14ac:dyDescent="0.25">
      <c r="B20" s="1" t="s">
        <v>574</v>
      </c>
      <c r="C20" s="1" t="s">
        <v>575</v>
      </c>
      <c r="D20" s="1" t="s">
        <v>576</v>
      </c>
      <c r="E20"/>
      <c r="F20" t="s">
        <v>577</v>
      </c>
      <c r="G20" t="s">
        <v>578</v>
      </c>
      <c r="H20" t="s">
        <v>552</v>
      </c>
      <c r="I20" t="s">
        <v>579</v>
      </c>
      <c r="J20" t="s">
        <v>561</v>
      </c>
      <c r="K20" t="s">
        <v>553</v>
      </c>
      <c r="L20"/>
      <c r="M20">
        <v>6</v>
      </c>
      <c r="N20"/>
      <c r="O20"/>
      <c r="P20"/>
      <c r="Q20" s="7"/>
      <c r="R20" s="27" t="str">
        <f t="shared" si="0"/>
        <v/>
      </c>
      <c r="S20" s="27" t="str">
        <f>IF(SUM(COUNTIFS('09_30_10_06'!E:E,'09_30_10_06 Acc Rate'!C20,'09_30_10_06'!O:O,"*M*"),COUNTIFS('09_30_10_06'!E:E,'09_30_10_06 Acc Rate'!C20,'09_30_10_06'!R:R,"*M*"))=0,"",SUM(COUNTIFS('09_30_10_06'!E:E,'09_30_10_06 Acc Rate'!C20,'09_30_10_06'!O:O,"*M*"),COUNTIFS('09_30_10_06'!E:E,'09_30_10_06 Acc Rate'!C20,'09_30_10_06'!R:R,"*M*")))</f>
        <v/>
      </c>
      <c r="T20" s="1" t="str">
        <f>IF(SUM(COUNTIFS('09_30_10_06'!E:E,'09_30_10_06 Acc Rate'!C20,'09_30_10_06'!P:P,"*E*"),COUNTIFS('09_30_10_06'!E:E,'09_30_10_06 Acc Rate'!C20,'09_30_10_06'!S:S,"*E*"))=0,"",SUM(COUNTIFS('09_30_10_06'!E:E,'09_30_10_06 Acc Rate'!C20,'09_30_10_06'!P:P,"*E*"),COUNTIFS('09_30_10_06'!E:E,'09_30_10_06 Acc Rate'!C20,'09_30_10_06'!S:S,"*E*")))</f>
        <v/>
      </c>
      <c r="U20" s="8" t="str">
        <f t="shared" si="1"/>
        <v/>
      </c>
    </row>
    <row r="21" spans="2:21" ht="15" customHeight="1" x14ac:dyDescent="0.25">
      <c r="B21" s="1" t="s">
        <v>580</v>
      </c>
      <c r="C21" s="1" t="s">
        <v>316</v>
      </c>
      <c r="D21" s="1" t="s">
        <v>581</v>
      </c>
      <c r="E21"/>
      <c r="F21" t="s">
        <v>565</v>
      </c>
      <c r="G21" t="s">
        <v>582</v>
      </c>
      <c r="H21" t="s">
        <v>583</v>
      </c>
      <c r="I21" t="s">
        <v>584</v>
      </c>
      <c r="J21" t="s">
        <v>585</v>
      </c>
      <c r="K21"/>
      <c r="L21"/>
      <c r="M21">
        <v>1</v>
      </c>
      <c r="N21"/>
      <c r="O21"/>
      <c r="P21"/>
      <c r="Q21" s="7"/>
      <c r="R21" s="27" t="str">
        <f t="shared" si="0"/>
        <v/>
      </c>
      <c r="S21" s="27" t="str">
        <f>IF(SUM(COUNTIFS('09_30_10_06'!E:E,'09_30_10_06 Acc Rate'!C21,'09_30_10_06'!O:O,"*M*"),COUNTIFS('09_30_10_06'!E:E,'09_30_10_06 Acc Rate'!C21,'09_30_10_06'!R:R,"*M*"))=0,"",SUM(COUNTIFS('09_30_10_06'!E:E,'09_30_10_06 Acc Rate'!C21,'09_30_10_06'!O:O,"*M*"),COUNTIFS('09_30_10_06'!E:E,'09_30_10_06 Acc Rate'!C21,'09_30_10_06'!R:R,"*M*")))</f>
        <v/>
      </c>
      <c r="T21" s="1" t="str">
        <f>IF(SUM(COUNTIFS('09_30_10_06'!E:E,'09_30_10_06 Acc Rate'!C21,'09_30_10_06'!P:P,"*E*"),COUNTIFS('09_30_10_06'!E:E,'09_30_10_06 Acc Rate'!C21,'09_30_10_06'!S:S,"*E*"))=0,"",SUM(COUNTIFS('09_30_10_06'!E:E,'09_30_10_06 Acc Rate'!C21,'09_30_10_06'!P:P,"*E*"),COUNTIFS('09_30_10_06'!E:E,'09_30_10_06 Acc Rate'!C21,'09_30_10_06'!S:S,"*E*")))</f>
        <v/>
      </c>
      <c r="U21" s="8" t="str">
        <f t="shared" si="1"/>
        <v/>
      </c>
    </row>
    <row r="22" spans="2:21" ht="15" customHeight="1" x14ac:dyDescent="0.25">
      <c r="B22" s="1" t="s">
        <v>586</v>
      </c>
      <c r="C22" s="1" t="s">
        <v>587</v>
      </c>
      <c r="D22" s="1" t="s">
        <v>588</v>
      </c>
      <c r="E22"/>
      <c r="F22" t="s">
        <v>589</v>
      </c>
      <c r="G22" t="s">
        <v>590</v>
      </c>
      <c r="H22" t="s">
        <v>583</v>
      </c>
      <c r="I22" t="s">
        <v>591</v>
      </c>
      <c r="J22" t="s">
        <v>592</v>
      </c>
      <c r="K22"/>
      <c r="L22"/>
      <c r="M22">
        <v>1</v>
      </c>
      <c r="N22"/>
      <c r="O22"/>
      <c r="P22"/>
      <c r="Q22" s="7"/>
      <c r="R22" s="27" t="str">
        <f t="shared" si="0"/>
        <v/>
      </c>
      <c r="S22" s="27" t="str">
        <f>IF(SUM(COUNTIFS('09_30_10_06'!E:E,'09_30_10_06 Acc Rate'!C22,'09_30_10_06'!O:O,"*M*"),COUNTIFS('09_30_10_06'!E:E,'09_30_10_06 Acc Rate'!C22,'09_30_10_06'!R:R,"*M*"))=0,"",SUM(COUNTIFS('09_30_10_06'!E:E,'09_30_10_06 Acc Rate'!C22,'09_30_10_06'!O:O,"*M*"),COUNTIFS('09_30_10_06'!E:E,'09_30_10_06 Acc Rate'!C22,'09_30_10_06'!R:R,"*M*")))</f>
        <v/>
      </c>
      <c r="T22" s="1" t="str">
        <f>IF(SUM(COUNTIFS('09_30_10_06'!E:E,'09_30_10_06 Acc Rate'!C22,'09_30_10_06'!P:P,"*E*"),COUNTIFS('09_30_10_06'!E:E,'09_30_10_06 Acc Rate'!C22,'09_30_10_06'!S:S,"*E*"))=0,"",SUM(COUNTIFS('09_30_10_06'!E:E,'09_30_10_06 Acc Rate'!C22,'09_30_10_06'!P:P,"*E*"),COUNTIFS('09_30_10_06'!E:E,'09_30_10_06 Acc Rate'!C22,'09_30_10_06'!S:S,"*E*")))</f>
        <v/>
      </c>
      <c r="U22" s="8" t="str">
        <f t="shared" si="1"/>
        <v/>
      </c>
    </row>
    <row r="23" spans="2:21" s="1" customFormat="1" ht="15" customHeight="1" x14ac:dyDescent="0.25">
      <c r="B23" s="1" t="s">
        <v>593</v>
      </c>
      <c r="C23" s="1" t="s">
        <v>169</v>
      </c>
      <c r="D23" s="1" t="s">
        <v>170</v>
      </c>
      <c r="E23"/>
      <c r="F23" t="s">
        <v>594</v>
      </c>
      <c r="G23" t="s">
        <v>595</v>
      </c>
      <c r="H23" t="s">
        <v>583</v>
      </c>
      <c r="I23" t="s">
        <v>596</v>
      </c>
      <c r="J23" t="s">
        <v>592</v>
      </c>
      <c r="K23"/>
      <c r="L23"/>
      <c r="M23">
        <v>1</v>
      </c>
      <c r="N23"/>
      <c r="O23"/>
      <c r="P23"/>
      <c r="Q23" s="7">
        <v>1</v>
      </c>
      <c r="R23" s="27">
        <f t="shared" si="0"/>
        <v>1</v>
      </c>
      <c r="S23" s="27" t="str">
        <f>IF(SUM(COUNTIFS('09_30_10_06'!E:E,'09_30_10_06 Acc Rate'!C23,'09_30_10_06'!O:O,"*M*"),COUNTIFS('09_30_10_06'!E:E,'09_30_10_06 Acc Rate'!C23,'09_30_10_06'!R:R,"*M*"))=0,"",SUM(COUNTIFS('09_30_10_06'!E:E,'09_30_10_06 Acc Rate'!C23,'09_30_10_06'!O:O,"*M*"),COUNTIFS('09_30_10_06'!E:E,'09_30_10_06 Acc Rate'!C23,'09_30_10_06'!R:R,"*M*")))</f>
        <v/>
      </c>
      <c r="T23" s="1" t="str">
        <f>IF(SUM(COUNTIFS('09_30_10_06'!E:E,'09_30_10_06 Acc Rate'!C23,'09_30_10_06'!P:P,"*E*"),COUNTIFS('09_30_10_06'!E:E,'09_30_10_06 Acc Rate'!C23,'09_30_10_06'!S:S,"*E*"))=0,"",SUM(COUNTIFS('09_30_10_06'!E:E,'09_30_10_06 Acc Rate'!C23,'09_30_10_06'!P:P,"*E*"),COUNTIFS('09_30_10_06'!E:E,'09_30_10_06 Acc Rate'!C23,'09_30_10_06'!S:S,"*E*")))</f>
        <v/>
      </c>
      <c r="U23" s="9">
        <f t="shared" si="1"/>
        <v>0</v>
      </c>
    </row>
    <row r="24" spans="2:21" s="1" customFormat="1" ht="15" customHeight="1" x14ac:dyDescent="0.25">
      <c r="B24" s="1" t="s">
        <v>597</v>
      </c>
      <c r="C24" s="1" t="s">
        <v>423</v>
      </c>
      <c r="D24" s="1" t="s">
        <v>424</v>
      </c>
      <c r="E24"/>
      <c r="F24" t="s">
        <v>598</v>
      </c>
      <c r="G24" t="s">
        <v>599</v>
      </c>
      <c r="H24" t="s">
        <v>583</v>
      </c>
      <c r="I24" t="s">
        <v>600</v>
      </c>
      <c r="J24" t="s">
        <v>601</v>
      </c>
      <c r="K24"/>
      <c r="L24"/>
      <c r="M24">
        <v>1</v>
      </c>
      <c r="N24"/>
      <c r="O24"/>
      <c r="P24"/>
      <c r="Q24" s="7">
        <v>1</v>
      </c>
      <c r="R24" s="27">
        <f t="shared" si="0"/>
        <v>1</v>
      </c>
      <c r="S24" s="27" t="str">
        <f>IF(SUM(COUNTIFS('09_30_10_06'!E:E,'09_30_10_06 Acc Rate'!C24,'09_30_10_06'!O:O,"*M*"),COUNTIFS('09_30_10_06'!E:E,'09_30_10_06 Acc Rate'!C24,'09_30_10_06'!R:R,"*M*"))=0,"",SUM(COUNTIFS('09_30_10_06'!E:E,'09_30_10_06 Acc Rate'!C24,'09_30_10_06'!O:O,"*M*"),COUNTIFS('09_30_10_06'!E:E,'09_30_10_06 Acc Rate'!C24,'09_30_10_06'!R:R,"*M*")))</f>
        <v/>
      </c>
      <c r="T24" s="1" t="str">
        <f>IF(SUM(COUNTIFS('09_30_10_06'!E:E,'09_30_10_06 Acc Rate'!C24,'09_30_10_06'!P:P,"*E*"),COUNTIFS('09_30_10_06'!E:E,'09_30_10_06 Acc Rate'!C24,'09_30_10_06'!S:S,"*E*"))=0,"",SUM(COUNTIFS('09_30_10_06'!E:E,'09_30_10_06 Acc Rate'!C24,'09_30_10_06'!P:P,"*E*"),COUNTIFS('09_30_10_06'!E:E,'09_30_10_06 Acc Rate'!C24,'09_30_10_06'!S:S,"*E*")))</f>
        <v/>
      </c>
      <c r="U24" s="9">
        <f t="shared" si="1"/>
        <v>0</v>
      </c>
    </row>
    <row r="25" spans="2:21" s="1" customFormat="1" ht="15" customHeight="1" x14ac:dyDescent="0.25">
      <c r="B25" s="1" t="s">
        <v>602</v>
      </c>
      <c r="C25" s="1" t="s">
        <v>603</v>
      </c>
      <c r="D25" s="1" t="s">
        <v>604</v>
      </c>
      <c r="E25"/>
      <c r="F25" t="s">
        <v>565</v>
      </c>
      <c r="G25" t="s">
        <v>605</v>
      </c>
      <c r="H25" t="s">
        <v>583</v>
      </c>
      <c r="I25" t="s">
        <v>606</v>
      </c>
      <c r="J25" t="s">
        <v>607</v>
      </c>
      <c r="K25"/>
      <c r="L25"/>
      <c r="M25">
        <v>1</v>
      </c>
      <c r="N25"/>
      <c r="O25"/>
      <c r="P25"/>
      <c r="Q25" s="7">
        <v>1</v>
      </c>
      <c r="R25" s="27">
        <f t="shared" si="0"/>
        <v>1</v>
      </c>
      <c r="S25" s="27" t="str">
        <f>IF(SUM(COUNTIFS('09_30_10_06'!E:E,'09_30_10_06 Acc Rate'!C25,'09_30_10_06'!O:O,"*M*"),COUNTIFS('09_30_10_06'!E:E,'09_30_10_06 Acc Rate'!C25,'09_30_10_06'!R:R,"*M*"))=0,"",SUM(COUNTIFS('09_30_10_06'!E:E,'09_30_10_06 Acc Rate'!C25,'09_30_10_06'!O:O,"*M*"),COUNTIFS('09_30_10_06'!E:E,'09_30_10_06 Acc Rate'!C25,'09_30_10_06'!R:R,"*M*")))</f>
        <v/>
      </c>
      <c r="T25" s="1" t="str">
        <f>IF(SUM(COUNTIFS('09_30_10_06'!E:E,'09_30_10_06 Acc Rate'!C25,'09_30_10_06'!P:P,"*E*"),COUNTIFS('09_30_10_06'!E:E,'09_30_10_06 Acc Rate'!C25,'09_30_10_06'!S:S,"*E*"))=0,"",SUM(COUNTIFS('09_30_10_06'!E:E,'09_30_10_06 Acc Rate'!C25,'09_30_10_06'!P:P,"*E*"),COUNTIFS('09_30_10_06'!E:E,'09_30_10_06 Acc Rate'!C25,'09_30_10_06'!S:S,"*E*")))</f>
        <v/>
      </c>
      <c r="U25" s="9">
        <f t="shared" si="1"/>
        <v>0</v>
      </c>
    </row>
    <row r="26" spans="2:21" s="1" customFormat="1" ht="15" customHeight="1" x14ac:dyDescent="0.25">
      <c r="B26" s="1" t="s">
        <v>608</v>
      </c>
      <c r="C26" s="1" t="s">
        <v>609</v>
      </c>
      <c r="D26" s="1" t="s">
        <v>610</v>
      </c>
      <c r="E26"/>
      <c r="F26" t="s">
        <v>611</v>
      </c>
      <c r="G26" t="s">
        <v>612</v>
      </c>
      <c r="H26" t="s">
        <v>583</v>
      </c>
      <c r="I26" t="s">
        <v>613</v>
      </c>
      <c r="J26" t="s">
        <v>614</v>
      </c>
      <c r="K26" t="s">
        <v>606</v>
      </c>
      <c r="L26"/>
      <c r="M26">
        <v>1</v>
      </c>
      <c r="N26"/>
      <c r="O26"/>
      <c r="P26"/>
      <c r="Q26" s="7"/>
      <c r="R26" s="27" t="str">
        <f t="shared" si="0"/>
        <v/>
      </c>
      <c r="S26" s="27" t="str">
        <f>IF(SUM(COUNTIFS('09_30_10_06'!E:E,'09_30_10_06 Acc Rate'!C26,'09_30_10_06'!O:O,"*M*"),COUNTIFS('09_30_10_06'!E:E,'09_30_10_06 Acc Rate'!C26,'09_30_10_06'!R:R,"*M*"))=0,"",SUM(COUNTIFS('09_30_10_06'!E:E,'09_30_10_06 Acc Rate'!C26,'09_30_10_06'!O:O,"*M*"),COUNTIFS('09_30_10_06'!E:E,'09_30_10_06 Acc Rate'!C26,'09_30_10_06'!R:R,"*M*")))</f>
        <v/>
      </c>
      <c r="T26" s="1" t="str">
        <f>IF(SUM(COUNTIFS('09_30_10_06'!E:E,'09_30_10_06 Acc Rate'!C26,'09_30_10_06'!P:P,"*E*"),COUNTIFS('09_30_10_06'!E:E,'09_30_10_06 Acc Rate'!C26,'09_30_10_06'!S:S,"*E*"))=0,"",SUM(COUNTIFS('09_30_10_06'!E:E,'09_30_10_06 Acc Rate'!C26,'09_30_10_06'!P:P,"*E*"),COUNTIFS('09_30_10_06'!E:E,'09_30_10_06 Acc Rate'!C26,'09_30_10_06'!S:S,"*E*")))</f>
        <v/>
      </c>
      <c r="U26" s="9" t="str">
        <f t="shared" si="1"/>
        <v/>
      </c>
    </row>
    <row r="27" spans="2:21" s="1" customFormat="1" ht="15" customHeight="1" x14ac:dyDescent="0.25">
      <c r="B27" s="1" t="s">
        <v>615</v>
      </c>
      <c r="C27" s="1" t="s">
        <v>616</v>
      </c>
      <c r="D27" s="1" t="s">
        <v>617</v>
      </c>
      <c r="E27"/>
      <c r="F27" t="s">
        <v>618</v>
      </c>
      <c r="G27" t="s">
        <v>619</v>
      </c>
      <c r="H27" t="s">
        <v>583</v>
      </c>
      <c r="I27" t="s">
        <v>620</v>
      </c>
      <c r="J27" t="s">
        <v>614</v>
      </c>
      <c r="K27" t="s">
        <v>606</v>
      </c>
      <c r="L27"/>
      <c r="M27">
        <v>1</v>
      </c>
      <c r="N27"/>
      <c r="O27"/>
      <c r="P27"/>
      <c r="Q27" s="7"/>
      <c r="R27" s="27" t="str">
        <f t="shared" si="0"/>
        <v/>
      </c>
      <c r="S27" s="27" t="str">
        <f>IF(SUM(COUNTIFS('09_30_10_06'!E:E,'09_30_10_06 Acc Rate'!C27,'09_30_10_06'!O:O,"*M*"),COUNTIFS('09_30_10_06'!E:E,'09_30_10_06 Acc Rate'!C27,'09_30_10_06'!R:R,"*M*"))=0,"",SUM(COUNTIFS('09_30_10_06'!E:E,'09_30_10_06 Acc Rate'!C27,'09_30_10_06'!O:O,"*M*"),COUNTIFS('09_30_10_06'!E:E,'09_30_10_06 Acc Rate'!C27,'09_30_10_06'!R:R,"*M*")))</f>
        <v/>
      </c>
      <c r="T27" s="1" t="str">
        <f>IF(SUM(COUNTIFS('09_30_10_06'!E:E,'09_30_10_06 Acc Rate'!C27,'09_30_10_06'!P:P,"*E*"),COUNTIFS('09_30_10_06'!E:E,'09_30_10_06 Acc Rate'!C27,'09_30_10_06'!S:S,"*E*"))=0,"",SUM(COUNTIFS('09_30_10_06'!E:E,'09_30_10_06 Acc Rate'!C27,'09_30_10_06'!P:P,"*E*"),COUNTIFS('09_30_10_06'!E:E,'09_30_10_06 Acc Rate'!C27,'09_30_10_06'!S:S,"*E*")))</f>
        <v/>
      </c>
      <c r="U27" s="9" t="str">
        <f t="shared" si="1"/>
        <v/>
      </c>
    </row>
    <row r="28" spans="2:21" s="1" customFormat="1" ht="15" customHeight="1" x14ac:dyDescent="0.25">
      <c r="B28" s="1" t="s">
        <v>621</v>
      </c>
      <c r="C28" s="1" t="s">
        <v>622</v>
      </c>
      <c r="D28" s="1" t="s">
        <v>267</v>
      </c>
      <c r="E28"/>
      <c r="F28" t="s">
        <v>623</v>
      </c>
      <c r="G28" t="s">
        <v>624</v>
      </c>
      <c r="H28" t="s">
        <v>583</v>
      </c>
      <c r="I28" t="s">
        <v>625</v>
      </c>
      <c r="J28" t="s">
        <v>614</v>
      </c>
      <c r="K28" t="s">
        <v>606</v>
      </c>
      <c r="L28"/>
      <c r="M28">
        <v>1</v>
      </c>
      <c r="N28"/>
      <c r="O28"/>
      <c r="P28"/>
      <c r="Q28" s="7"/>
      <c r="R28" s="27" t="str">
        <f t="shared" si="0"/>
        <v/>
      </c>
      <c r="S28" s="27" t="str">
        <f>IF(SUM(COUNTIFS('09_30_10_06'!E:E,'09_30_10_06 Acc Rate'!C28,'09_30_10_06'!O:O,"*M*"),COUNTIFS('09_30_10_06'!E:E,'09_30_10_06 Acc Rate'!C28,'09_30_10_06'!R:R,"*M*"))=0,"",SUM(COUNTIFS('09_30_10_06'!E:E,'09_30_10_06 Acc Rate'!C28,'09_30_10_06'!O:O,"*M*"),COUNTIFS('09_30_10_06'!E:E,'09_30_10_06 Acc Rate'!C28,'09_30_10_06'!R:R,"*M*")))</f>
        <v/>
      </c>
      <c r="T28" s="1" t="str">
        <f>IF(SUM(COUNTIFS('09_30_10_06'!E:E,'09_30_10_06 Acc Rate'!C28,'09_30_10_06'!P:P,"*E*"),COUNTIFS('09_30_10_06'!E:E,'09_30_10_06 Acc Rate'!C28,'09_30_10_06'!S:S,"*E*"))=0,"",SUM(COUNTIFS('09_30_10_06'!E:E,'09_30_10_06 Acc Rate'!C28,'09_30_10_06'!P:P,"*E*"),COUNTIFS('09_30_10_06'!E:E,'09_30_10_06 Acc Rate'!C28,'09_30_10_06'!S:S,"*E*")))</f>
        <v/>
      </c>
      <c r="U28" s="8" t="str">
        <f t="shared" si="1"/>
        <v/>
      </c>
    </row>
    <row r="29" spans="2:21" s="1" customFormat="1" ht="15" customHeight="1" x14ac:dyDescent="0.25">
      <c r="B29" s="1" t="s">
        <v>626</v>
      </c>
      <c r="C29" s="1" t="s">
        <v>362</v>
      </c>
      <c r="D29" s="1" t="s">
        <v>409</v>
      </c>
      <c r="E29"/>
      <c r="F29" t="s">
        <v>627</v>
      </c>
      <c r="G29" t="s">
        <v>628</v>
      </c>
      <c r="H29" t="s">
        <v>583</v>
      </c>
      <c r="I29" t="s">
        <v>629</v>
      </c>
      <c r="J29" t="s">
        <v>614</v>
      </c>
      <c r="K29" t="s">
        <v>606</v>
      </c>
      <c r="L29"/>
      <c r="M29">
        <v>1</v>
      </c>
      <c r="N29"/>
      <c r="O29"/>
      <c r="P29"/>
      <c r="Q29" s="7">
        <v>2</v>
      </c>
      <c r="R29" s="27">
        <f t="shared" si="0"/>
        <v>2</v>
      </c>
      <c r="S29" s="27" t="str">
        <f>IF(SUM(COUNTIFS('09_30_10_06'!E:E,'09_30_10_06 Acc Rate'!C29,'09_30_10_06'!O:O,"*M*"),COUNTIFS('09_30_10_06'!E:E,'09_30_10_06 Acc Rate'!C29,'09_30_10_06'!R:R,"*M*"))=0,"",SUM(COUNTIFS('09_30_10_06'!E:E,'09_30_10_06 Acc Rate'!C29,'09_30_10_06'!O:O,"*M*"),COUNTIFS('09_30_10_06'!E:E,'09_30_10_06 Acc Rate'!C29,'09_30_10_06'!R:R,"*M*")))</f>
        <v/>
      </c>
      <c r="T29" s="1" t="str">
        <f>IF(SUM(COUNTIFS('09_30_10_06'!E:E,'09_30_10_06 Acc Rate'!C29,'09_30_10_06'!P:P,"*E*"),COUNTIFS('09_30_10_06'!E:E,'09_30_10_06 Acc Rate'!C29,'09_30_10_06'!S:S,"*E*"))=0,"",SUM(COUNTIFS('09_30_10_06'!E:E,'09_30_10_06 Acc Rate'!C29,'09_30_10_06'!P:P,"*E*"),COUNTIFS('09_30_10_06'!E:E,'09_30_10_06 Acc Rate'!C29,'09_30_10_06'!S:S,"*E*")))</f>
        <v/>
      </c>
      <c r="U29" s="9">
        <f t="shared" si="1"/>
        <v>0</v>
      </c>
    </row>
    <row r="30" spans="2:21" s="1" customFormat="1" ht="15" customHeight="1" x14ac:dyDescent="0.25">
      <c r="B30" s="1" t="s">
        <v>630</v>
      </c>
      <c r="C30" s="1" t="s">
        <v>425</v>
      </c>
      <c r="D30" s="1" t="s">
        <v>426</v>
      </c>
      <c r="E30"/>
      <c r="F30" t="s">
        <v>631</v>
      </c>
      <c r="G30" t="s">
        <v>632</v>
      </c>
      <c r="H30" t="s">
        <v>583</v>
      </c>
      <c r="I30" t="s">
        <v>633</v>
      </c>
      <c r="J30" t="s">
        <v>614</v>
      </c>
      <c r="K30" t="s">
        <v>606</v>
      </c>
      <c r="L30"/>
      <c r="M30">
        <v>15</v>
      </c>
      <c r="N30"/>
      <c r="O30"/>
      <c r="P30"/>
      <c r="Q30" s="7">
        <v>3</v>
      </c>
      <c r="R30" s="27">
        <f t="shared" si="0"/>
        <v>3</v>
      </c>
      <c r="S30" s="27" t="str">
        <f>IF(SUM(COUNTIFS('09_30_10_06'!E:E,'09_30_10_06 Acc Rate'!C30,'09_30_10_06'!O:O,"*M*"),COUNTIFS('09_30_10_06'!E:E,'09_30_10_06 Acc Rate'!C30,'09_30_10_06'!R:R,"*M*"))=0,"",SUM(COUNTIFS('09_30_10_06'!E:E,'09_30_10_06 Acc Rate'!C30,'09_30_10_06'!O:O,"*M*"),COUNTIFS('09_30_10_06'!E:E,'09_30_10_06 Acc Rate'!C30,'09_30_10_06'!R:R,"*M*")))</f>
        <v/>
      </c>
      <c r="T30" s="1" t="str">
        <f>IF(SUM(COUNTIFS('09_30_10_06'!E:E,'09_30_10_06 Acc Rate'!C30,'09_30_10_06'!P:P,"*E*"),COUNTIFS('09_30_10_06'!E:E,'09_30_10_06 Acc Rate'!C30,'09_30_10_06'!S:S,"*E*"))=0,"",SUM(COUNTIFS('09_30_10_06'!E:E,'09_30_10_06 Acc Rate'!C30,'09_30_10_06'!P:P,"*E*"),COUNTIFS('09_30_10_06'!E:E,'09_30_10_06 Acc Rate'!C30,'09_30_10_06'!S:S,"*E*")))</f>
        <v/>
      </c>
      <c r="U30" s="9">
        <f t="shared" si="1"/>
        <v>0</v>
      </c>
    </row>
    <row r="31" spans="2:21" s="1" customFormat="1" ht="15" customHeight="1" x14ac:dyDescent="0.25">
      <c r="B31" s="1" t="s">
        <v>634</v>
      </c>
      <c r="C31" s="1" t="s">
        <v>635</v>
      </c>
      <c r="D31" s="1" t="s">
        <v>636</v>
      </c>
      <c r="E31"/>
      <c r="F31" t="s">
        <v>21</v>
      </c>
      <c r="G31" t="s">
        <v>637</v>
      </c>
      <c r="H31" t="s">
        <v>583</v>
      </c>
      <c r="I31" t="s">
        <v>638</v>
      </c>
      <c r="J31" t="s">
        <v>607</v>
      </c>
      <c r="K31"/>
      <c r="L31"/>
      <c r="M31">
        <v>1</v>
      </c>
      <c r="N31"/>
      <c r="O31"/>
      <c r="P31"/>
      <c r="Q31" s="7"/>
      <c r="R31" s="27" t="str">
        <f t="shared" si="0"/>
        <v/>
      </c>
      <c r="S31" s="27" t="str">
        <f>IF(SUM(COUNTIFS('09_30_10_06'!E:E,'09_30_10_06 Acc Rate'!C31,'09_30_10_06'!O:O,"*M*"),COUNTIFS('09_30_10_06'!E:E,'09_30_10_06 Acc Rate'!C31,'09_30_10_06'!R:R,"*M*"))=0,"",SUM(COUNTIFS('09_30_10_06'!E:E,'09_30_10_06 Acc Rate'!C31,'09_30_10_06'!O:O,"*M*"),COUNTIFS('09_30_10_06'!E:E,'09_30_10_06 Acc Rate'!C31,'09_30_10_06'!R:R,"*M*")))</f>
        <v/>
      </c>
      <c r="T31" s="1" t="str">
        <f>IF(SUM(COUNTIFS('09_30_10_06'!E:E,'09_30_10_06 Acc Rate'!C31,'09_30_10_06'!P:P,"*E*"),COUNTIFS('09_30_10_06'!E:E,'09_30_10_06 Acc Rate'!C31,'09_30_10_06'!S:S,"*E*"))=0,"",SUM(COUNTIFS('09_30_10_06'!E:E,'09_30_10_06 Acc Rate'!C31,'09_30_10_06'!P:P,"*E*"),COUNTIFS('09_30_10_06'!E:E,'09_30_10_06 Acc Rate'!C31,'09_30_10_06'!S:S,"*E*")))</f>
        <v/>
      </c>
      <c r="U31" s="9" t="str">
        <f t="shared" si="1"/>
        <v/>
      </c>
    </row>
    <row r="32" spans="2:21" ht="15" customHeight="1" x14ac:dyDescent="0.25">
      <c r="B32" s="1" t="s">
        <v>639</v>
      </c>
      <c r="C32" s="1" t="s">
        <v>635</v>
      </c>
      <c r="D32" s="1" t="s">
        <v>640</v>
      </c>
      <c r="E32"/>
      <c r="F32" t="s">
        <v>641</v>
      </c>
      <c r="G32" t="s">
        <v>642</v>
      </c>
      <c r="H32" t="s">
        <v>583</v>
      </c>
      <c r="I32" t="s">
        <v>643</v>
      </c>
      <c r="J32" t="s">
        <v>607</v>
      </c>
      <c r="K32"/>
      <c r="L32"/>
      <c r="M32">
        <v>1</v>
      </c>
      <c r="N32"/>
      <c r="O32"/>
      <c r="P32"/>
      <c r="Q32" s="7"/>
      <c r="R32" s="27" t="str">
        <f t="shared" si="0"/>
        <v/>
      </c>
      <c r="S32" s="27" t="str">
        <f>IF(SUM(COUNTIFS('09_30_10_06'!E:E,'09_30_10_06 Acc Rate'!C32,'09_30_10_06'!O:O,"*M*"),COUNTIFS('09_30_10_06'!E:E,'09_30_10_06 Acc Rate'!C32,'09_30_10_06'!R:R,"*M*"))=0,"",SUM(COUNTIFS('09_30_10_06'!E:E,'09_30_10_06 Acc Rate'!C32,'09_30_10_06'!O:O,"*M*"),COUNTIFS('09_30_10_06'!E:E,'09_30_10_06 Acc Rate'!C32,'09_30_10_06'!R:R,"*M*")))</f>
        <v/>
      </c>
      <c r="T32" s="1" t="str">
        <f>IF(SUM(COUNTIFS('09_30_10_06'!E:E,'09_30_10_06 Acc Rate'!C32,'09_30_10_06'!P:P,"*E*"),COUNTIFS('09_30_10_06'!E:E,'09_30_10_06 Acc Rate'!C32,'09_30_10_06'!S:S,"*E*"))=0,"",SUM(COUNTIFS('09_30_10_06'!E:E,'09_30_10_06 Acc Rate'!C32,'09_30_10_06'!P:P,"*E*"),COUNTIFS('09_30_10_06'!E:E,'09_30_10_06 Acc Rate'!C32,'09_30_10_06'!S:S,"*E*")))</f>
        <v/>
      </c>
      <c r="U32" s="8" t="str">
        <f t="shared" si="1"/>
        <v/>
      </c>
    </row>
    <row r="33" spans="2:21" ht="15" customHeight="1" x14ac:dyDescent="0.25">
      <c r="B33" s="1" t="s">
        <v>644</v>
      </c>
      <c r="C33" s="1" t="s">
        <v>162</v>
      </c>
      <c r="D33" s="1" t="s">
        <v>163</v>
      </c>
      <c r="E33"/>
      <c r="F33" t="s">
        <v>645</v>
      </c>
      <c r="G33" t="s">
        <v>646</v>
      </c>
      <c r="H33" t="s">
        <v>583</v>
      </c>
      <c r="I33" t="s">
        <v>647</v>
      </c>
      <c r="J33" t="s">
        <v>648</v>
      </c>
      <c r="K33" t="s">
        <v>643</v>
      </c>
      <c r="L33"/>
      <c r="M33">
        <v>1</v>
      </c>
      <c r="N33"/>
      <c r="O33"/>
      <c r="P33"/>
      <c r="Q33" s="7">
        <v>1</v>
      </c>
      <c r="R33" s="27">
        <f t="shared" si="0"/>
        <v>1</v>
      </c>
      <c r="S33" s="27" t="str">
        <f>IF(SUM(COUNTIFS('09_30_10_06'!E:E,'09_30_10_06 Acc Rate'!C33,'09_30_10_06'!O:O,"*M*"),COUNTIFS('09_30_10_06'!E:E,'09_30_10_06 Acc Rate'!C33,'09_30_10_06'!R:R,"*M*"))=0,"",SUM(COUNTIFS('09_30_10_06'!E:E,'09_30_10_06 Acc Rate'!C33,'09_30_10_06'!O:O,"*M*"),COUNTIFS('09_30_10_06'!E:E,'09_30_10_06 Acc Rate'!C33,'09_30_10_06'!R:R,"*M*")))</f>
        <v/>
      </c>
      <c r="T33" s="1" t="str">
        <f>IF(SUM(COUNTIFS('09_30_10_06'!E:E,'09_30_10_06 Acc Rate'!C33,'09_30_10_06'!P:P,"*E*"),COUNTIFS('09_30_10_06'!E:E,'09_30_10_06 Acc Rate'!C33,'09_30_10_06'!S:S,"*E*"))=0,"",SUM(COUNTIFS('09_30_10_06'!E:E,'09_30_10_06 Acc Rate'!C33,'09_30_10_06'!P:P,"*E*"),COUNTIFS('09_30_10_06'!E:E,'09_30_10_06 Acc Rate'!C33,'09_30_10_06'!S:S,"*E*")))</f>
        <v/>
      </c>
      <c r="U33" s="8">
        <f t="shared" si="1"/>
        <v>0</v>
      </c>
    </row>
    <row r="34" spans="2:21" ht="15" customHeight="1" x14ac:dyDescent="0.25">
      <c r="B34" s="1" t="s">
        <v>649</v>
      </c>
      <c r="C34" s="1" t="s">
        <v>264</v>
      </c>
      <c r="D34" s="1" t="s">
        <v>650</v>
      </c>
      <c r="E34"/>
      <c r="F34" t="s">
        <v>651</v>
      </c>
      <c r="G34" t="s">
        <v>652</v>
      </c>
      <c r="H34" t="s">
        <v>583</v>
      </c>
      <c r="I34" t="s">
        <v>653</v>
      </c>
      <c r="J34" t="s">
        <v>648</v>
      </c>
      <c r="K34" t="s">
        <v>643</v>
      </c>
      <c r="L34"/>
      <c r="M34">
        <v>1</v>
      </c>
      <c r="N34"/>
      <c r="O34"/>
      <c r="P34"/>
      <c r="Q34" s="7"/>
      <c r="R34" s="27" t="str">
        <f t="shared" si="0"/>
        <v/>
      </c>
      <c r="S34" s="27" t="str">
        <f>IF(SUM(COUNTIFS('09_30_10_06'!E:E,'09_30_10_06 Acc Rate'!C34,'09_30_10_06'!O:O,"*M*"),COUNTIFS('09_30_10_06'!E:E,'09_30_10_06 Acc Rate'!C34,'09_30_10_06'!R:R,"*M*"))=0,"",SUM(COUNTIFS('09_30_10_06'!E:E,'09_30_10_06 Acc Rate'!C34,'09_30_10_06'!O:O,"*M*"),COUNTIFS('09_30_10_06'!E:E,'09_30_10_06 Acc Rate'!C34,'09_30_10_06'!R:R,"*M*")))</f>
        <v/>
      </c>
      <c r="T34" s="1" t="str">
        <f>IF(SUM(COUNTIFS('09_30_10_06'!E:E,'09_30_10_06 Acc Rate'!C34,'09_30_10_06'!P:P,"*E*"),COUNTIFS('09_30_10_06'!E:E,'09_30_10_06 Acc Rate'!C34,'09_30_10_06'!S:S,"*E*"))=0,"",SUM(COUNTIFS('09_30_10_06'!E:E,'09_30_10_06 Acc Rate'!C34,'09_30_10_06'!P:P,"*E*"),COUNTIFS('09_30_10_06'!E:E,'09_30_10_06 Acc Rate'!C34,'09_30_10_06'!S:S,"*E*")))</f>
        <v/>
      </c>
      <c r="U34" s="8" t="str">
        <f t="shared" si="1"/>
        <v/>
      </c>
    </row>
    <row r="35" spans="2:21" ht="15" customHeight="1" x14ac:dyDescent="0.25">
      <c r="B35" s="1" t="s">
        <v>654</v>
      </c>
      <c r="C35" s="1" t="s">
        <v>417</v>
      </c>
      <c r="D35" s="1" t="s">
        <v>418</v>
      </c>
      <c r="E35"/>
      <c r="F35" t="s">
        <v>655</v>
      </c>
      <c r="G35" t="s">
        <v>656</v>
      </c>
      <c r="H35" t="s">
        <v>583</v>
      </c>
      <c r="I35" t="s">
        <v>657</v>
      </c>
      <c r="J35" t="s">
        <v>648</v>
      </c>
      <c r="K35" t="s">
        <v>643</v>
      </c>
      <c r="L35"/>
      <c r="M35">
        <v>1</v>
      </c>
      <c r="N35"/>
      <c r="O35"/>
      <c r="P35"/>
      <c r="Q35" s="7">
        <v>2</v>
      </c>
      <c r="R35" s="27">
        <f t="shared" si="0"/>
        <v>2</v>
      </c>
      <c r="S35" s="27" t="str">
        <f>IF(SUM(COUNTIFS('09_30_10_06'!E:E,'09_30_10_06 Acc Rate'!C35,'09_30_10_06'!O:O,"*M*"),COUNTIFS('09_30_10_06'!E:E,'09_30_10_06 Acc Rate'!C35,'09_30_10_06'!R:R,"*M*"))=0,"",SUM(COUNTIFS('09_30_10_06'!E:E,'09_30_10_06 Acc Rate'!C35,'09_30_10_06'!O:O,"*M*"),COUNTIFS('09_30_10_06'!E:E,'09_30_10_06 Acc Rate'!C35,'09_30_10_06'!R:R,"*M*")))</f>
        <v/>
      </c>
      <c r="T35" s="1" t="str">
        <f>IF(SUM(COUNTIFS('09_30_10_06'!E:E,'09_30_10_06 Acc Rate'!C35,'09_30_10_06'!P:P,"*E*"),COUNTIFS('09_30_10_06'!E:E,'09_30_10_06 Acc Rate'!C35,'09_30_10_06'!S:S,"*E*"))=0,"",SUM(COUNTIFS('09_30_10_06'!E:E,'09_30_10_06 Acc Rate'!C35,'09_30_10_06'!P:P,"*E*"),COUNTIFS('09_30_10_06'!E:E,'09_30_10_06 Acc Rate'!C35,'09_30_10_06'!S:S,"*E*")))</f>
        <v/>
      </c>
      <c r="U35" s="8">
        <f t="shared" si="1"/>
        <v>0</v>
      </c>
    </row>
    <row r="36" spans="2:21" ht="15" customHeight="1" x14ac:dyDescent="0.25">
      <c r="B36" s="1" t="s">
        <v>658</v>
      </c>
      <c r="C36" s="1" t="s">
        <v>659</v>
      </c>
      <c r="D36" s="1" t="s">
        <v>660</v>
      </c>
      <c r="E36"/>
      <c r="F36" t="s">
        <v>661</v>
      </c>
      <c r="G36" t="s">
        <v>662</v>
      </c>
      <c r="H36" t="s">
        <v>583</v>
      </c>
      <c r="I36" t="s">
        <v>663</v>
      </c>
      <c r="J36" t="s">
        <v>607</v>
      </c>
      <c r="K36"/>
      <c r="L36"/>
      <c r="M36">
        <v>1</v>
      </c>
      <c r="N36"/>
      <c r="O36"/>
      <c r="P36"/>
      <c r="Q36" s="7"/>
      <c r="R36" s="27" t="str">
        <f t="shared" si="0"/>
        <v/>
      </c>
      <c r="S36" s="27" t="str">
        <f>IF(SUM(COUNTIFS('09_30_10_06'!E:E,'09_30_10_06 Acc Rate'!C36,'09_30_10_06'!O:O,"*M*"),COUNTIFS('09_30_10_06'!E:E,'09_30_10_06 Acc Rate'!C36,'09_30_10_06'!R:R,"*M*"))=0,"",SUM(COUNTIFS('09_30_10_06'!E:E,'09_30_10_06 Acc Rate'!C36,'09_30_10_06'!O:O,"*M*"),COUNTIFS('09_30_10_06'!E:E,'09_30_10_06 Acc Rate'!C36,'09_30_10_06'!R:R,"*M*")))</f>
        <v/>
      </c>
      <c r="T36" s="1" t="str">
        <f>IF(SUM(COUNTIFS('09_30_10_06'!E:E,'09_30_10_06 Acc Rate'!C36,'09_30_10_06'!P:P,"*E*"),COUNTIFS('09_30_10_06'!E:E,'09_30_10_06 Acc Rate'!C36,'09_30_10_06'!S:S,"*E*"))=0,"",SUM(COUNTIFS('09_30_10_06'!E:E,'09_30_10_06 Acc Rate'!C36,'09_30_10_06'!P:P,"*E*"),COUNTIFS('09_30_10_06'!E:E,'09_30_10_06 Acc Rate'!C36,'09_30_10_06'!S:S,"*E*")))</f>
        <v/>
      </c>
      <c r="U36" s="8" t="str">
        <f t="shared" si="1"/>
        <v/>
      </c>
    </row>
    <row r="37" spans="2:21" ht="15" customHeight="1" x14ac:dyDescent="0.25">
      <c r="B37" s="1" t="s">
        <v>664</v>
      </c>
      <c r="C37" s="1" t="s">
        <v>155</v>
      </c>
      <c r="D37" s="1" t="s">
        <v>156</v>
      </c>
      <c r="E37"/>
      <c r="F37" t="s">
        <v>550</v>
      </c>
      <c r="G37" t="s">
        <v>665</v>
      </c>
      <c r="H37" t="s">
        <v>583</v>
      </c>
      <c r="I37" t="s">
        <v>666</v>
      </c>
      <c r="J37" t="s">
        <v>667</v>
      </c>
      <c r="K37" t="s">
        <v>663</v>
      </c>
      <c r="L37"/>
      <c r="M37">
        <v>1</v>
      </c>
      <c r="N37"/>
      <c r="O37"/>
      <c r="P37"/>
      <c r="Q37" s="7">
        <v>1</v>
      </c>
      <c r="R37" s="27" t="str">
        <f t="shared" si="0"/>
        <v/>
      </c>
      <c r="S37" s="27">
        <f>IF(SUM(COUNTIFS('09_30_10_06'!E:E,'09_30_10_06 Acc Rate'!C37,'09_30_10_06'!O:O,"*M*"),COUNTIFS('09_30_10_06'!E:E,'09_30_10_06 Acc Rate'!C37,'09_30_10_06'!R:R,"*M*"))=0,"",SUM(COUNTIFS('09_30_10_06'!E:E,'09_30_10_06 Acc Rate'!C37,'09_30_10_06'!O:O,"*M*"),COUNTIFS('09_30_10_06'!E:E,'09_30_10_06 Acc Rate'!C37,'09_30_10_06'!R:R,"*M*")))</f>
        <v>1</v>
      </c>
      <c r="T37" s="1" t="str">
        <f>IF(SUM(COUNTIFS('09_30_10_06'!E:E,'09_30_10_06 Acc Rate'!C37,'09_30_10_06'!P:P,"*E*"),COUNTIFS('09_30_10_06'!E:E,'09_30_10_06 Acc Rate'!C37,'09_30_10_06'!S:S,"*E*"))=0,"",SUM(COUNTIFS('09_30_10_06'!E:E,'09_30_10_06 Acc Rate'!C37,'09_30_10_06'!P:P,"*E*"),COUNTIFS('09_30_10_06'!E:E,'09_30_10_06 Acc Rate'!C37,'09_30_10_06'!S:S,"*E*")))</f>
        <v/>
      </c>
      <c r="U37" s="8">
        <f t="shared" si="1"/>
        <v>8</v>
      </c>
    </row>
    <row r="38" spans="2:21" ht="15" customHeight="1" x14ac:dyDescent="0.25">
      <c r="B38" s="1" t="s">
        <v>668</v>
      </c>
      <c r="C38" s="1" t="s">
        <v>669</v>
      </c>
      <c r="D38" s="1" t="s">
        <v>670</v>
      </c>
      <c r="E38"/>
      <c r="F38" t="s">
        <v>671</v>
      </c>
      <c r="G38" t="s">
        <v>672</v>
      </c>
      <c r="H38" t="s">
        <v>583</v>
      </c>
      <c r="I38" t="s">
        <v>673</v>
      </c>
      <c r="J38" t="s">
        <v>667</v>
      </c>
      <c r="K38" t="s">
        <v>663</v>
      </c>
      <c r="L38"/>
      <c r="M38">
        <v>1</v>
      </c>
      <c r="N38"/>
      <c r="O38"/>
      <c r="P38"/>
      <c r="Q38" s="7"/>
      <c r="R38" s="27" t="str">
        <f t="shared" si="0"/>
        <v/>
      </c>
      <c r="S38" s="27" t="str">
        <f>IF(SUM(COUNTIFS('09_30_10_06'!E:E,'09_30_10_06 Acc Rate'!C38,'09_30_10_06'!O:O,"*M*"),COUNTIFS('09_30_10_06'!E:E,'09_30_10_06 Acc Rate'!C38,'09_30_10_06'!R:R,"*M*"))=0,"",SUM(COUNTIFS('09_30_10_06'!E:E,'09_30_10_06 Acc Rate'!C38,'09_30_10_06'!O:O,"*M*"),COUNTIFS('09_30_10_06'!E:E,'09_30_10_06 Acc Rate'!C38,'09_30_10_06'!R:R,"*M*")))</f>
        <v/>
      </c>
      <c r="T38" s="1" t="str">
        <f>IF(SUM(COUNTIFS('09_30_10_06'!E:E,'09_30_10_06 Acc Rate'!C38,'09_30_10_06'!P:P,"*E*"),COUNTIFS('09_30_10_06'!E:E,'09_30_10_06 Acc Rate'!C38,'09_30_10_06'!S:S,"*E*"))=0,"",SUM(COUNTIFS('09_30_10_06'!E:E,'09_30_10_06 Acc Rate'!C38,'09_30_10_06'!P:P,"*E*"),COUNTIFS('09_30_10_06'!E:E,'09_30_10_06 Acc Rate'!C38,'09_30_10_06'!S:S,"*E*")))</f>
        <v/>
      </c>
      <c r="U38" s="8" t="str">
        <f t="shared" si="1"/>
        <v/>
      </c>
    </row>
    <row r="39" spans="2:21" ht="15" customHeight="1" x14ac:dyDescent="0.25">
      <c r="B39" s="1" t="s">
        <v>674</v>
      </c>
      <c r="C39" s="1" t="s">
        <v>411</v>
      </c>
      <c r="D39" s="1" t="s">
        <v>412</v>
      </c>
      <c r="E39"/>
      <c r="F39" t="s">
        <v>675</v>
      </c>
      <c r="G39" t="s">
        <v>676</v>
      </c>
      <c r="H39" t="s">
        <v>583</v>
      </c>
      <c r="I39" t="s">
        <v>677</v>
      </c>
      <c r="J39" t="s">
        <v>667</v>
      </c>
      <c r="K39" t="s">
        <v>663</v>
      </c>
      <c r="L39"/>
      <c r="M39">
        <v>1</v>
      </c>
      <c r="N39"/>
      <c r="O39"/>
      <c r="P39"/>
      <c r="Q39" s="7">
        <v>4</v>
      </c>
      <c r="R39" s="27">
        <f t="shared" si="0"/>
        <v>4</v>
      </c>
      <c r="S39" s="27" t="str">
        <f>IF(SUM(COUNTIFS('09_30_10_06'!E:E,'09_30_10_06 Acc Rate'!C39,'09_30_10_06'!O:O,"*M*"),COUNTIFS('09_30_10_06'!E:E,'09_30_10_06 Acc Rate'!C39,'09_30_10_06'!R:R,"*M*"))=0,"",SUM(COUNTIFS('09_30_10_06'!E:E,'09_30_10_06 Acc Rate'!C39,'09_30_10_06'!O:O,"*M*"),COUNTIFS('09_30_10_06'!E:E,'09_30_10_06 Acc Rate'!C39,'09_30_10_06'!R:R,"*M*")))</f>
        <v/>
      </c>
      <c r="T39" s="1" t="str">
        <f>IF(SUM(COUNTIFS('09_30_10_06'!E:E,'09_30_10_06 Acc Rate'!C39,'09_30_10_06'!P:P,"*E*"),COUNTIFS('09_30_10_06'!E:E,'09_30_10_06 Acc Rate'!C39,'09_30_10_06'!S:S,"*E*"))=0,"",SUM(COUNTIFS('09_30_10_06'!E:E,'09_30_10_06 Acc Rate'!C39,'09_30_10_06'!P:P,"*E*"),COUNTIFS('09_30_10_06'!E:E,'09_30_10_06 Acc Rate'!C39,'09_30_10_06'!S:S,"*E*")))</f>
        <v/>
      </c>
      <c r="U39" s="8">
        <f t="shared" si="1"/>
        <v>0</v>
      </c>
    </row>
    <row r="40" spans="2:21" ht="15" customHeight="1" x14ac:dyDescent="0.25">
      <c r="B40" s="1" t="s">
        <v>678</v>
      </c>
      <c r="C40" s="1" t="s">
        <v>679</v>
      </c>
      <c r="D40" s="1" t="s">
        <v>680</v>
      </c>
      <c r="E40"/>
      <c r="F40" t="s">
        <v>681</v>
      </c>
      <c r="G40" t="s">
        <v>682</v>
      </c>
      <c r="H40" t="s">
        <v>583</v>
      </c>
      <c r="I40" t="s">
        <v>683</v>
      </c>
      <c r="J40" t="s">
        <v>607</v>
      </c>
      <c r="K40"/>
      <c r="L40"/>
      <c r="M40">
        <v>1</v>
      </c>
      <c r="N40"/>
      <c r="O40"/>
      <c r="P40"/>
      <c r="Q40" s="7"/>
      <c r="R40" s="27" t="str">
        <f t="shared" si="0"/>
        <v/>
      </c>
      <c r="S40" s="27" t="str">
        <f>IF(SUM(COUNTIFS('09_30_10_06'!E:E,'09_30_10_06 Acc Rate'!C40,'09_30_10_06'!O:O,"*M*"),COUNTIFS('09_30_10_06'!E:E,'09_30_10_06 Acc Rate'!C40,'09_30_10_06'!R:R,"*M*"))=0,"",SUM(COUNTIFS('09_30_10_06'!E:E,'09_30_10_06 Acc Rate'!C40,'09_30_10_06'!O:O,"*M*"),COUNTIFS('09_30_10_06'!E:E,'09_30_10_06 Acc Rate'!C40,'09_30_10_06'!R:R,"*M*")))</f>
        <v/>
      </c>
      <c r="T40" s="1" t="str">
        <f>IF(SUM(COUNTIFS('09_30_10_06'!E:E,'09_30_10_06 Acc Rate'!C40,'09_30_10_06'!P:P,"*E*"),COUNTIFS('09_30_10_06'!E:E,'09_30_10_06 Acc Rate'!C40,'09_30_10_06'!S:S,"*E*"))=0,"",SUM(COUNTIFS('09_30_10_06'!E:E,'09_30_10_06 Acc Rate'!C40,'09_30_10_06'!P:P,"*E*"),COUNTIFS('09_30_10_06'!E:E,'09_30_10_06 Acc Rate'!C40,'09_30_10_06'!S:S,"*E*")))</f>
        <v/>
      </c>
      <c r="U40" s="8" t="str">
        <f t="shared" si="1"/>
        <v/>
      </c>
    </row>
    <row r="41" spans="2:21" ht="15" customHeight="1" x14ac:dyDescent="0.25">
      <c r="B41" s="1" t="s">
        <v>684</v>
      </c>
      <c r="C41" s="1" t="s">
        <v>84</v>
      </c>
      <c r="D41" s="1" t="s">
        <v>273</v>
      </c>
      <c r="E41"/>
      <c r="F41" t="s">
        <v>685</v>
      </c>
      <c r="G41" t="s">
        <v>686</v>
      </c>
      <c r="H41" t="s">
        <v>583</v>
      </c>
      <c r="I41" t="s">
        <v>687</v>
      </c>
      <c r="J41" t="s">
        <v>688</v>
      </c>
      <c r="K41" t="s">
        <v>683</v>
      </c>
      <c r="L41"/>
      <c r="M41">
        <v>1</v>
      </c>
      <c r="N41"/>
      <c r="O41"/>
      <c r="P41"/>
      <c r="Q41" s="7">
        <v>1</v>
      </c>
      <c r="R41" s="27">
        <f t="shared" si="0"/>
        <v>1</v>
      </c>
      <c r="S41" s="27" t="str">
        <f>IF(SUM(COUNTIFS('09_30_10_06'!E:E,'09_30_10_06 Acc Rate'!C41,'09_30_10_06'!O:O,"*M*"),COUNTIFS('09_30_10_06'!E:E,'09_30_10_06 Acc Rate'!C41,'09_30_10_06'!R:R,"*M*"))=0,"",SUM(COUNTIFS('09_30_10_06'!E:E,'09_30_10_06 Acc Rate'!C41,'09_30_10_06'!O:O,"*M*"),COUNTIFS('09_30_10_06'!E:E,'09_30_10_06 Acc Rate'!C41,'09_30_10_06'!R:R,"*M*")))</f>
        <v/>
      </c>
      <c r="T41" s="1" t="str">
        <f>IF(SUM(COUNTIFS('09_30_10_06'!E:E,'09_30_10_06 Acc Rate'!C41,'09_30_10_06'!P:P,"*E*"),COUNTIFS('09_30_10_06'!E:E,'09_30_10_06 Acc Rate'!C41,'09_30_10_06'!S:S,"*E*"))=0,"",SUM(COUNTIFS('09_30_10_06'!E:E,'09_30_10_06 Acc Rate'!C41,'09_30_10_06'!P:P,"*E*"),COUNTIFS('09_30_10_06'!E:E,'09_30_10_06 Acc Rate'!C41,'09_30_10_06'!S:S,"*E*")))</f>
        <v/>
      </c>
      <c r="U41" s="8">
        <f t="shared" si="1"/>
        <v>0</v>
      </c>
    </row>
    <row r="42" spans="2:21" ht="15" customHeight="1" x14ac:dyDescent="0.25">
      <c r="B42" s="1" t="s">
        <v>689</v>
      </c>
      <c r="C42" s="1" t="s">
        <v>690</v>
      </c>
      <c r="D42" s="1" t="s">
        <v>691</v>
      </c>
      <c r="E42"/>
      <c r="F42" t="s">
        <v>692</v>
      </c>
      <c r="G42" t="s">
        <v>693</v>
      </c>
      <c r="H42" t="s">
        <v>583</v>
      </c>
      <c r="I42" t="s">
        <v>694</v>
      </c>
      <c r="J42" t="s">
        <v>688</v>
      </c>
      <c r="K42" t="s">
        <v>683</v>
      </c>
      <c r="L42"/>
      <c r="M42">
        <v>1</v>
      </c>
      <c r="N42"/>
      <c r="O42"/>
      <c r="P42"/>
      <c r="Q42" s="7"/>
      <c r="R42" s="27" t="str">
        <f t="shared" si="0"/>
        <v/>
      </c>
      <c r="S42" s="27" t="str">
        <f>IF(SUM(COUNTIFS('09_30_10_06'!E:E,'09_30_10_06 Acc Rate'!C42,'09_30_10_06'!O:O,"*M*"),COUNTIFS('09_30_10_06'!E:E,'09_30_10_06 Acc Rate'!C42,'09_30_10_06'!R:R,"*M*"))=0,"",SUM(COUNTIFS('09_30_10_06'!E:E,'09_30_10_06 Acc Rate'!C42,'09_30_10_06'!O:O,"*M*"),COUNTIFS('09_30_10_06'!E:E,'09_30_10_06 Acc Rate'!C42,'09_30_10_06'!R:R,"*M*")))</f>
        <v/>
      </c>
      <c r="T42" s="1" t="str">
        <f>IF(SUM(COUNTIFS('09_30_10_06'!E:E,'09_30_10_06 Acc Rate'!C42,'09_30_10_06'!P:P,"*E*"),COUNTIFS('09_30_10_06'!E:E,'09_30_10_06 Acc Rate'!C42,'09_30_10_06'!S:S,"*E*"))=0,"",SUM(COUNTIFS('09_30_10_06'!E:E,'09_30_10_06 Acc Rate'!C42,'09_30_10_06'!P:P,"*E*"),COUNTIFS('09_30_10_06'!E:E,'09_30_10_06 Acc Rate'!C42,'09_30_10_06'!S:S,"*E*")))</f>
        <v/>
      </c>
      <c r="U42" s="8" t="str">
        <f t="shared" si="1"/>
        <v/>
      </c>
    </row>
    <row r="43" spans="2:21" ht="15" customHeight="1" x14ac:dyDescent="0.25">
      <c r="B43" s="1" t="s">
        <v>695</v>
      </c>
      <c r="C43" s="1" t="s">
        <v>696</v>
      </c>
      <c r="D43" s="1" t="s">
        <v>697</v>
      </c>
      <c r="E43"/>
      <c r="F43" t="s">
        <v>698</v>
      </c>
      <c r="G43" t="s">
        <v>699</v>
      </c>
      <c r="H43" t="s">
        <v>583</v>
      </c>
      <c r="I43" t="s">
        <v>700</v>
      </c>
      <c r="J43" t="s">
        <v>607</v>
      </c>
      <c r="K43"/>
      <c r="L43"/>
      <c r="M43">
        <v>1</v>
      </c>
      <c r="N43"/>
      <c r="O43"/>
      <c r="P43"/>
      <c r="Q43" s="7"/>
      <c r="R43" s="27" t="str">
        <f t="shared" si="0"/>
        <v/>
      </c>
      <c r="S43" s="27" t="str">
        <f>IF(SUM(COUNTIFS('09_30_10_06'!E:E,'09_30_10_06 Acc Rate'!C43,'09_30_10_06'!O:O,"*M*"),COUNTIFS('09_30_10_06'!E:E,'09_30_10_06 Acc Rate'!C43,'09_30_10_06'!R:R,"*M*"))=0,"",SUM(COUNTIFS('09_30_10_06'!E:E,'09_30_10_06 Acc Rate'!C43,'09_30_10_06'!O:O,"*M*"),COUNTIFS('09_30_10_06'!E:E,'09_30_10_06 Acc Rate'!C43,'09_30_10_06'!R:R,"*M*")))</f>
        <v/>
      </c>
      <c r="T43" s="1" t="str">
        <f>IF(SUM(COUNTIFS('09_30_10_06'!E:E,'09_30_10_06 Acc Rate'!C43,'09_30_10_06'!P:P,"*E*"),COUNTIFS('09_30_10_06'!E:E,'09_30_10_06 Acc Rate'!C43,'09_30_10_06'!S:S,"*E*"))=0,"",SUM(COUNTIFS('09_30_10_06'!E:E,'09_30_10_06 Acc Rate'!C43,'09_30_10_06'!P:P,"*E*"),COUNTIFS('09_30_10_06'!E:E,'09_30_10_06 Acc Rate'!C43,'09_30_10_06'!S:S,"*E*")))</f>
        <v/>
      </c>
      <c r="U43" s="8" t="str">
        <f t="shared" si="1"/>
        <v/>
      </c>
    </row>
    <row r="44" spans="2:21" ht="15" customHeight="1" x14ac:dyDescent="0.25">
      <c r="B44" s="1" t="s">
        <v>701</v>
      </c>
      <c r="C44" s="1" t="s">
        <v>696</v>
      </c>
      <c r="D44" s="1" t="s">
        <v>702</v>
      </c>
      <c r="E44"/>
      <c r="F44" t="s">
        <v>703</v>
      </c>
      <c r="G44" t="s">
        <v>704</v>
      </c>
      <c r="H44" t="s">
        <v>583</v>
      </c>
      <c r="I44" t="s">
        <v>705</v>
      </c>
      <c r="J44" t="s">
        <v>706</v>
      </c>
      <c r="K44" t="s">
        <v>700</v>
      </c>
      <c r="L44"/>
      <c r="M44">
        <v>1</v>
      </c>
      <c r="N44"/>
      <c r="O44"/>
      <c r="P44"/>
      <c r="Q44" s="7"/>
      <c r="R44" s="27" t="str">
        <f t="shared" si="0"/>
        <v/>
      </c>
      <c r="S44" s="27" t="str">
        <f>IF(SUM(COUNTIFS('09_30_10_06'!E:E,'09_30_10_06 Acc Rate'!C44,'09_30_10_06'!O:O,"*M*"),COUNTIFS('09_30_10_06'!E:E,'09_30_10_06 Acc Rate'!C44,'09_30_10_06'!R:R,"*M*"))=0,"",SUM(COUNTIFS('09_30_10_06'!E:E,'09_30_10_06 Acc Rate'!C44,'09_30_10_06'!O:O,"*M*"),COUNTIFS('09_30_10_06'!E:E,'09_30_10_06 Acc Rate'!C44,'09_30_10_06'!R:R,"*M*")))</f>
        <v/>
      </c>
      <c r="T44" s="1" t="str">
        <f>IF(SUM(COUNTIFS('09_30_10_06'!E:E,'09_30_10_06 Acc Rate'!C44,'09_30_10_06'!P:P,"*E*"),COUNTIFS('09_30_10_06'!E:E,'09_30_10_06 Acc Rate'!C44,'09_30_10_06'!S:S,"*E*"))=0,"",SUM(COUNTIFS('09_30_10_06'!E:E,'09_30_10_06 Acc Rate'!C44,'09_30_10_06'!P:P,"*E*"),COUNTIFS('09_30_10_06'!E:E,'09_30_10_06 Acc Rate'!C44,'09_30_10_06'!S:S,"*E*")))</f>
        <v/>
      </c>
      <c r="U44" s="8" t="str">
        <f t="shared" si="1"/>
        <v/>
      </c>
    </row>
    <row r="45" spans="2:21" ht="15" customHeight="1" x14ac:dyDescent="0.25">
      <c r="B45" s="1" t="s">
        <v>707</v>
      </c>
      <c r="C45" s="1" t="s">
        <v>708</v>
      </c>
      <c r="D45" s="1" t="s">
        <v>709</v>
      </c>
      <c r="E45"/>
      <c r="F45" t="s">
        <v>710</v>
      </c>
      <c r="G45" t="s">
        <v>711</v>
      </c>
      <c r="H45" t="s">
        <v>583</v>
      </c>
      <c r="I45" t="s">
        <v>712</v>
      </c>
      <c r="J45" t="s">
        <v>706</v>
      </c>
      <c r="K45" t="s">
        <v>700</v>
      </c>
      <c r="L45"/>
      <c r="M45">
        <v>1</v>
      </c>
      <c r="N45"/>
      <c r="O45"/>
      <c r="P45"/>
      <c r="Q45" s="7"/>
      <c r="R45" s="27" t="str">
        <f t="shared" si="0"/>
        <v/>
      </c>
      <c r="S45" s="27" t="str">
        <f>IF(SUM(COUNTIFS('09_30_10_06'!E:E,'09_30_10_06 Acc Rate'!C45,'09_30_10_06'!O:O,"*M*"),COUNTIFS('09_30_10_06'!E:E,'09_30_10_06 Acc Rate'!C45,'09_30_10_06'!R:R,"*M*"))=0,"",SUM(COUNTIFS('09_30_10_06'!E:E,'09_30_10_06 Acc Rate'!C45,'09_30_10_06'!O:O,"*M*"),COUNTIFS('09_30_10_06'!E:E,'09_30_10_06 Acc Rate'!C45,'09_30_10_06'!R:R,"*M*")))</f>
        <v/>
      </c>
      <c r="T45" s="1" t="str">
        <f>IF(SUM(COUNTIFS('09_30_10_06'!E:E,'09_30_10_06 Acc Rate'!C45,'09_30_10_06'!P:P,"*E*"),COUNTIFS('09_30_10_06'!E:E,'09_30_10_06 Acc Rate'!C45,'09_30_10_06'!S:S,"*E*"))=0,"",SUM(COUNTIFS('09_30_10_06'!E:E,'09_30_10_06 Acc Rate'!C45,'09_30_10_06'!P:P,"*E*"),COUNTIFS('09_30_10_06'!E:E,'09_30_10_06 Acc Rate'!C45,'09_30_10_06'!S:S,"*E*")))</f>
        <v/>
      </c>
      <c r="U45" s="8" t="str">
        <f t="shared" si="1"/>
        <v/>
      </c>
    </row>
    <row r="46" spans="2:21" ht="15" customHeight="1" x14ac:dyDescent="0.25">
      <c r="B46" s="1" t="s">
        <v>713</v>
      </c>
      <c r="C46" s="1" t="s">
        <v>714</v>
      </c>
      <c r="D46" s="1" t="s">
        <v>715</v>
      </c>
      <c r="E46"/>
      <c r="F46" t="s">
        <v>716</v>
      </c>
      <c r="G46" t="s">
        <v>717</v>
      </c>
      <c r="H46" t="s">
        <v>583</v>
      </c>
      <c r="I46" t="s">
        <v>718</v>
      </c>
      <c r="J46" t="s">
        <v>706</v>
      </c>
      <c r="K46" t="s">
        <v>700</v>
      </c>
      <c r="L46"/>
      <c r="M46">
        <v>1</v>
      </c>
      <c r="N46"/>
      <c r="O46"/>
      <c r="P46"/>
      <c r="Q46" s="7"/>
      <c r="R46" s="27" t="str">
        <f t="shared" si="0"/>
        <v/>
      </c>
      <c r="S46" s="27" t="str">
        <f>IF(SUM(COUNTIFS('09_30_10_06'!E:E,'09_30_10_06 Acc Rate'!C46,'09_30_10_06'!O:O,"*M*"),COUNTIFS('09_30_10_06'!E:E,'09_30_10_06 Acc Rate'!C46,'09_30_10_06'!R:R,"*M*"))=0,"",SUM(COUNTIFS('09_30_10_06'!E:E,'09_30_10_06 Acc Rate'!C46,'09_30_10_06'!O:O,"*M*"),COUNTIFS('09_30_10_06'!E:E,'09_30_10_06 Acc Rate'!C46,'09_30_10_06'!R:R,"*M*")))</f>
        <v/>
      </c>
      <c r="T46" s="1" t="str">
        <f>IF(SUM(COUNTIFS('09_30_10_06'!E:E,'09_30_10_06 Acc Rate'!C46,'09_30_10_06'!P:P,"*E*"),COUNTIFS('09_30_10_06'!E:E,'09_30_10_06 Acc Rate'!C46,'09_30_10_06'!S:S,"*E*"))=0,"",SUM(COUNTIFS('09_30_10_06'!E:E,'09_30_10_06 Acc Rate'!C46,'09_30_10_06'!P:P,"*E*"),COUNTIFS('09_30_10_06'!E:E,'09_30_10_06 Acc Rate'!C46,'09_30_10_06'!S:S,"*E*")))</f>
        <v/>
      </c>
      <c r="U46" s="8" t="str">
        <f t="shared" si="1"/>
        <v/>
      </c>
    </row>
    <row r="47" spans="2:21" ht="15" customHeight="1" x14ac:dyDescent="0.25">
      <c r="B47" s="1" t="s">
        <v>719</v>
      </c>
      <c r="C47" s="1" t="s">
        <v>556</v>
      </c>
      <c r="D47" s="1" t="s">
        <v>720</v>
      </c>
      <c r="E47"/>
      <c r="F47" t="s">
        <v>721</v>
      </c>
      <c r="G47" t="s">
        <v>722</v>
      </c>
      <c r="H47" t="s">
        <v>583</v>
      </c>
      <c r="I47" t="s">
        <v>723</v>
      </c>
      <c r="J47" t="s">
        <v>706</v>
      </c>
      <c r="K47" t="s">
        <v>700</v>
      </c>
      <c r="L47"/>
      <c r="M47">
        <v>1</v>
      </c>
      <c r="N47"/>
      <c r="O47"/>
      <c r="P47"/>
      <c r="Q47" s="7"/>
      <c r="R47" s="27" t="str">
        <f t="shared" si="0"/>
        <v/>
      </c>
      <c r="S47" s="27" t="str">
        <f>IF(SUM(COUNTIFS('09_30_10_06'!E:E,'09_30_10_06 Acc Rate'!C47,'09_30_10_06'!O:O,"*M*"),COUNTIFS('09_30_10_06'!E:E,'09_30_10_06 Acc Rate'!C47,'09_30_10_06'!R:R,"*M*"))=0,"",SUM(COUNTIFS('09_30_10_06'!E:E,'09_30_10_06 Acc Rate'!C47,'09_30_10_06'!O:O,"*M*"),COUNTIFS('09_30_10_06'!E:E,'09_30_10_06 Acc Rate'!C47,'09_30_10_06'!R:R,"*M*")))</f>
        <v/>
      </c>
      <c r="T47" s="1" t="str">
        <f>IF(SUM(COUNTIFS('09_30_10_06'!E:E,'09_30_10_06 Acc Rate'!C47,'09_30_10_06'!P:P,"*E*"),COUNTIFS('09_30_10_06'!E:E,'09_30_10_06 Acc Rate'!C47,'09_30_10_06'!S:S,"*E*"))=0,"",SUM(COUNTIFS('09_30_10_06'!E:E,'09_30_10_06 Acc Rate'!C47,'09_30_10_06'!P:P,"*E*"),COUNTIFS('09_30_10_06'!E:E,'09_30_10_06 Acc Rate'!C47,'09_30_10_06'!S:S,"*E*")))</f>
        <v/>
      </c>
      <c r="U47" s="8"/>
    </row>
    <row r="48" spans="2:21" x14ac:dyDescent="0.25">
      <c r="M48" s="1" t="s">
        <v>724</v>
      </c>
      <c r="Q48" s="1">
        <f>SUM(Q3:Q46)</f>
        <v>5727</v>
      </c>
      <c r="R48" s="27">
        <f>SUM(R3:R46)</f>
        <v>5721</v>
      </c>
      <c r="S48" s="27">
        <f>SUM(S3:S46)</f>
        <v>5</v>
      </c>
      <c r="T48" s="1">
        <f>SUM(T3:T46)</f>
        <v>1</v>
      </c>
      <c r="U48" s="2">
        <f>IFERROR(SUM(S47*8+T47*2)/Q47,0)</f>
        <v>0</v>
      </c>
    </row>
  </sheetData>
  <mergeCells count="3">
    <mergeCell ref="W3:X3"/>
    <mergeCell ref="W7:X7"/>
    <mergeCell ref="W8:X8"/>
  </mergeCells>
  <conditionalFormatting sqref="B1:P1048576">
    <cfRule type="expression" dxfId="225" priority="10">
      <formula>$H1="Service Center"</formula>
    </cfRule>
    <cfRule type="expression" dxfId="224" priority="11">
      <formula>$H1="COBRA"</formula>
    </cfRule>
    <cfRule type="expression" dxfId="223" priority="12">
      <formula>$H1="Claims"</formula>
    </cfRule>
  </conditionalFormatting>
  <conditionalFormatting sqref="B1:U2 B48:U1048576 B3:R47 U3:U47">
    <cfRule type="expression" dxfId="222" priority="8">
      <formula>NOT(ISBLANK($B1))</formula>
    </cfRule>
    <cfRule type="expression" dxfId="221" priority="9">
      <formula>AND($H1="Service Center",$M1=15)</formula>
    </cfRule>
    <cfRule type="expression" dxfId="220" priority="13">
      <formula>$B1="Full Name"</formula>
    </cfRule>
    <cfRule type="expression" dxfId="219" priority="14">
      <formula>$M1="Totals"</formula>
    </cfRule>
  </conditionalFormatting>
  <conditionalFormatting sqref="Q2">
    <cfRule type="expression" dxfId="218" priority="5">
      <formula>$H2="Service Center"</formula>
    </cfRule>
    <cfRule type="expression" dxfId="217" priority="6">
      <formula>$H2="COBRA"</formula>
    </cfRule>
    <cfRule type="expression" dxfId="216" priority="7">
      <formula>$H2="Claims"</formula>
    </cfRule>
  </conditionalFormatting>
  <conditionalFormatting sqref="S3:T47">
    <cfRule type="expression" dxfId="215" priority="1">
      <formula>NOT(ISBLANK($B3))</formula>
    </cfRule>
    <cfRule type="expression" dxfId="214" priority="2">
      <formula>AND($H3="Service Center",$M3=15)</formula>
    </cfRule>
    <cfRule type="expression" dxfId="213" priority="3">
      <formula>$B3="Full Name"</formula>
    </cfRule>
    <cfRule type="expression" dxfId="212" priority="4">
      <formula>$M3="Totals"</formula>
    </cfRule>
  </conditionalFormatting>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08566-DBB7-484A-8A94-62BD8316B628}">
  <sheetPr codeName="Sheet3"/>
  <dimension ref="A1:U164"/>
  <sheetViews>
    <sheetView topLeftCell="D1" zoomScale="90" zoomScaleNormal="90" workbookViewId="0">
      <selection activeCell="J19" sqref="J19"/>
    </sheetView>
  </sheetViews>
  <sheetFormatPr defaultRowHeight="15" x14ac:dyDescent="0.25"/>
  <cols>
    <col min="1" max="1" width="10.42578125" bestFit="1" customWidth="1"/>
    <col min="2" max="2" width="13" bestFit="1" customWidth="1"/>
    <col min="3" max="3" width="12.7109375" bestFit="1" customWidth="1"/>
    <col min="4" max="4" width="14.140625" bestFit="1" customWidth="1"/>
    <col min="5" max="6" width="20.140625" bestFit="1" customWidth="1"/>
    <col min="7" max="7" width="30.7109375" bestFit="1" customWidth="1"/>
    <col min="8" max="9" width="19.28515625" bestFit="1" customWidth="1"/>
    <col min="10" max="10" width="14.85546875" bestFit="1" customWidth="1"/>
    <col min="11" max="11" width="14.140625" bestFit="1" customWidth="1"/>
    <col min="12" max="12" width="15.42578125" bestFit="1" customWidth="1"/>
    <col min="13" max="13" width="18.85546875" style="21" bestFit="1" customWidth="1"/>
    <col min="14" max="14" width="16.28515625" bestFit="1" customWidth="1"/>
    <col min="15" max="15" width="14.85546875" bestFit="1" customWidth="1"/>
    <col min="16" max="16" width="14.42578125" bestFit="1" customWidth="1"/>
    <col min="17" max="17" width="30.7109375" style="30" customWidth="1"/>
    <col min="18" max="18" width="21" bestFit="1" customWidth="1"/>
    <col min="19" max="19" width="22.5703125" bestFit="1" customWidth="1"/>
    <col min="20" max="20" width="24" bestFit="1" customWidth="1"/>
    <col min="21" max="21" width="11.85546875" bestFit="1" customWidth="1"/>
  </cols>
  <sheetData>
    <row r="1" spans="1:21" ht="38.25" x14ac:dyDescent="0.25">
      <c r="A1" s="42" t="s">
        <v>0</v>
      </c>
      <c r="B1" s="42" t="s">
        <v>1</v>
      </c>
      <c r="C1" s="42" t="s">
        <v>2</v>
      </c>
      <c r="D1" s="42" t="s">
        <v>3</v>
      </c>
      <c r="E1" s="42" t="s">
        <v>4</v>
      </c>
      <c r="F1" s="42" t="s">
        <v>5</v>
      </c>
      <c r="G1" s="42" t="s">
        <v>6</v>
      </c>
      <c r="H1" s="42" t="s">
        <v>7</v>
      </c>
      <c r="I1" s="42" t="s">
        <v>8</v>
      </c>
      <c r="J1" s="42" t="s">
        <v>9</v>
      </c>
      <c r="K1" s="42" t="s">
        <v>10</v>
      </c>
      <c r="L1" s="42" t="s">
        <v>11</v>
      </c>
      <c r="M1" s="43" t="s">
        <v>12</v>
      </c>
      <c r="N1" s="42" t="s">
        <v>13</v>
      </c>
      <c r="O1" s="42" t="s">
        <v>14</v>
      </c>
      <c r="P1" s="42" t="s">
        <v>15</v>
      </c>
      <c r="Q1" s="42" t="s">
        <v>16</v>
      </c>
      <c r="R1" s="42" t="s">
        <v>17</v>
      </c>
      <c r="S1" s="42" t="s">
        <v>18</v>
      </c>
      <c r="T1" s="42" t="s">
        <v>16</v>
      </c>
      <c r="U1" s="44" t="s">
        <v>19</v>
      </c>
    </row>
    <row r="2" spans="1:21" x14ac:dyDescent="0.25">
      <c r="A2" s="45" t="s">
        <v>314</v>
      </c>
      <c r="B2" s="46">
        <v>45603</v>
      </c>
      <c r="C2" s="45" t="s">
        <v>21</v>
      </c>
      <c r="D2" s="47"/>
      <c r="E2" s="45" t="s">
        <v>22</v>
      </c>
      <c r="F2" s="45" t="s">
        <v>23</v>
      </c>
      <c r="G2" s="45" t="s">
        <v>71</v>
      </c>
      <c r="H2" s="45" t="s">
        <v>345</v>
      </c>
      <c r="I2" s="45" t="s">
        <v>725</v>
      </c>
      <c r="J2" s="45">
        <v>575357228</v>
      </c>
      <c r="K2" s="45" t="s">
        <v>187</v>
      </c>
      <c r="L2" s="48">
        <v>12</v>
      </c>
      <c r="M2" s="49">
        <v>20241007491</v>
      </c>
      <c r="N2" s="50" t="s">
        <v>28</v>
      </c>
      <c r="O2" s="50"/>
      <c r="P2" s="50"/>
      <c r="Q2" s="51"/>
      <c r="R2" s="50"/>
      <c r="S2" s="50"/>
      <c r="T2" s="50"/>
      <c r="U2" s="50"/>
    </row>
    <row r="3" spans="1:21" x14ac:dyDescent="0.25">
      <c r="A3" s="45" t="s">
        <v>20</v>
      </c>
      <c r="B3" s="46">
        <v>45603</v>
      </c>
      <c r="C3" s="45" t="s">
        <v>21</v>
      </c>
      <c r="D3" s="47"/>
      <c r="E3" s="45" t="s">
        <v>22</v>
      </c>
      <c r="F3" s="45" t="s">
        <v>23</v>
      </c>
      <c r="G3" s="45" t="s">
        <v>30</v>
      </c>
      <c r="H3" s="45" t="s">
        <v>726</v>
      </c>
      <c r="I3" s="45" t="s">
        <v>727</v>
      </c>
      <c r="J3" s="45">
        <v>575724409</v>
      </c>
      <c r="K3" s="45" t="s">
        <v>187</v>
      </c>
      <c r="L3" s="48">
        <v>1015.71</v>
      </c>
      <c r="M3" s="49">
        <v>20241011270</v>
      </c>
      <c r="N3" s="50" t="s">
        <v>28</v>
      </c>
      <c r="O3" s="50"/>
      <c r="P3" s="50"/>
      <c r="Q3" s="51"/>
      <c r="R3" s="50"/>
      <c r="S3" s="50"/>
      <c r="T3" s="50"/>
      <c r="U3" s="50"/>
    </row>
    <row r="4" spans="1:21" x14ac:dyDescent="0.25">
      <c r="A4" s="45" t="s">
        <v>20</v>
      </c>
      <c r="B4" s="46">
        <v>45603</v>
      </c>
      <c r="C4" s="45" t="s">
        <v>21</v>
      </c>
      <c r="D4" s="47"/>
      <c r="E4" s="45" t="s">
        <v>22</v>
      </c>
      <c r="F4" s="45" t="s">
        <v>23</v>
      </c>
      <c r="G4" s="45" t="s">
        <v>30</v>
      </c>
      <c r="H4" s="45" t="s">
        <v>728</v>
      </c>
      <c r="I4" s="45" t="s">
        <v>729</v>
      </c>
      <c r="J4" s="45">
        <v>575802593</v>
      </c>
      <c r="K4" s="45" t="s">
        <v>730</v>
      </c>
      <c r="L4" s="48">
        <v>1250.28</v>
      </c>
      <c r="M4" s="49">
        <v>20241010587</v>
      </c>
      <c r="N4" s="50" t="s">
        <v>28</v>
      </c>
      <c r="O4" s="50"/>
      <c r="P4" s="50"/>
      <c r="Q4" s="51"/>
      <c r="R4" s="50"/>
      <c r="S4" s="50"/>
      <c r="T4" s="50"/>
      <c r="U4" s="50"/>
    </row>
    <row r="5" spans="1:21" x14ac:dyDescent="0.25">
      <c r="A5" s="45" t="s">
        <v>20</v>
      </c>
      <c r="B5" s="46">
        <v>45603</v>
      </c>
      <c r="C5" s="45" t="s">
        <v>21</v>
      </c>
      <c r="D5" s="47"/>
      <c r="E5" s="45" t="s">
        <v>22</v>
      </c>
      <c r="F5" s="45" t="s">
        <v>23</v>
      </c>
      <c r="G5" s="45" t="s">
        <v>30</v>
      </c>
      <c r="H5" s="45" t="s">
        <v>731</v>
      </c>
      <c r="I5" s="45" t="s">
        <v>732</v>
      </c>
      <c r="J5" s="45">
        <v>576159652</v>
      </c>
      <c r="K5" s="45" t="s">
        <v>101</v>
      </c>
      <c r="L5" s="48">
        <v>1387.5</v>
      </c>
      <c r="M5" s="49">
        <v>20240806378</v>
      </c>
      <c r="N5" s="50" t="s">
        <v>28</v>
      </c>
      <c r="O5" s="50"/>
      <c r="P5" s="50"/>
      <c r="Q5" s="51"/>
      <c r="R5" s="50"/>
      <c r="S5" s="50"/>
      <c r="T5" s="50"/>
      <c r="U5" s="50"/>
    </row>
    <row r="6" spans="1:21" x14ac:dyDescent="0.25">
      <c r="A6" s="45" t="s">
        <v>20</v>
      </c>
      <c r="B6" s="46">
        <v>45603</v>
      </c>
      <c r="C6" s="45" t="s">
        <v>21</v>
      </c>
      <c r="D6" s="47"/>
      <c r="E6" s="45" t="s">
        <v>22</v>
      </c>
      <c r="F6" s="45" t="s">
        <v>23</v>
      </c>
      <c r="G6" s="45" t="s">
        <v>733</v>
      </c>
      <c r="H6" s="45" t="s">
        <v>734</v>
      </c>
      <c r="I6" s="45" t="s">
        <v>735</v>
      </c>
      <c r="J6" s="45">
        <v>576258577</v>
      </c>
      <c r="K6" s="45" t="s">
        <v>301</v>
      </c>
      <c r="L6" s="48">
        <v>196.17</v>
      </c>
      <c r="M6" s="49">
        <v>202409161544</v>
      </c>
      <c r="N6" s="50" t="s">
        <v>28</v>
      </c>
      <c r="O6" s="50"/>
      <c r="P6" s="50"/>
      <c r="Q6" s="51"/>
      <c r="R6" s="50"/>
      <c r="S6" s="50"/>
      <c r="T6" s="50"/>
      <c r="U6" s="50"/>
    </row>
    <row r="7" spans="1:21" x14ac:dyDescent="0.25">
      <c r="A7" s="45" t="s">
        <v>20</v>
      </c>
      <c r="B7" s="46">
        <v>45603</v>
      </c>
      <c r="C7" s="45" t="s">
        <v>21</v>
      </c>
      <c r="D7" s="47"/>
      <c r="E7" s="45" t="s">
        <v>22</v>
      </c>
      <c r="F7" s="45" t="s">
        <v>23</v>
      </c>
      <c r="G7" s="45" t="s">
        <v>30</v>
      </c>
      <c r="H7" s="45" t="s">
        <v>736</v>
      </c>
      <c r="I7" s="45" t="s">
        <v>737</v>
      </c>
      <c r="J7" s="45">
        <v>576290726</v>
      </c>
      <c r="K7" s="45" t="s">
        <v>738</v>
      </c>
      <c r="L7" s="48">
        <v>362.07</v>
      </c>
      <c r="M7" s="49">
        <v>202408011817</v>
      </c>
      <c r="N7" s="50" t="s">
        <v>28</v>
      </c>
      <c r="O7" s="50"/>
      <c r="P7" s="50"/>
      <c r="Q7" s="51"/>
      <c r="R7" s="50"/>
      <c r="S7" s="50"/>
      <c r="T7" s="50"/>
      <c r="U7" s="50"/>
    </row>
    <row r="8" spans="1:21" x14ac:dyDescent="0.25">
      <c r="A8" s="45" t="s">
        <v>20</v>
      </c>
      <c r="B8" s="46">
        <v>45603</v>
      </c>
      <c r="C8" s="45" t="s">
        <v>21</v>
      </c>
      <c r="D8" s="47"/>
      <c r="E8" s="45" t="s">
        <v>22</v>
      </c>
      <c r="F8" s="45" t="s">
        <v>23</v>
      </c>
      <c r="G8" s="45" t="s">
        <v>71</v>
      </c>
      <c r="H8" s="45" t="s">
        <v>739</v>
      </c>
      <c r="I8" s="45" t="s">
        <v>740</v>
      </c>
      <c r="J8" s="45">
        <v>576802106</v>
      </c>
      <c r="K8" s="45" t="s">
        <v>101</v>
      </c>
      <c r="L8" s="48">
        <v>20</v>
      </c>
      <c r="M8" s="49">
        <v>20241007527</v>
      </c>
      <c r="N8" s="50" t="s">
        <v>28</v>
      </c>
      <c r="O8" s="50"/>
      <c r="P8" s="50"/>
      <c r="Q8" s="51"/>
      <c r="R8" s="50"/>
      <c r="S8" s="50"/>
      <c r="T8" s="50"/>
      <c r="U8" s="50"/>
    </row>
    <row r="9" spans="1:21" x14ac:dyDescent="0.25">
      <c r="A9" s="45" t="s">
        <v>20</v>
      </c>
      <c r="B9" s="46">
        <v>45608</v>
      </c>
      <c r="C9" s="45" t="s">
        <v>34</v>
      </c>
      <c r="D9" s="47"/>
      <c r="E9" s="45" t="s">
        <v>22</v>
      </c>
      <c r="F9" s="45" t="s">
        <v>23</v>
      </c>
      <c r="G9" s="45" t="s">
        <v>71</v>
      </c>
      <c r="H9" s="45" t="s">
        <v>739</v>
      </c>
      <c r="I9" s="45" t="s">
        <v>740</v>
      </c>
      <c r="J9" s="45">
        <v>576802106</v>
      </c>
      <c r="K9" s="45" t="s">
        <v>741</v>
      </c>
      <c r="L9" s="48">
        <v>90</v>
      </c>
      <c r="M9" s="49">
        <v>20241007521</v>
      </c>
      <c r="N9" s="50" t="s">
        <v>28</v>
      </c>
      <c r="O9" s="50"/>
      <c r="P9" s="50"/>
      <c r="Q9" s="51"/>
      <c r="R9" s="50"/>
      <c r="S9" s="50"/>
      <c r="T9" s="50"/>
      <c r="U9" s="50"/>
    </row>
    <row r="10" spans="1:21" x14ac:dyDescent="0.25">
      <c r="A10" s="45" t="s">
        <v>20</v>
      </c>
      <c r="B10" s="46">
        <v>45608</v>
      </c>
      <c r="C10" s="45" t="s">
        <v>34</v>
      </c>
      <c r="D10" s="47"/>
      <c r="E10" s="45" t="s">
        <v>22</v>
      </c>
      <c r="F10" s="45" t="s">
        <v>23</v>
      </c>
      <c r="G10" s="45" t="s">
        <v>71</v>
      </c>
      <c r="H10" s="45" t="s">
        <v>739</v>
      </c>
      <c r="I10" s="45" t="s">
        <v>740</v>
      </c>
      <c r="J10" s="45">
        <v>576802106</v>
      </c>
      <c r="K10" s="45" t="s">
        <v>62</v>
      </c>
      <c r="L10" s="48">
        <v>20</v>
      </c>
      <c r="M10" s="49">
        <v>20241007554</v>
      </c>
      <c r="N10" s="50" t="s">
        <v>28</v>
      </c>
      <c r="O10" s="50"/>
      <c r="P10" s="50"/>
      <c r="Q10" s="51"/>
      <c r="R10" s="50"/>
      <c r="S10" s="50"/>
      <c r="T10" s="50"/>
      <c r="U10" s="50"/>
    </row>
    <row r="11" spans="1:21" x14ac:dyDescent="0.25">
      <c r="A11" s="45" t="s">
        <v>20</v>
      </c>
      <c r="B11" s="46">
        <v>45608</v>
      </c>
      <c r="C11" s="45" t="s">
        <v>34</v>
      </c>
      <c r="D11" s="47"/>
      <c r="E11" s="45" t="s">
        <v>22</v>
      </c>
      <c r="F11" s="45" t="s">
        <v>23</v>
      </c>
      <c r="G11" s="45" t="s">
        <v>71</v>
      </c>
      <c r="H11" s="45" t="s">
        <v>739</v>
      </c>
      <c r="I11" s="45" t="s">
        <v>740</v>
      </c>
      <c r="J11" s="45">
        <v>576802106</v>
      </c>
      <c r="K11" s="45" t="s">
        <v>399</v>
      </c>
      <c r="L11" s="48">
        <v>50</v>
      </c>
      <c r="M11" s="49">
        <v>20241007522</v>
      </c>
      <c r="N11" s="50" t="s">
        <v>28</v>
      </c>
      <c r="O11" s="50"/>
      <c r="P11" s="50"/>
      <c r="Q11" s="51"/>
      <c r="R11" s="50"/>
      <c r="S11" s="50"/>
      <c r="T11" s="50"/>
      <c r="U11" s="50"/>
    </row>
    <row r="12" spans="1:21" x14ac:dyDescent="0.25">
      <c r="A12" s="45" t="s">
        <v>20</v>
      </c>
      <c r="B12" s="46">
        <v>45608</v>
      </c>
      <c r="C12" s="45" t="s">
        <v>34</v>
      </c>
      <c r="D12" s="47"/>
      <c r="E12" s="45" t="s">
        <v>22</v>
      </c>
      <c r="F12" s="45" t="s">
        <v>23</v>
      </c>
      <c r="G12" s="45" t="s">
        <v>71</v>
      </c>
      <c r="H12" s="45" t="s">
        <v>739</v>
      </c>
      <c r="I12" s="45" t="s">
        <v>740</v>
      </c>
      <c r="J12" s="45">
        <v>576802106</v>
      </c>
      <c r="K12" s="45" t="s">
        <v>301</v>
      </c>
      <c r="L12" s="48">
        <v>20.92</v>
      </c>
      <c r="M12" s="49">
        <v>20241007496</v>
      </c>
      <c r="N12" s="50" t="s">
        <v>28</v>
      </c>
      <c r="O12" s="50"/>
      <c r="P12" s="50"/>
      <c r="Q12" s="51"/>
      <c r="R12" s="50"/>
      <c r="S12" s="50"/>
      <c r="T12" s="50"/>
      <c r="U12" s="50"/>
    </row>
    <row r="13" spans="1:21" x14ac:dyDescent="0.25">
      <c r="A13" s="45" t="s">
        <v>20</v>
      </c>
      <c r="B13" s="46">
        <v>45608</v>
      </c>
      <c r="C13" s="45" t="s">
        <v>34</v>
      </c>
      <c r="D13" s="47"/>
      <c r="E13" s="45" t="s">
        <v>22</v>
      </c>
      <c r="F13" s="45" t="s">
        <v>23</v>
      </c>
      <c r="G13" s="45" t="s">
        <v>71</v>
      </c>
      <c r="H13" s="45" t="s">
        <v>739</v>
      </c>
      <c r="I13" s="45" t="s">
        <v>740</v>
      </c>
      <c r="J13" s="45">
        <v>576802106</v>
      </c>
      <c r="K13" s="45" t="s">
        <v>337</v>
      </c>
      <c r="L13" s="48">
        <v>7</v>
      </c>
      <c r="M13" s="49">
        <v>20241007513</v>
      </c>
      <c r="N13" s="50" t="s">
        <v>28</v>
      </c>
      <c r="O13" s="50"/>
      <c r="P13" s="50"/>
      <c r="Q13" s="51"/>
      <c r="R13" s="50"/>
      <c r="S13" s="50"/>
      <c r="T13" s="50"/>
      <c r="U13" s="50"/>
    </row>
    <row r="14" spans="1:21" x14ac:dyDescent="0.25">
      <c r="A14" s="45" t="s">
        <v>29</v>
      </c>
      <c r="B14" s="46">
        <v>45608</v>
      </c>
      <c r="C14" s="45" t="s">
        <v>34</v>
      </c>
      <c r="D14" s="47"/>
      <c r="E14" s="45" t="s">
        <v>22</v>
      </c>
      <c r="F14" s="45" t="s">
        <v>23</v>
      </c>
      <c r="G14" s="45" t="s">
        <v>30</v>
      </c>
      <c r="H14" s="45" t="s">
        <v>742</v>
      </c>
      <c r="I14" s="45" t="s">
        <v>743</v>
      </c>
      <c r="J14" s="45">
        <v>576981005</v>
      </c>
      <c r="K14" s="45" t="s">
        <v>272</v>
      </c>
      <c r="L14" s="48">
        <v>160</v>
      </c>
      <c r="M14" s="49">
        <v>20240930947</v>
      </c>
      <c r="N14" s="50" t="s">
        <v>28</v>
      </c>
      <c r="O14" s="50"/>
      <c r="P14" s="50"/>
      <c r="Q14" s="51"/>
      <c r="R14" s="50"/>
      <c r="S14" s="50"/>
      <c r="T14" s="50"/>
      <c r="U14" s="50"/>
    </row>
    <row r="15" spans="1:21" x14ac:dyDescent="0.25">
      <c r="A15" s="45" t="s">
        <v>20</v>
      </c>
      <c r="B15" s="46">
        <v>45608</v>
      </c>
      <c r="C15" s="45" t="s">
        <v>34</v>
      </c>
      <c r="D15" s="47"/>
      <c r="E15" s="45" t="s">
        <v>22</v>
      </c>
      <c r="F15" s="45" t="s">
        <v>23</v>
      </c>
      <c r="G15" s="45" t="s">
        <v>744</v>
      </c>
      <c r="H15" s="45" t="s">
        <v>745</v>
      </c>
      <c r="I15" s="45" t="s">
        <v>746</v>
      </c>
      <c r="J15" s="45">
        <v>607644607</v>
      </c>
      <c r="K15" s="45" t="s">
        <v>747</v>
      </c>
      <c r="L15" s="48">
        <v>124.31</v>
      </c>
      <c r="M15" s="49">
        <v>202409301078</v>
      </c>
      <c r="N15" s="50" t="s">
        <v>28</v>
      </c>
      <c r="O15" s="50"/>
      <c r="P15" s="50"/>
      <c r="Q15" s="51"/>
      <c r="R15" s="50"/>
      <c r="S15" s="50"/>
      <c r="T15" s="50"/>
      <c r="U15" s="50"/>
    </row>
    <row r="16" spans="1:21" x14ac:dyDescent="0.25">
      <c r="A16" s="45" t="s">
        <v>20</v>
      </c>
      <c r="B16" s="46">
        <v>45608</v>
      </c>
      <c r="C16" s="45" t="s">
        <v>34</v>
      </c>
      <c r="D16" s="47"/>
      <c r="E16" s="45" t="s">
        <v>22</v>
      </c>
      <c r="F16" s="45" t="s">
        <v>23</v>
      </c>
      <c r="G16" s="45" t="s">
        <v>748</v>
      </c>
      <c r="H16" s="45" t="s">
        <v>749</v>
      </c>
      <c r="I16" s="45" t="s">
        <v>750</v>
      </c>
      <c r="J16" s="45">
        <v>629120600</v>
      </c>
      <c r="K16" s="45" t="s">
        <v>213</v>
      </c>
      <c r="L16" s="48">
        <v>60</v>
      </c>
      <c r="M16" s="49">
        <v>20241004764</v>
      </c>
      <c r="N16" s="50" t="s">
        <v>28</v>
      </c>
      <c r="O16" s="50"/>
      <c r="P16" s="50"/>
      <c r="Q16" s="51"/>
      <c r="R16" s="50"/>
      <c r="S16" s="50"/>
      <c r="T16" s="50"/>
      <c r="U16" s="50"/>
    </row>
    <row r="17" spans="1:21" x14ac:dyDescent="0.25">
      <c r="A17" s="45" t="s">
        <v>20</v>
      </c>
      <c r="B17" s="46">
        <v>45609</v>
      </c>
      <c r="C17" s="45" t="s">
        <v>34</v>
      </c>
      <c r="D17" s="47"/>
      <c r="E17" s="45" t="s">
        <v>107</v>
      </c>
      <c r="F17" s="45" t="s">
        <v>108</v>
      </c>
      <c r="G17" s="45" t="s">
        <v>751</v>
      </c>
      <c r="H17" s="45" t="s">
        <v>752</v>
      </c>
      <c r="I17" s="45" t="s">
        <v>753</v>
      </c>
      <c r="J17" s="45">
        <v>462832700</v>
      </c>
      <c r="K17" s="45" t="s">
        <v>123</v>
      </c>
      <c r="L17" s="48">
        <v>320</v>
      </c>
      <c r="M17" s="49">
        <v>20241007300</v>
      </c>
      <c r="N17" s="50" t="s">
        <v>28</v>
      </c>
      <c r="O17" s="50"/>
      <c r="P17" s="50"/>
      <c r="Q17" s="51"/>
      <c r="R17" s="50"/>
      <c r="S17" s="50"/>
      <c r="T17" s="50"/>
      <c r="U17" s="50"/>
    </row>
    <row r="18" spans="1:21" x14ac:dyDescent="0.25">
      <c r="A18" s="45" t="s">
        <v>20</v>
      </c>
      <c r="B18" s="46">
        <v>45609</v>
      </c>
      <c r="C18" s="45" t="s">
        <v>34</v>
      </c>
      <c r="D18" s="47"/>
      <c r="E18" s="45" t="s">
        <v>107</v>
      </c>
      <c r="F18" s="45" t="s">
        <v>108</v>
      </c>
      <c r="G18" s="45" t="s">
        <v>754</v>
      </c>
      <c r="H18" s="45" t="s">
        <v>251</v>
      </c>
      <c r="I18" s="45" t="s">
        <v>755</v>
      </c>
      <c r="J18" s="45">
        <v>463218403</v>
      </c>
      <c r="K18" s="45" t="s">
        <v>250</v>
      </c>
      <c r="L18" s="48">
        <v>456</v>
      </c>
      <c r="M18" s="49">
        <v>20241009359</v>
      </c>
      <c r="N18" s="50" t="s">
        <v>28</v>
      </c>
      <c r="O18" s="50"/>
      <c r="P18" s="50"/>
      <c r="Q18" s="51"/>
      <c r="R18" s="50"/>
      <c r="S18" s="50"/>
      <c r="T18" s="50"/>
      <c r="U18" s="50"/>
    </row>
    <row r="19" spans="1:21" ht="90" x14ac:dyDescent="0.25">
      <c r="A19" s="45" t="s">
        <v>756</v>
      </c>
      <c r="B19" s="46">
        <v>45609</v>
      </c>
      <c r="C19" s="45" t="s">
        <v>34</v>
      </c>
      <c r="D19" s="47"/>
      <c r="E19" s="45" t="s">
        <v>107</v>
      </c>
      <c r="F19" s="45" t="s">
        <v>108</v>
      </c>
      <c r="G19" s="45" t="s">
        <v>229</v>
      </c>
      <c r="H19" s="45" t="s">
        <v>757</v>
      </c>
      <c r="I19" s="45" t="s">
        <v>758</v>
      </c>
      <c r="J19" s="45">
        <v>463511914</v>
      </c>
      <c r="K19" s="45" t="s">
        <v>759</v>
      </c>
      <c r="L19" s="48">
        <v>2437.5</v>
      </c>
      <c r="M19" s="49">
        <v>20241011535</v>
      </c>
      <c r="N19" s="50"/>
      <c r="O19" s="50" t="s">
        <v>124</v>
      </c>
      <c r="P19" s="50"/>
      <c r="Q19" s="51" t="s">
        <v>760</v>
      </c>
      <c r="R19" s="50"/>
      <c r="S19" s="50"/>
      <c r="T19" s="50"/>
      <c r="U19" s="50"/>
    </row>
    <row r="20" spans="1:21" x14ac:dyDescent="0.25">
      <c r="A20" s="45" t="s">
        <v>29</v>
      </c>
      <c r="B20" s="46">
        <v>45609</v>
      </c>
      <c r="C20" s="45" t="s">
        <v>34</v>
      </c>
      <c r="D20" s="47"/>
      <c r="E20" s="45" t="s">
        <v>107</v>
      </c>
      <c r="F20" s="45" t="s">
        <v>108</v>
      </c>
      <c r="G20" s="45" t="s">
        <v>368</v>
      </c>
      <c r="H20" s="45" t="s">
        <v>761</v>
      </c>
      <c r="I20" s="45" t="s">
        <v>556</v>
      </c>
      <c r="J20" s="45">
        <v>463994821</v>
      </c>
      <c r="K20" s="45" t="s">
        <v>123</v>
      </c>
      <c r="L20" s="48">
        <v>550</v>
      </c>
      <c r="M20" s="49">
        <v>20241008529</v>
      </c>
      <c r="N20" s="50" t="s">
        <v>28</v>
      </c>
      <c r="O20" s="50"/>
      <c r="P20" s="50"/>
      <c r="Q20" s="51"/>
      <c r="R20" s="50"/>
      <c r="S20" s="50"/>
      <c r="T20" s="50"/>
      <c r="U20" s="50"/>
    </row>
    <row r="21" spans="1:21" x14ac:dyDescent="0.25">
      <c r="A21" s="45" t="s">
        <v>20</v>
      </c>
      <c r="B21" s="46">
        <v>45609</v>
      </c>
      <c r="C21" s="45" t="s">
        <v>34</v>
      </c>
      <c r="D21" s="47"/>
      <c r="E21" s="45" t="s">
        <v>107</v>
      </c>
      <c r="F21" s="45" t="s">
        <v>108</v>
      </c>
      <c r="G21" s="45" t="s">
        <v>368</v>
      </c>
      <c r="H21" s="45" t="s">
        <v>84</v>
      </c>
      <c r="I21" s="45" t="s">
        <v>762</v>
      </c>
      <c r="J21" s="45">
        <v>464479508</v>
      </c>
      <c r="K21" s="45" t="s">
        <v>358</v>
      </c>
      <c r="L21" s="48">
        <v>41</v>
      </c>
      <c r="M21" s="49">
        <v>20241010386</v>
      </c>
      <c r="N21" s="50" t="s">
        <v>28</v>
      </c>
      <c r="O21" s="50"/>
      <c r="P21" s="50"/>
      <c r="Q21" s="51"/>
      <c r="R21" s="50"/>
      <c r="S21" s="50"/>
      <c r="T21" s="50"/>
      <c r="U21" s="50"/>
    </row>
    <row r="22" spans="1:21" x14ac:dyDescent="0.25">
      <c r="A22" s="45" t="s">
        <v>20</v>
      </c>
      <c r="B22" s="46">
        <v>45609</v>
      </c>
      <c r="C22" s="45" t="s">
        <v>34</v>
      </c>
      <c r="D22" s="47"/>
      <c r="E22" s="45" t="s">
        <v>107</v>
      </c>
      <c r="F22" s="45" t="s">
        <v>108</v>
      </c>
      <c r="G22" s="45" t="s">
        <v>763</v>
      </c>
      <c r="H22" s="45" t="s">
        <v>761</v>
      </c>
      <c r="I22" s="45" t="s">
        <v>764</v>
      </c>
      <c r="J22" s="45">
        <v>464499117</v>
      </c>
      <c r="K22" s="45" t="s">
        <v>765</v>
      </c>
      <c r="L22" s="48">
        <v>19.97</v>
      </c>
      <c r="M22" s="49">
        <v>20241007261</v>
      </c>
      <c r="N22" s="50" t="s">
        <v>28</v>
      </c>
      <c r="O22" s="50"/>
      <c r="P22" s="50"/>
      <c r="Q22" s="51"/>
      <c r="R22" s="50"/>
      <c r="S22" s="50"/>
      <c r="T22" s="50"/>
      <c r="U22" s="50"/>
    </row>
    <row r="23" spans="1:21" ht="25.5" x14ac:dyDescent="0.25">
      <c r="A23" s="45" t="s">
        <v>20</v>
      </c>
      <c r="B23" s="46">
        <v>45609</v>
      </c>
      <c r="C23" s="45" t="s">
        <v>34</v>
      </c>
      <c r="D23" s="47"/>
      <c r="E23" s="45" t="s">
        <v>107</v>
      </c>
      <c r="F23" s="45" t="s">
        <v>108</v>
      </c>
      <c r="G23" s="45" t="s">
        <v>171</v>
      </c>
      <c r="H23" s="45" t="s">
        <v>766</v>
      </c>
      <c r="I23" s="45" t="s">
        <v>767</v>
      </c>
      <c r="J23" s="45">
        <v>464989693</v>
      </c>
      <c r="K23" s="45" t="s">
        <v>76</v>
      </c>
      <c r="L23" s="48">
        <v>165.67</v>
      </c>
      <c r="M23" s="49">
        <v>20241010405</v>
      </c>
      <c r="N23" s="50" t="s">
        <v>28</v>
      </c>
      <c r="O23" s="50"/>
      <c r="P23" s="50"/>
      <c r="Q23" s="51"/>
      <c r="R23" s="50"/>
      <c r="S23" s="50"/>
      <c r="T23" s="50"/>
      <c r="U23" s="50"/>
    </row>
    <row r="24" spans="1:21" ht="25.5" x14ac:dyDescent="0.25">
      <c r="A24" s="45" t="s">
        <v>20</v>
      </c>
      <c r="B24" s="46">
        <v>45609</v>
      </c>
      <c r="C24" s="45" t="s">
        <v>34</v>
      </c>
      <c r="D24" s="47"/>
      <c r="E24" s="45" t="s">
        <v>107</v>
      </c>
      <c r="F24" s="45" t="s">
        <v>108</v>
      </c>
      <c r="G24" s="45" t="s">
        <v>171</v>
      </c>
      <c r="H24" s="45" t="s">
        <v>766</v>
      </c>
      <c r="I24" s="45" t="s">
        <v>767</v>
      </c>
      <c r="J24" s="45">
        <v>464989693</v>
      </c>
      <c r="K24" s="45" t="s">
        <v>416</v>
      </c>
      <c r="L24" s="48">
        <v>165.67</v>
      </c>
      <c r="M24" s="49">
        <v>20241010406</v>
      </c>
      <c r="N24" s="50" t="s">
        <v>28</v>
      </c>
      <c r="O24" s="50"/>
      <c r="P24" s="50"/>
      <c r="Q24" s="51"/>
      <c r="R24" s="50"/>
      <c r="S24" s="50"/>
      <c r="T24" s="50"/>
      <c r="U24" s="50"/>
    </row>
    <row r="25" spans="1:21" ht="30" x14ac:dyDescent="0.25">
      <c r="A25" s="45" t="s">
        <v>20</v>
      </c>
      <c r="B25" s="46">
        <v>45609</v>
      </c>
      <c r="C25" s="45" t="s">
        <v>34</v>
      </c>
      <c r="D25" s="47"/>
      <c r="E25" s="45" t="s">
        <v>107</v>
      </c>
      <c r="F25" s="45" t="s">
        <v>108</v>
      </c>
      <c r="G25" s="45" t="s">
        <v>171</v>
      </c>
      <c r="H25" s="45" t="s">
        <v>766</v>
      </c>
      <c r="I25" s="45" t="s">
        <v>767</v>
      </c>
      <c r="J25" s="45">
        <v>464989693</v>
      </c>
      <c r="K25" s="45" t="s">
        <v>416</v>
      </c>
      <c r="L25" s="48">
        <v>165.67</v>
      </c>
      <c r="M25" s="49">
        <v>20241010410</v>
      </c>
      <c r="N25" s="50"/>
      <c r="O25" s="50"/>
      <c r="P25" s="50" t="s">
        <v>304</v>
      </c>
      <c r="Q25" s="51" t="s">
        <v>768</v>
      </c>
      <c r="R25" s="50"/>
      <c r="S25" s="50"/>
      <c r="T25" s="50"/>
      <c r="U25" s="50"/>
    </row>
    <row r="26" spans="1:21" ht="90" x14ac:dyDescent="0.25">
      <c r="A26" s="45" t="s">
        <v>29</v>
      </c>
      <c r="B26" s="46">
        <v>45609</v>
      </c>
      <c r="C26" s="45" t="s">
        <v>34</v>
      </c>
      <c r="D26" s="47"/>
      <c r="E26" s="45" t="s">
        <v>107</v>
      </c>
      <c r="F26" s="45" t="s">
        <v>108</v>
      </c>
      <c r="G26" s="45" t="s">
        <v>769</v>
      </c>
      <c r="H26" s="45" t="s">
        <v>770</v>
      </c>
      <c r="I26" s="45" t="s">
        <v>771</v>
      </c>
      <c r="J26" s="45">
        <v>465558502</v>
      </c>
      <c r="K26" s="45" t="s">
        <v>237</v>
      </c>
      <c r="L26" s="48">
        <v>2199.92</v>
      </c>
      <c r="M26" s="49">
        <v>20241011631</v>
      </c>
      <c r="N26" s="50"/>
      <c r="O26" s="50" t="s">
        <v>124</v>
      </c>
      <c r="P26" s="50"/>
      <c r="Q26" s="51" t="s">
        <v>772</v>
      </c>
      <c r="R26" s="50"/>
      <c r="S26" s="50"/>
      <c r="T26" s="50"/>
      <c r="U26" s="50"/>
    </row>
    <row r="27" spans="1:21" ht="25.5" x14ac:dyDescent="0.25">
      <c r="A27" s="45" t="s">
        <v>20</v>
      </c>
      <c r="B27" s="46">
        <v>45609</v>
      </c>
      <c r="C27" s="45" t="s">
        <v>34</v>
      </c>
      <c r="D27" s="47"/>
      <c r="E27" s="45" t="s">
        <v>107</v>
      </c>
      <c r="F27" s="45" t="s">
        <v>108</v>
      </c>
      <c r="G27" s="45" t="s">
        <v>773</v>
      </c>
      <c r="H27" s="45" t="s">
        <v>774</v>
      </c>
      <c r="I27" s="45" t="s">
        <v>775</v>
      </c>
      <c r="J27" s="45">
        <v>466633273</v>
      </c>
      <c r="K27" s="45" t="s">
        <v>106</v>
      </c>
      <c r="L27" s="48">
        <v>212</v>
      </c>
      <c r="M27" s="49">
        <v>20241007490</v>
      </c>
      <c r="N27" s="50" t="s">
        <v>28</v>
      </c>
      <c r="O27" s="50"/>
      <c r="P27" s="50"/>
      <c r="Q27" s="51"/>
      <c r="R27" s="50"/>
      <c r="S27" s="50"/>
      <c r="T27" s="50"/>
      <c r="U27" s="50"/>
    </row>
    <row r="28" spans="1:21" ht="25.5" x14ac:dyDescent="0.25">
      <c r="A28" s="45" t="s">
        <v>20</v>
      </c>
      <c r="B28" s="46">
        <v>45609</v>
      </c>
      <c r="C28" s="45" t="s">
        <v>34</v>
      </c>
      <c r="D28" s="47"/>
      <c r="E28" s="45" t="s">
        <v>107</v>
      </c>
      <c r="F28" s="45" t="s">
        <v>108</v>
      </c>
      <c r="G28" s="45" t="s">
        <v>773</v>
      </c>
      <c r="H28" s="45" t="s">
        <v>774</v>
      </c>
      <c r="I28" s="45" t="s">
        <v>775</v>
      </c>
      <c r="J28" s="45">
        <v>466633273</v>
      </c>
      <c r="K28" s="45" t="s">
        <v>106</v>
      </c>
      <c r="L28" s="48">
        <v>212</v>
      </c>
      <c r="M28" s="49">
        <v>20241007490</v>
      </c>
      <c r="N28" s="50" t="s">
        <v>28</v>
      </c>
      <c r="O28" s="50"/>
      <c r="P28" s="50"/>
      <c r="Q28" s="51"/>
      <c r="R28" s="50"/>
      <c r="S28" s="50"/>
      <c r="T28" s="50"/>
      <c r="U28" s="50"/>
    </row>
    <row r="29" spans="1:21" ht="25.5" x14ac:dyDescent="0.25">
      <c r="A29" s="45" t="s">
        <v>20</v>
      </c>
      <c r="B29" s="46">
        <v>45609</v>
      </c>
      <c r="C29" s="45" t="s">
        <v>34</v>
      </c>
      <c r="D29" s="47"/>
      <c r="E29" s="45" t="s">
        <v>107</v>
      </c>
      <c r="F29" s="45" t="s">
        <v>108</v>
      </c>
      <c r="G29" s="45" t="s">
        <v>776</v>
      </c>
      <c r="H29" s="45" t="s">
        <v>777</v>
      </c>
      <c r="I29" s="45" t="s">
        <v>778</v>
      </c>
      <c r="J29" s="45">
        <v>466856585</v>
      </c>
      <c r="K29" s="45" t="s">
        <v>147</v>
      </c>
      <c r="L29" s="48">
        <v>150</v>
      </c>
      <c r="M29" s="49">
        <v>20241007448</v>
      </c>
      <c r="N29" s="50" t="s">
        <v>28</v>
      </c>
      <c r="O29" s="50"/>
      <c r="P29" s="50"/>
      <c r="Q29" s="51"/>
      <c r="R29" s="50"/>
      <c r="S29" s="50"/>
      <c r="T29" s="50"/>
      <c r="U29" s="50"/>
    </row>
    <row r="30" spans="1:21" ht="75" x14ac:dyDescent="0.25">
      <c r="A30" s="45" t="s">
        <v>20</v>
      </c>
      <c r="B30" s="46">
        <v>45609</v>
      </c>
      <c r="C30" s="45" t="s">
        <v>34</v>
      </c>
      <c r="D30" s="47"/>
      <c r="E30" s="45" t="s">
        <v>107</v>
      </c>
      <c r="F30" s="45" t="s">
        <v>108</v>
      </c>
      <c r="G30" s="45" t="s">
        <v>368</v>
      </c>
      <c r="H30" s="45" t="s">
        <v>779</v>
      </c>
      <c r="I30" s="45" t="s">
        <v>780</v>
      </c>
      <c r="J30" s="45">
        <v>467497226</v>
      </c>
      <c r="K30" s="45" t="s">
        <v>781</v>
      </c>
      <c r="L30" s="48">
        <v>400</v>
      </c>
      <c r="M30" s="49">
        <v>20241007309</v>
      </c>
      <c r="N30" s="50"/>
      <c r="O30" s="50"/>
      <c r="P30" s="52" t="s">
        <v>304</v>
      </c>
      <c r="Q30" s="51" t="s">
        <v>782</v>
      </c>
      <c r="R30" s="50"/>
      <c r="S30" s="50"/>
      <c r="T30" s="50"/>
      <c r="U30" s="50"/>
    </row>
    <row r="31" spans="1:21" ht="75" x14ac:dyDescent="0.25">
      <c r="A31" s="45" t="s">
        <v>20</v>
      </c>
      <c r="B31" s="46">
        <v>45609</v>
      </c>
      <c r="C31" s="45" t="s">
        <v>34</v>
      </c>
      <c r="D31" s="47"/>
      <c r="E31" s="45" t="s">
        <v>107</v>
      </c>
      <c r="F31" s="45" t="s">
        <v>108</v>
      </c>
      <c r="G31" s="45" t="s">
        <v>368</v>
      </c>
      <c r="H31" s="45" t="s">
        <v>779</v>
      </c>
      <c r="I31" s="45" t="s">
        <v>780</v>
      </c>
      <c r="J31" s="45">
        <v>467497226</v>
      </c>
      <c r="K31" s="45" t="s">
        <v>783</v>
      </c>
      <c r="L31" s="48">
        <v>400</v>
      </c>
      <c r="M31" s="49">
        <v>20241007298</v>
      </c>
      <c r="N31" s="50" t="s">
        <v>28</v>
      </c>
      <c r="O31" s="50"/>
      <c r="P31" s="50"/>
      <c r="Q31" s="51" t="s">
        <v>782</v>
      </c>
      <c r="R31" s="50"/>
      <c r="S31" s="50"/>
      <c r="T31" s="50"/>
      <c r="U31" s="50"/>
    </row>
    <row r="32" spans="1:21" x14ac:dyDescent="0.25">
      <c r="A32" s="45" t="s">
        <v>20</v>
      </c>
      <c r="B32" s="46">
        <v>45608</v>
      </c>
      <c r="C32" s="45" t="s">
        <v>34</v>
      </c>
      <c r="D32" s="47"/>
      <c r="E32" s="45" t="s">
        <v>162</v>
      </c>
      <c r="F32" s="45" t="s">
        <v>163</v>
      </c>
      <c r="G32" s="45" t="s">
        <v>30</v>
      </c>
      <c r="H32" s="45" t="s">
        <v>784</v>
      </c>
      <c r="I32" s="45" t="s">
        <v>785</v>
      </c>
      <c r="J32" s="45">
        <v>343945798</v>
      </c>
      <c r="K32" s="45" t="s">
        <v>781</v>
      </c>
      <c r="L32" s="48">
        <v>3664.9</v>
      </c>
      <c r="M32" s="49">
        <v>20241007762</v>
      </c>
      <c r="N32" s="50" t="s">
        <v>28</v>
      </c>
      <c r="O32" s="50"/>
      <c r="P32" s="50"/>
      <c r="Q32" s="51"/>
      <c r="R32" s="50"/>
      <c r="S32" s="50"/>
      <c r="T32" s="50"/>
      <c r="U32" s="50"/>
    </row>
    <row r="33" spans="1:21" x14ac:dyDescent="0.25">
      <c r="A33" s="45" t="s">
        <v>20</v>
      </c>
      <c r="B33" s="46">
        <v>45587</v>
      </c>
      <c r="C33" s="45" t="s">
        <v>114</v>
      </c>
      <c r="D33" s="47"/>
      <c r="E33" s="45" t="s">
        <v>176</v>
      </c>
      <c r="F33" s="45" t="s">
        <v>177</v>
      </c>
      <c r="G33" s="45" t="s">
        <v>786</v>
      </c>
      <c r="H33" s="45" t="s">
        <v>787</v>
      </c>
      <c r="I33" s="45" t="s">
        <v>788</v>
      </c>
      <c r="J33" s="45">
        <v>198645650</v>
      </c>
      <c r="K33" s="45" t="s">
        <v>759</v>
      </c>
      <c r="L33" s="48">
        <v>9.99</v>
      </c>
      <c r="M33" s="49">
        <v>20241008307</v>
      </c>
      <c r="N33" s="50" t="s">
        <v>28</v>
      </c>
      <c r="O33" s="50"/>
      <c r="P33" s="50"/>
      <c r="Q33" s="51"/>
      <c r="R33" s="50"/>
      <c r="S33" s="50"/>
      <c r="T33" s="50"/>
      <c r="U33" s="50"/>
    </row>
    <row r="34" spans="1:21" x14ac:dyDescent="0.25">
      <c r="A34" s="45" t="s">
        <v>20</v>
      </c>
      <c r="B34" s="46">
        <v>45588</v>
      </c>
      <c r="C34" s="45" t="s">
        <v>114</v>
      </c>
      <c r="D34" s="47"/>
      <c r="E34" s="45" t="s">
        <v>176</v>
      </c>
      <c r="F34" s="45" t="s">
        <v>177</v>
      </c>
      <c r="G34" s="45" t="s">
        <v>786</v>
      </c>
      <c r="H34" s="45" t="s">
        <v>787</v>
      </c>
      <c r="I34" s="45" t="s">
        <v>788</v>
      </c>
      <c r="J34" s="45">
        <v>198645650</v>
      </c>
      <c r="K34" s="45" t="s">
        <v>59</v>
      </c>
      <c r="L34" s="48">
        <v>40</v>
      </c>
      <c r="M34" s="49">
        <v>20241008308</v>
      </c>
      <c r="N34" s="50" t="s">
        <v>28</v>
      </c>
      <c r="O34" s="50"/>
      <c r="P34" s="50"/>
      <c r="Q34" s="51"/>
      <c r="R34" s="50"/>
      <c r="S34" s="50"/>
      <c r="T34" s="50"/>
      <c r="U34" s="50"/>
    </row>
    <row r="35" spans="1:21" x14ac:dyDescent="0.25">
      <c r="A35" s="45" t="s">
        <v>20</v>
      </c>
      <c r="B35" s="46">
        <v>45588</v>
      </c>
      <c r="C35" s="45" t="s">
        <v>114</v>
      </c>
      <c r="D35" s="47"/>
      <c r="E35" s="45" t="s">
        <v>176</v>
      </c>
      <c r="F35" s="45" t="s">
        <v>177</v>
      </c>
      <c r="G35" s="45" t="s">
        <v>157</v>
      </c>
      <c r="H35" s="45" t="s">
        <v>789</v>
      </c>
      <c r="I35" s="45" t="s">
        <v>789</v>
      </c>
      <c r="J35" s="45">
        <v>198842147</v>
      </c>
      <c r="K35" s="45" t="s">
        <v>790</v>
      </c>
      <c r="L35" s="48">
        <v>66</v>
      </c>
      <c r="M35" s="49">
        <v>20241010393</v>
      </c>
      <c r="N35" s="50" t="s">
        <v>28</v>
      </c>
      <c r="O35" s="50"/>
      <c r="P35" s="50"/>
      <c r="Q35" s="51"/>
      <c r="R35" s="50"/>
      <c r="S35" s="50"/>
      <c r="T35" s="50"/>
      <c r="U35" s="50"/>
    </row>
    <row r="36" spans="1:21" x14ac:dyDescent="0.25">
      <c r="A36" s="45" t="s">
        <v>20</v>
      </c>
      <c r="B36" s="46">
        <v>45588</v>
      </c>
      <c r="C36" s="45" t="s">
        <v>114</v>
      </c>
      <c r="D36" s="47"/>
      <c r="E36" s="45" t="s">
        <v>176</v>
      </c>
      <c r="F36" s="45" t="s">
        <v>177</v>
      </c>
      <c r="G36" s="45" t="s">
        <v>791</v>
      </c>
      <c r="H36" s="45" t="s">
        <v>792</v>
      </c>
      <c r="I36" s="45" t="s">
        <v>793</v>
      </c>
      <c r="J36" s="45">
        <v>204667980</v>
      </c>
      <c r="K36" s="45" t="s">
        <v>781</v>
      </c>
      <c r="L36" s="48">
        <v>75</v>
      </c>
      <c r="M36" s="49">
        <v>20241010523</v>
      </c>
      <c r="N36" s="50" t="s">
        <v>28</v>
      </c>
      <c r="O36" s="50"/>
      <c r="P36" s="50"/>
      <c r="Q36" s="51"/>
      <c r="R36" s="50"/>
      <c r="S36" s="50"/>
      <c r="T36" s="50"/>
      <c r="U36" s="50"/>
    </row>
    <row r="37" spans="1:21" x14ac:dyDescent="0.25">
      <c r="A37" s="45" t="s">
        <v>29</v>
      </c>
      <c r="B37" s="46">
        <v>45588</v>
      </c>
      <c r="C37" s="45" t="s">
        <v>114</v>
      </c>
      <c r="D37" s="47"/>
      <c r="E37" s="45" t="s">
        <v>176</v>
      </c>
      <c r="F37" s="45" t="s">
        <v>177</v>
      </c>
      <c r="G37" s="45" t="s">
        <v>30</v>
      </c>
      <c r="H37" s="45" t="s">
        <v>794</v>
      </c>
      <c r="I37" s="45" t="s">
        <v>795</v>
      </c>
      <c r="J37" s="45">
        <v>216233269</v>
      </c>
      <c r="K37" s="45" t="s">
        <v>48</v>
      </c>
      <c r="L37" s="48">
        <v>1400</v>
      </c>
      <c r="M37" s="49">
        <v>20241008462</v>
      </c>
      <c r="N37" s="50" t="s">
        <v>28</v>
      </c>
      <c r="O37" s="50"/>
      <c r="P37" s="50"/>
      <c r="Q37" s="51"/>
      <c r="R37" s="50"/>
      <c r="S37" s="50"/>
      <c r="T37" s="50"/>
      <c r="U37" s="50"/>
    </row>
    <row r="38" spans="1:21" x14ac:dyDescent="0.25">
      <c r="A38" s="45" t="s">
        <v>29</v>
      </c>
      <c r="B38" s="46">
        <v>45588</v>
      </c>
      <c r="C38" s="45" t="s">
        <v>114</v>
      </c>
      <c r="D38" s="47"/>
      <c r="E38" s="45" t="s">
        <v>176</v>
      </c>
      <c r="F38" s="45" t="s">
        <v>177</v>
      </c>
      <c r="G38" s="45" t="s">
        <v>30</v>
      </c>
      <c r="H38" s="45" t="s">
        <v>794</v>
      </c>
      <c r="I38" s="45" t="s">
        <v>795</v>
      </c>
      <c r="J38" s="45">
        <v>216233269</v>
      </c>
      <c r="K38" s="45" t="s">
        <v>56</v>
      </c>
      <c r="L38" s="48">
        <v>1400</v>
      </c>
      <c r="M38" s="49">
        <v>20241008458</v>
      </c>
      <c r="N38" s="50" t="s">
        <v>28</v>
      </c>
      <c r="O38" s="50"/>
      <c r="P38" s="50"/>
      <c r="Q38" s="51"/>
      <c r="R38" s="50"/>
      <c r="S38" s="50"/>
      <c r="T38" s="50"/>
      <c r="U38" s="50"/>
    </row>
    <row r="39" spans="1:21" x14ac:dyDescent="0.25">
      <c r="A39" s="45" t="s">
        <v>29</v>
      </c>
      <c r="B39" s="46">
        <v>45588</v>
      </c>
      <c r="C39" s="45" t="s">
        <v>114</v>
      </c>
      <c r="D39" s="47"/>
      <c r="E39" s="45" t="s">
        <v>176</v>
      </c>
      <c r="F39" s="45" t="s">
        <v>177</v>
      </c>
      <c r="G39" s="45" t="s">
        <v>30</v>
      </c>
      <c r="H39" s="45" t="s">
        <v>794</v>
      </c>
      <c r="I39" s="45" t="s">
        <v>795</v>
      </c>
      <c r="J39" s="45">
        <v>216233269</v>
      </c>
      <c r="K39" s="45" t="s">
        <v>184</v>
      </c>
      <c r="L39" s="48">
        <v>1400</v>
      </c>
      <c r="M39" s="49">
        <v>20241008550</v>
      </c>
      <c r="N39" s="50" t="s">
        <v>28</v>
      </c>
      <c r="O39" s="50"/>
      <c r="P39" s="50"/>
      <c r="Q39" s="51"/>
      <c r="R39" s="50"/>
      <c r="S39" s="50"/>
      <c r="T39" s="50"/>
      <c r="U39" s="50"/>
    </row>
    <row r="40" spans="1:21" x14ac:dyDescent="0.25">
      <c r="A40" s="45" t="s">
        <v>29</v>
      </c>
      <c r="B40" s="46">
        <v>45588</v>
      </c>
      <c r="C40" s="45" t="s">
        <v>114</v>
      </c>
      <c r="D40" s="47"/>
      <c r="E40" s="45" t="s">
        <v>176</v>
      </c>
      <c r="F40" s="45" t="s">
        <v>177</v>
      </c>
      <c r="G40" s="45" t="s">
        <v>191</v>
      </c>
      <c r="H40" s="45" t="s">
        <v>796</v>
      </c>
      <c r="I40" s="45" t="s">
        <v>797</v>
      </c>
      <c r="J40" s="45">
        <v>216335580</v>
      </c>
      <c r="K40" s="45" t="s">
        <v>184</v>
      </c>
      <c r="L40" s="48">
        <v>800</v>
      </c>
      <c r="M40" s="49">
        <v>20241008621</v>
      </c>
      <c r="N40" s="50" t="s">
        <v>28</v>
      </c>
      <c r="O40" s="50"/>
      <c r="P40" s="50"/>
      <c r="Q40" s="51"/>
      <c r="R40" s="50"/>
      <c r="S40" s="50"/>
      <c r="T40" s="50"/>
      <c r="U40" s="50"/>
    </row>
    <row r="41" spans="1:21" x14ac:dyDescent="0.25">
      <c r="A41" s="45" t="s">
        <v>29</v>
      </c>
      <c r="B41" s="46">
        <v>45588</v>
      </c>
      <c r="C41" s="45" t="s">
        <v>114</v>
      </c>
      <c r="D41" s="47"/>
      <c r="E41" s="45" t="s">
        <v>176</v>
      </c>
      <c r="F41" s="45" t="s">
        <v>177</v>
      </c>
      <c r="G41" s="45" t="s">
        <v>191</v>
      </c>
      <c r="H41" s="45" t="s">
        <v>796</v>
      </c>
      <c r="I41" s="45" t="s">
        <v>797</v>
      </c>
      <c r="J41" s="45">
        <v>216335580</v>
      </c>
      <c r="K41" s="45" t="s">
        <v>56</v>
      </c>
      <c r="L41" s="48">
        <v>800</v>
      </c>
      <c r="M41" s="49">
        <v>20241008620</v>
      </c>
      <c r="N41" s="50" t="s">
        <v>28</v>
      </c>
      <c r="O41" s="50"/>
      <c r="P41" s="50"/>
      <c r="Q41" s="51"/>
      <c r="R41" s="50"/>
      <c r="S41" s="50"/>
      <c r="T41" s="50"/>
      <c r="U41" s="50"/>
    </row>
    <row r="42" spans="1:21" x14ac:dyDescent="0.25">
      <c r="A42" s="45" t="s">
        <v>20</v>
      </c>
      <c r="B42" s="46">
        <v>45588</v>
      </c>
      <c r="C42" s="45" t="s">
        <v>114</v>
      </c>
      <c r="D42" s="47"/>
      <c r="E42" s="45" t="s">
        <v>176</v>
      </c>
      <c r="F42" s="45" t="s">
        <v>177</v>
      </c>
      <c r="G42" s="45" t="s">
        <v>798</v>
      </c>
      <c r="H42" s="45" t="s">
        <v>799</v>
      </c>
      <c r="I42" s="45" t="s">
        <v>800</v>
      </c>
      <c r="J42" s="45">
        <v>220464581</v>
      </c>
      <c r="K42" s="45" t="s">
        <v>271</v>
      </c>
      <c r="L42" s="48">
        <v>44.8</v>
      </c>
      <c r="M42" s="49">
        <v>20241008663</v>
      </c>
      <c r="N42" s="50" t="s">
        <v>28</v>
      </c>
      <c r="O42" s="50"/>
      <c r="P42" s="50"/>
      <c r="Q42" s="51"/>
      <c r="R42" s="50"/>
      <c r="S42" s="50"/>
      <c r="T42" s="50"/>
      <c r="U42" s="50"/>
    </row>
    <row r="43" spans="1:21" x14ac:dyDescent="0.25">
      <c r="A43" s="45" t="s">
        <v>29</v>
      </c>
      <c r="B43" s="46">
        <v>45588</v>
      </c>
      <c r="C43" s="45" t="s">
        <v>114</v>
      </c>
      <c r="D43" s="47"/>
      <c r="E43" s="45" t="s">
        <v>176</v>
      </c>
      <c r="F43" s="45" t="s">
        <v>177</v>
      </c>
      <c r="G43" s="45" t="s">
        <v>801</v>
      </c>
      <c r="H43" s="45" t="s">
        <v>84</v>
      </c>
      <c r="I43" s="45" t="s">
        <v>802</v>
      </c>
      <c r="J43" s="45">
        <v>225530481</v>
      </c>
      <c r="K43" s="45" t="s">
        <v>184</v>
      </c>
      <c r="L43" s="48">
        <v>400</v>
      </c>
      <c r="M43" s="49">
        <v>20241009467</v>
      </c>
      <c r="N43" s="50" t="s">
        <v>28</v>
      </c>
      <c r="O43" s="50"/>
      <c r="P43" s="50"/>
      <c r="Q43" s="51"/>
      <c r="R43" s="50"/>
      <c r="S43" s="50"/>
      <c r="T43" s="50"/>
      <c r="U43" s="50"/>
    </row>
    <row r="44" spans="1:21" x14ac:dyDescent="0.25">
      <c r="A44" s="45" t="s">
        <v>20</v>
      </c>
      <c r="B44" s="46">
        <v>45588</v>
      </c>
      <c r="C44" s="45" t="s">
        <v>114</v>
      </c>
      <c r="D44" s="47"/>
      <c r="E44" s="45" t="s">
        <v>176</v>
      </c>
      <c r="F44" s="45" t="s">
        <v>177</v>
      </c>
      <c r="G44" s="45" t="s">
        <v>30</v>
      </c>
      <c r="H44" s="45" t="s">
        <v>803</v>
      </c>
      <c r="I44" s="45" t="s">
        <v>804</v>
      </c>
      <c r="J44" s="45">
        <v>227370967</v>
      </c>
      <c r="K44" s="45" t="s">
        <v>269</v>
      </c>
      <c r="L44" s="48">
        <v>79.31</v>
      </c>
      <c r="M44" s="49">
        <v>20241009298</v>
      </c>
      <c r="N44" s="50" t="s">
        <v>28</v>
      </c>
      <c r="O44" s="50"/>
      <c r="P44" s="50"/>
      <c r="Q44" s="51"/>
      <c r="R44" s="50"/>
      <c r="S44" s="50"/>
      <c r="T44" s="50"/>
      <c r="U44" s="50"/>
    </row>
    <row r="45" spans="1:21" x14ac:dyDescent="0.25">
      <c r="A45" s="45" t="s">
        <v>29</v>
      </c>
      <c r="B45" s="46">
        <v>45588</v>
      </c>
      <c r="C45" s="45" t="s">
        <v>114</v>
      </c>
      <c r="D45" s="47"/>
      <c r="E45" s="45" t="s">
        <v>176</v>
      </c>
      <c r="F45" s="45" t="s">
        <v>177</v>
      </c>
      <c r="G45" s="45" t="s">
        <v>30</v>
      </c>
      <c r="H45" s="45" t="s">
        <v>805</v>
      </c>
      <c r="I45" s="45" t="s">
        <v>806</v>
      </c>
      <c r="J45" s="45">
        <v>228554214</v>
      </c>
      <c r="K45" s="45" t="s">
        <v>184</v>
      </c>
      <c r="L45" s="48">
        <v>1230</v>
      </c>
      <c r="M45" s="49">
        <v>20241011364</v>
      </c>
      <c r="N45" s="50" t="s">
        <v>28</v>
      </c>
      <c r="O45" s="50"/>
      <c r="P45" s="50"/>
      <c r="Q45" s="51"/>
      <c r="R45" s="50"/>
      <c r="S45" s="50"/>
      <c r="T45" s="50"/>
      <c r="U45" s="50"/>
    </row>
    <row r="46" spans="1:21" x14ac:dyDescent="0.25">
      <c r="A46" s="45" t="s">
        <v>20</v>
      </c>
      <c r="B46" s="46">
        <v>45588</v>
      </c>
      <c r="C46" s="45" t="s">
        <v>114</v>
      </c>
      <c r="D46" s="47"/>
      <c r="E46" s="45" t="s">
        <v>176</v>
      </c>
      <c r="F46" s="45" t="s">
        <v>177</v>
      </c>
      <c r="G46" s="45" t="s">
        <v>30</v>
      </c>
      <c r="H46" s="45" t="s">
        <v>807</v>
      </c>
      <c r="I46" s="45" t="s">
        <v>808</v>
      </c>
      <c r="J46" s="45">
        <v>228937811</v>
      </c>
      <c r="K46" s="45" t="s">
        <v>781</v>
      </c>
      <c r="L46" s="48">
        <v>1462.16</v>
      </c>
      <c r="M46" s="49">
        <v>20241007831</v>
      </c>
      <c r="N46" s="50" t="s">
        <v>28</v>
      </c>
      <c r="O46" s="50"/>
      <c r="P46" s="50"/>
      <c r="Q46" s="51"/>
      <c r="R46" s="50"/>
      <c r="S46" s="50"/>
      <c r="T46" s="50"/>
      <c r="U46" s="50"/>
    </row>
    <row r="47" spans="1:21" x14ac:dyDescent="0.25">
      <c r="A47" s="45" t="s">
        <v>20</v>
      </c>
      <c r="B47" s="46">
        <v>45588</v>
      </c>
      <c r="C47" s="45" t="s">
        <v>114</v>
      </c>
      <c r="D47" s="47"/>
      <c r="E47" s="45" t="s">
        <v>176</v>
      </c>
      <c r="F47" s="45" t="s">
        <v>177</v>
      </c>
      <c r="G47" s="45" t="s">
        <v>809</v>
      </c>
      <c r="H47" s="45" t="s">
        <v>810</v>
      </c>
      <c r="I47" s="45" t="s">
        <v>811</v>
      </c>
      <c r="J47" s="45">
        <v>230666498</v>
      </c>
      <c r="K47" s="45" t="s">
        <v>250</v>
      </c>
      <c r="L47" s="48">
        <v>18</v>
      </c>
      <c r="M47" s="49">
        <v>20241010195</v>
      </c>
      <c r="N47" s="50" t="s">
        <v>28</v>
      </c>
      <c r="O47" s="50"/>
      <c r="P47" s="50"/>
      <c r="Q47" s="51"/>
      <c r="R47" s="50"/>
      <c r="S47" s="50"/>
      <c r="T47" s="50"/>
      <c r="U47" s="50"/>
    </row>
    <row r="48" spans="1:21" ht="25.5" x14ac:dyDescent="0.25">
      <c r="A48" s="45" t="s">
        <v>20</v>
      </c>
      <c r="B48" s="46">
        <v>45595</v>
      </c>
      <c r="C48" s="45" t="s">
        <v>168</v>
      </c>
      <c r="D48" s="47"/>
      <c r="E48" s="45" t="s">
        <v>208</v>
      </c>
      <c r="F48" s="45" t="s">
        <v>209</v>
      </c>
      <c r="G48" s="45" t="s">
        <v>812</v>
      </c>
      <c r="H48" s="45" t="s">
        <v>813</v>
      </c>
      <c r="I48" s="45" t="s">
        <v>814</v>
      </c>
      <c r="J48" s="45">
        <v>455634489</v>
      </c>
      <c r="K48" s="45" t="s">
        <v>815</v>
      </c>
      <c r="L48" s="48">
        <v>55.62</v>
      </c>
      <c r="M48" s="49">
        <v>20241008541</v>
      </c>
      <c r="N48" s="50" t="s">
        <v>28</v>
      </c>
      <c r="O48" s="50"/>
      <c r="P48" s="50"/>
      <c r="Q48" s="51"/>
      <c r="R48" s="50"/>
      <c r="S48" s="50"/>
      <c r="T48" s="50"/>
      <c r="U48" s="50"/>
    </row>
    <row r="49" spans="1:21" ht="25.5" x14ac:dyDescent="0.25">
      <c r="A49" s="45" t="s">
        <v>20</v>
      </c>
      <c r="B49" s="46">
        <v>45595</v>
      </c>
      <c r="C49" s="45" t="s">
        <v>168</v>
      </c>
      <c r="D49" s="47"/>
      <c r="E49" s="45" t="s">
        <v>208</v>
      </c>
      <c r="F49" s="45" t="s">
        <v>209</v>
      </c>
      <c r="G49" s="45" t="s">
        <v>812</v>
      </c>
      <c r="H49" s="45" t="s">
        <v>813</v>
      </c>
      <c r="I49" s="45" t="s">
        <v>814</v>
      </c>
      <c r="J49" s="45">
        <v>455634489</v>
      </c>
      <c r="K49" s="45" t="s">
        <v>765</v>
      </c>
      <c r="L49" s="48">
        <v>43.96</v>
      </c>
      <c r="M49" s="49">
        <v>20241008560</v>
      </c>
      <c r="N49" s="50" t="s">
        <v>28</v>
      </c>
      <c r="O49" s="50"/>
      <c r="P49" s="50"/>
      <c r="Q49" s="51"/>
      <c r="R49" s="50"/>
      <c r="S49" s="50"/>
      <c r="T49" s="50"/>
      <c r="U49" s="50"/>
    </row>
    <row r="50" spans="1:21" ht="25.5" x14ac:dyDescent="0.25">
      <c r="A50" s="45" t="s">
        <v>38</v>
      </c>
      <c r="B50" s="46">
        <v>45595</v>
      </c>
      <c r="C50" s="45" t="s">
        <v>168</v>
      </c>
      <c r="D50" s="47"/>
      <c r="E50" s="45" t="s">
        <v>208</v>
      </c>
      <c r="F50" s="45" t="s">
        <v>209</v>
      </c>
      <c r="G50" s="45" t="s">
        <v>812</v>
      </c>
      <c r="H50" s="45" t="s">
        <v>813</v>
      </c>
      <c r="I50" s="45" t="s">
        <v>814</v>
      </c>
      <c r="J50" s="45">
        <v>455634489</v>
      </c>
      <c r="K50" s="45" t="s">
        <v>276</v>
      </c>
      <c r="L50" s="48">
        <v>97.04</v>
      </c>
      <c r="M50" s="49">
        <v>20241008540</v>
      </c>
      <c r="N50" s="50" t="s">
        <v>28</v>
      </c>
      <c r="O50" s="50"/>
      <c r="P50" s="50"/>
      <c r="Q50" s="51"/>
      <c r="R50" s="50"/>
      <c r="S50" s="50"/>
      <c r="T50" s="50"/>
      <c r="U50" s="50"/>
    </row>
    <row r="51" spans="1:21" ht="25.5" x14ac:dyDescent="0.25">
      <c r="A51" s="45" t="s">
        <v>38</v>
      </c>
      <c r="B51" s="46">
        <v>45595</v>
      </c>
      <c r="C51" s="45" t="s">
        <v>168</v>
      </c>
      <c r="D51" s="47"/>
      <c r="E51" s="45" t="s">
        <v>208</v>
      </c>
      <c r="F51" s="45" t="s">
        <v>209</v>
      </c>
      <c r="G51" s="45" t="s">
        <v>812</v>
      </c>
      <c r="H51" s="45" t="s">
        <v>813</v>
      </c>
      <c r="I51" s="45" t="s">
        <v>814</v>
      </c>
      <c r="J51" s="45">
        <v>455634489</v>
      </c>
      <c r="K51" s="45" t="s">
        <v>389</v>
      </c>
      <c r="L51" s="48">
        <v>161.94</v>
      </c>
      <c r="M51" s="49">
        <v>20241008542</v>
      </c>
      <c r="N51" s="50" t="s">
        <v>28</v>
      </c>
      <c r="O51" s="50"/>
      <c r="P51" s="50"/>
      <c r="Q51" s="51"/>
      <c r="R51" s="50"/>
      <c r="S51" s="50"/>
      <c r="T51" s="50"/>
      <c r="U51" s="50"/>
    </row>
    <row r="52" spans="1:21" ht="30" x14ac:dyDescent="0.25">
      <c r="A52" s="45" t="s">
        <v>233</v>
      </c>
      <c r="B52" s="46">
        <v>45594</v>
      </c>
      <c r="C52" s="45" t="s">
        <v>244</v>
      </c>
      <c r="D52" s="47"/>
      <c r="E52" s="45" t="s">
        <v>208</v>
      </c>
      <c r="F52" s="45" t="s">
        <v>209</v>
      </c>
      <c r="G52" s="45" t="s">
        <v>816</v>
      </c>
      <c r="H52" s="45" t="s">
        <v>817</v>
      </c>
      <c r="I52" s="45" t="s">
        <v>818</v>
      </c>
      <c r="J52" s="45">
        <v>460830519</v>
      </c>
      <c r="K52" s="45" t="s">
        <v>56</v>
      </c>
      <c r="L52" s="48">
        <v>29.71</v>
      </c>
      <c r="M52" s="49">
        <v>20241007695</v>
      </c>
      <c r="N52" s="50" t="s">
        <v>28</v>
      </c>
      <c r="O52" s="50"/>
      <c r="P52" s="50"/>
      <c r="Q52" s="51" t="s">
        <v>819</v>
      </c>
      <c r="R52" s="50"/>
      <c r="S52" s="50"/>
      <c r="T52" s="50"/>
      <c r="U52" s="50"/>
    </row>
    <row r="53" spans="1:21" x14ac:dyDescent="0.25">
      <c r="A53" s="45" t="s">
        <v>29</v>
      </c>
      <c r="B53" s="46">
        <v>45595</v>
      </c>
      <c r="C53" s="45" t="s">
        <v>168</v>
      </c>
      <c r="D53" s="47"/>
      <c r="E53" s="45" t="s">
        <v>208</v>
      </c>
      <c r="F53" s="45" t="s">
        <v>209</v>
      </c>
      <c r="G53" s="45" t="s">
        <v>820</v>
      </c>
      <c r="H53" s="45" t="s">
        <v>821</v>
      </c>
      <c r="I53" s="45" t="s">
        <v>576</v>
      </c>
      <c r="J53" s="45">
        <v>463955464</v>
      </c>
      <c r="K53" s="45" t="s">
        <v>184</v>
      </c>
      <c r="L53" s="48">
        <v>238</v>
      </c>
      <c r="M53" s="49">
        <v>20241010404</v>
      </c>
      <c r="N53" s="50" t="s">
        <v>28</v>
      </c>
      <c r="O53" s="50"/>
      <c r="P53" s="50"/>
      <c r="Q53" s="51"/>
      <c r="R53" s="50"/>
      <c r="S53" s="50"/>
      <c r="T53" s="50"/>
      <c r="U53" s="50"/>
    </row>
    <row r="54" spans="1:21" x14ac:dyDescent="0.25">
      <c r="A54" s="45" t="s">
        <v>29</v>
      </c>
      <c r="B54" s="46">
        <v>45595</v>
      </c>
      <c r="C54" s="45" t="s">
        <v>168</v>
      </c>
      <c r="D54" s="47"/>
      <c r="E54" s="45" t="s">
        <v>208</v>
      </c>
      <c r="F54" s="45" t="s">
        <v>209</v>
      </c>
      <c r="G54" s="45" t="s">
        <v>820</v>
      </c>
      <c r="H54" s="45" t="s">
        <v>821</v>
      </c>
      <c r="I54" s="45" t="s">
        <v>576</v>
      </c>
      <c r="J54" s="45">
        <v>463955464</v>
      </c>
      <c r="K54" s="45" t="s">
        <v>184</v>
      </c>
      <c r="L54" s="48">
        <v>550</v>
      </c>
      <c r="M54" s="49">
        <v>20241010600</v>
      </c>
      <c r="N54" s="50" t="s">
        <v>28</v>
      </c>
      <c r="O54" s="50"/>
      <c r="P54" s="50"/>
      <c r="Q54" s="51"/>
      <c r="R54" s="50"/>
      <c r="S54" s="50"/>
      <c r="T54" s="50"/>
      <c r="U54" s="50"/>
    </row>
    <row r="55" spans="1:21" x14ac:dyDescent="0.25">
      <c r="A55" s="45" t="s">
        <v>29</v>
      </c>
      <c r="B55" s="46">
        <v>45595</v>
      </c>
      <c r="C55" s="45" t="s">
        <v>168</v>
      </c>
      <c r="D55" s="47"/>
      <c r="E55" s="45" t="s">
        <v>208</v>
      </c>
      <c r="F55" s="45" t="s">
        <v>209</v>
      </c>
      <c r="G55" s="45" t="s">
        <v>820</v>
      </c>
      <c r="H55" s="45" t="s">
        <v>821</v>
      </c>
      <c r="I55" s="45" t="s">
        <v>576</v>
      </c>
      <c r="J55" s="45">
        <v>463955464</v>
      </c>
      <c r="K55" s="45" t="s">
        <v>184</v>
      </c>
      <c r="L55" s="48">
        <v>0</v>
      </c>
      <c r="M55" s="49">
        <v>202410012375</v>
      </c>
      <c r="N55" s="50" t="s">
        <v>28</v>
      </c>
      <c r="O55" s="50"/>
      <c r="P55" s="50"/>
      <c r="Q55" s="51"/>
      <c r="R55" s="50"/>
      <c r="S55" s="50"/>
      <c r="T55" s="50"/>
      <c r="U55" s="50"/>
    </row>
    <row r="56" spans="1:21" x14ac:dyDescent="0.25">
      <c r="A56" s="45" t="s">
        <v>29</v>
      </c>
      <c r="B56" s="46">
        <v>45595</v>
      </c>
      <c r="C56" s="45" t="s">
        <v>168</v>
      </c>
      <c r="D56" s="47"/>
      <c r="E56" s="45" t="s">
        <v>208</v>
      </c>
      <c r="F56" s="45" t="s">
        <v>209</v>
      </c>
      <c r="G56" s="45" t="s">
        <v>822</v>
      </c>
      <c r="H56" s="45" t="s">
        <v>32</v>
      </c>
      <c r="I56" s="45" t="s">
        <v>823</v>
      </c>
      <c r="J56" s="45">
        <v>465973407</v>
      </c>
      <c r="K56" s="45" t="s">
        <v>184</v>
      </c>
      <c r="L56" s="48">
        <v>416.66</v>
      </c>
      <c r="M56" s="49">
        <v>20241011393</v>
      </c>
      <c r="N56" s="50" t="s">
        <v>28</v>
      </c>
      <c r="O56" s="50"/>
      <c r="P56" s="50"/>
      <c r="Q56" s="51"/>
      <c r="R56" s="50"/>
      <c r="S56" s="50"/>
      <c r="T56" s="50"/>
      <c r="U56" s="50"/>
    </row>
    <row r="57" spans="1:21" x14ac:dyDescent="0.25">
      <c r="A57" s="45" t="s">
        <v>29</v>
      </c>
      <c r="B57" s="46">
        <v>45595</v>
      </c>
      <c r="C57" s="45" t="s">
        <v>168</v>
      </c>
      <c r="D57" s="47"/>
      <c r="E57" s="45" t="s">
        <v>208</v>
      </c>
      <c r="F57" s="45" t="s">
        <v>209</v>
      </c>
      <c r="G57" s="45" t="s">
        <v>824</v>
      </c>
      <c r="H57" s="45" t="s">
        <v>825</v>
      </c>
      <c r="I57" s="45" t="s">
        <v>826</v>
      </c>
      <c r="J57" s="45">
        <v>490068805</v>
      </c>
      <c r="K57" s="45" t="s">
        <v>123</v>
      </c>
      <c r="L57" s="48">
        <v>40</v>
      </c>
      <c r="M57" s="49">
        <v>20241011532</v>
      </c>
      <c r="N57" s="50" t="s">
        <v>28</v>
      </c>
      <c r="O57" s="50"/>
      <c r="P57" s="50"/>
      <c r="Q57" s="51"/>
      <c r="R57" s="50"/>
      <c r="S57" s="50"/>
      <c r="T57" s="50"/>
      <c r="U57" s="50"/>
    </row>
    <row r="58" spans="1:21" x14ac:dyDescent="0.25">
      <c r="A58" s="45" t="s">
        <v>29</v>
      </c>
      <c r="B58" s="46">
        <v>45595</v>
      </c>
      <c r="C58" s="45" t="s">
        <v>168</v>
      </c>
      <c r="D58" s="47"/>
      <c r="E58" s="45" t="s">
        <v>208</v>
      </c>
      <c r="F58" s="45" t="s">
        <v>209</v>
      </c>
      <c r="G58" s="45" t="s">
        <v>216</v>
      </c>
      <c r="H58" s="45" t="s">
        <v>696</v>
      </c>
      <c r="I58" s="45" t="s">
        <v>827</v>
      </c>
      <c r="J58" s="45">
        <v>513901238</v>
      </c>
      <c r="K58" s="45" t="s">
        <v>184</v>
      </c>
      <c r="L58" s="48">
        <v>416.66</v>
      </c>
      <c r="M58" s="49">
        <v>20241008473</v>
      </c>
      <c r="N58" s="50" t="s">
        <v>28</v>
      </c>
      <c r="O58" s="50"/>
      <c r="P58" s="50"/>
      <c r="Q58" s="51"/>
      <c r="R58" s="50"/>
      <c r="S58" s="50"/>
      <c r="T58" s="50"/>
      <c r="U58" s="50"/>
    </row>
    <row r="59" spans="1:21" x14ac:dyDescent="0.25">
      <c r="A59" s="45" t="s">
        <v>29</v>
      </c>
      <c r="B59" s="46">
        <v>45595</v>
      </c>
      <c r="C59" s="45" t="s">
        <v>168</v>
      </c>
      <c r="D59" s="47"/>
      <c r="E59" s="45" t="s">
        <v>208</v>
      </c>
      <c r="F59" s="45" t="s">
        <v>209</v>
      </c>
      <c r="G59" s="45" t="s">
        <v>828</v>
      </c>
      <c r="H59" s="45" t="s">
        <v>829</v>
      </c>
      <c r="I59" s="45" t="s">
        <v>830</v>
      </c>
      <c r="J59" s="45">
        <v>516112968</v>
      </c>
      <c r="K59" s="45" t="s">
        <v>831</v>
      </c>
      <c r="L59" s="48">
        <v>192.3</v>
      </c>
      <c r="M59" s="49">
        <v>20241007942</v>
      </c>
      <c r="N59" s="50" t="s">
        <v>28</v>
      </c>
      <c r="O59" s="50"/>
      <c r="P59" s="50"/>
      <c r="Q59" s="51"/>
      <c r="R59" s="50"/>
      <c r="S59" s="50"/>
      <c r="T59" s="50"/>
      <c r="U59" s="50"/>
    </row>
    <row r="60" spans="1:21" x14ac:dyDescent="0.25">
      <c r="A60" s="45" t="s">
        <v>29</v>
      </c>
      <c r="B60" s="46">
        <v>45595</v>
      </c>
      <c r="C60" s="45" t="s">
        <v>168</v>
      </c>
      <c r="D60" s="47"/>
      <c r="E60" s="45" t="s">
        <v>208</v>
      </c>
      <c r="F60" s="45" t="s">
        <v>209</v>
      </c>
      <c r="G60" s="45" t="s">
        <v>828</v>
      </c>
      <c r="H60" s="45" t="s">
        <v>829</v>
      </c>
      <c r="I60" s="45" t="s">
        <v>830</v>
      </c>
      <c r="J60" s="45">
        <v>516112968</v>
      </c>
      <c r="K60" s="45" t="s">
        <v>184</v>
      </c>
      <c r="L60" s="48">
        <v>384.6</v>
      </c>
      <c r="M60" s="49">
        <v>20240926377</v>
      </c>
      <c r="N60" s="50" t="s">
        <v>28</v>
      </c>
      <c r="O60" s="50"/>
      <c r="P60" s="50"/>
      <c r="Q60" s="51"/>
      <c r="R60" s="50"/>
      <c r="S60" s="50"/>
      <c r="T60" s="50"/>
      <c r="U60" s="50"/>
    </row>
    <row r="61" spans="1:21" x14ac:dyDescent="0.25">
      <c r="A61" s="45" t="s">
        <v>233</v>
      </c>
      <c r="B61" s="46">
        <v>45594</v>
      </c>
      <c r="C61" s="45" t="s">
        <v>244</v>
      </c>
      <c r="D61" s="47"/>
      <c r="E61" s="45" t="s">
        <v>208</v>
      </c>
      <c r="F61" s="45" t="s">
        <v>209</v>
      </c>
      <c r="G61" s="45" t="s">
        <v>832</v>
      </c>
      <c r="H61" s="45" t="s">
        <v>110</v>
      </c>
      <c r="I61" s="45" t="s">
        <v>833</v>
      </c>
      <c r="J61" s="45">
        <v>519211878</v>
      </c>
      <c r="K61" s="45" t="s">
        <v>196</v>
      </c>
      <c r="L61" s="48">
        <v>251.6</v>
      </c>
      <c r="M61" s="49">
        <v>20241004375</v>
      </c>
      <c r="N61" s="50" t="s">
        <v>28</v>
      </c>
      <c r="O61" s="50"/>
      <c r="P61" s="50"/>
      <c r="Q61" s="51"/>
      <c r="R61" s="50"/>
      <c r="S61" s="50"/>
      <c r="T61" s="50"/>
      <c r="U61" s="50"/>
    </row>
    <row r="62" spans="1:21" ht="25.5" x14ac:dyDescent="0.25">
      <c r="A62" s="45" t="s">
        <v>29</v>
      </c>
      <c r="B62" s="46">
        <v>45595</v>
      </c>
      <c r="C62" s="45" t="s">
        <v>168</v>
      </c>
      <c r="D62" s="47"/>
      <c r="E62" s="45" t="s">
        <v>208</v>
      </c>
      <c r="F62" s="45" t="s">
        <v>209</v>
      </c>
      <c r="G62" s="45" t="s">
        <v>834</v>
      </c>
      <c r="H62" s="45" t="s">
        <v>835</v>
      </c>
      <c r="I62" s="45" t="s">
        <v>836</v>
      </c>
      <c r="J62" s="45">
        <v>521576010</v>
      </c>
      <c r="K62" s="45" t="s">
        <v>184</v>
      </c>
      <c r="L62" s="48">
        <v>416.66</v>
      </c>
      <c r="M62" s="49">
        <v>20241009396</v>
      </c>
      <c r="N62" s="50" t="s">
        <v>28</v>
      </c>
      <c r="O62" s="50"/>
      <c r="P62" s="50"/>
      <c r="Q62" s="51"/>
      <c r="R62" s="50"/>
      <c r="S62" s="50"/>
      <c r="T62" s="50"/>
      <c r="U62" s="50"/>
    </row>
    <row r="63" spans="1:21" x14ac:dyDescent="0.25">
      <c r="A63" s="45" t="s">
        <v>324</v>
      </c>
      <c r="B63" s="46">
        <v>45594</v>
      </c>
      <c r="C63" s="45" t="s">
        <v>244</v>
      </c>
      <c r="D63" s="47"/>
      <c r="E63" s="45" t="s">
        <v>245</v>
      </c>
      <c r="F63" s="45" t="s">
        <v>246</v>
      </c>
      <c r="G63" s="45" t="s">
        <v>837</v>
      </c>
      <c r="H63" s="45" t="s">
        <v>838</v>
      </c>
      <c r="I63" s="45" t="s">
        <v>839</v>
      </c>
      <c r="J63" s="45">
        <v>576927329</v>
      </c>
      <c r="K63" s="45" t="s">
        <v>840</v>
      </c>
      <c r="L63" s="48">
        <v>40</v>
      </c>
      <c r="M63" s="49">
        <v>20241010622</v>
      </c>
      <c r="N63" s="50" t="s">
        <v>28</v>
      </c>
      <c r="O63" s="50"/>
      <c r="P63" s="50"/>
      <c r="Q63" s="51"/>
      <c r="R63" s="50"/>
      <c r="S63" s="50"/>
      <c r="T63" s="50"/>
      <c r="U63" s="50"/>
    </row>
    <row r="64" spans="1:21" ht="90" x14ac:dyDescent="0.25">
      <c r="A64" s="45" t="s">
        <v>233</v>
      </c>
      <c r="B64" s="46">
        <v>45594</v>
      </c>
      <c r="C64" s="45" t="s">
        <v>244</v>
      </c>
      <c r="D64" s="47"/>
      <c r="E64" s="45" t="s">
        <v>245</v>
      </c>
      <c r="F64" s="45" t="s">
        <v>246</v>
      </c>
      <c r="G64" s="45" t="s">
        <v>841</v>
      </c>
      <c r="H64" s="45" t="s">
        <v>179</v>
      </c>
      <c r="I64" s="45" t="s">
        <v>842</v>
      </c>
      <c r="J64" s="45">
        <v>583436728</v>
      </c>
      <c r="K64" s="45" t="s">
        <v>195</v>
      </c>
      <c r="L64" s="48">
        <v>130.07</v>
      </c>
      <c r="M64" s="49">
        <v>20241007234</v>
      </c>
      <c r="N64" s="50"/>
      <c r="O64" s="50" t="s">
        <v>124</v>
      </c>
      <c r="P64" s="50"/>
      <c r="Q64" s="51" t="s">
        <v>843</v>
      </c>
      <c r="R64" s="50"/>
      <c r="S64" s="50"/>
      <c r="T64" s="50"/>
      <c r="U64" s="50"/>
    </row>
    <row r="65" spans="1:21" x14ac:dyDescent="0.25">
      <c r="A65" s="45" t="s">
        <v>233</v>
      </c>
      <c r="B65" s="46">
        <v>45594</v>
      </c>
      <c r="C65" s="45" t="s">
        <v>244</v>
      </c>
      <c r="D65" s="47"/>
      <c r="E65" s="45" t="s">
        <v>245</v>
      </c>
      <c r="F65" s="45" t="s">
        <v>246</v>
      </c>
      <c r="G65" s="45" t="s">
        <v>841</v>
      </c>
      <c r="H65" s="45" t="s">
        <v>179</v>
      </c>
      <c r="I65" s="45" t="s">
        <v>842</v>
      </c>
      <c r="J65" s="45">
        <v>583436728</v>
      </c>
      <c r="K65" s="45" t="s">
        <v>113</v>
      </c>
      <c r="L65" s="48">
        <v>17.84</v>
      </c>
      <c r="M65" s="49">
        <v>20241007225</v>
      </c>
      <c r="N65" s="50" t="s">
        <v>28</v>
      </c>
      <c r="O65" s="50"/>
      <c r="P65" s="50"/>
      <c r="Q65" s="51"/>
      <c r="R65" s="50"/>
      <c r="S65" s="50"/>
      <c r="T65" s="50"/>
      <c r="U65" s="50"/>
    </row>
    <row r="66" spans="1:21" x14ac:dyDescent="0.25">
      <c r="A66" s="45" t="s">
        <v>233</v>
      </c>
      <c r="B66" s="46">
        <v>45594</v>
      </c>
      <c r="C66" s="45" t="s">
        <v>244</v>
      </c>
      <c r="D66" s="47"/>
      <c r="E66" s="45" t="s">
        <v>245</v>
      </c>
      <c r="F66" s="45" t="s">
        <v>246</v>
      </c>
      <c r="G66" s="45" t="s">
        <v>841</v>
      </c>
      <c r="H66" s="45" t="s">
        <v>179</v>
      </c>
      <c r="I66" s="45" t="s">
        <v>842</v>
      </c>
      <c r="J66" s="45">
        <v>583436728</v>
      </c>
      <c r="K66" s="45" t="s">
        <v>113</v>
      </c>
      <c r="L66" s="48">
        <v>153.47</v>
      </c>
      <c r="M66" s="49">
        <v>20241007232</v>
      </c>
      <c r="N66" s="50" t="s">
        <v>28</v>
      </c>
      <c r="O66" s="50"/>
      <c r="P66" s="50"/>
      <c r="Q66" s="51"/>
      <c r="R66" s="50"/>
      <c r="S66" s="50"/>
      <c r="T66" s="50"/>
      <c r="U66" s="50"/>
    </row>
    <row r="67" spans="1:21" x14ac:dyDescent="0.25">
      <c r="A67" s="45" t="s">
        <v>233</v>
      </c>
      <c r="B67" s="46">
        <v>45594</v>
      </c>
      <c r="C67" s="45" t="s">
        <v>244</v>
      </c>
      <c r="D67" s="47"/>
      <c r="E67" s="45" t="s">
        <v>245</v>
      </c>
      <c r="F67" s="45" t="s">
        <v>246</v>
      </c>
      <c r="G67" s="45" t="s">
        <v>844</v>
      </c>
      <c r="H67" s="45" t="s">
        <v>845</v>
      </c>
      <c r="I67" s="45" t="s">
        <v>846</v>
      </c>
      <c r="J67" s="45">
        <v>598367470</v>
      </c>
      <c r="K67" s="45" t="s">
        <v>416</v>
      </c>
      <c r="L67" s="48">
        <v>456</v>
      </c>
      <c r="M67" s="49">
        <v>20241008435</v>
      </c>
      <c r="N67" s="50" t="s">
        <v>28</v>
      </c>
      <c r="O67" s="50"/>
      <c r="P67" s="50"/>
      <c r="Q67" s="51"/>
      <c r="R67" s="50"/>
      <c r="S67" s="50"/>
      <c r="T67" s="50"/>
      <c r="U67" s="50"/>
    </row>
    <row r="68" spans="1:21" x14ac:dyDescent="0.25">
      <c r="A68" s="45" t="s">
        <v>407</v>
      </c>
      <c r="B68" s="46">
        <v>45594</v>
      </c>
      <c r="C68" s="45" t="s">
        <v>244</v>
      </c>
      <c r="D68" s="47"/>
      <c r="E68" s="45" t="s">
        <v>245</v>
      </c>
      <c r="F68" s="45" t="s">
        <v>246</v>
      </c>
      <c r="G68" s="45" t="s">
        <v>847</v>
      </c>
      <c r="H68" s="45" t="s">
        <v>848</v>
      </c>
      <c r="I68" s="45" t="s">
        <v>335</v>
      </c>
      <c r="J68" s="45">
        <v>600795720</v>
      </c>
      <c r="K68" s="45" t="s">
        <v>384</v>
      </c>
      <c r="L68" s="48">
        <v>738.4</v>
      </c>
      <c r="M68" s="49">
        <v>20241007268</v>
      </c>
      <c r="N68" s="50" t="s">
        <v>28</v>
      </c>
      <c r="O68" s="50"/>
      <c r="P68" s="50"/>
      <c r="Q68" s="51"/>
      <c r="R68" s="50"/>
      <c r="S68" s="50"/>
      <c r="T68" s="50"/>
      <c r="U68" s="50"/>
    </row>
    <row r="69" spans="1:21" x14ac:dyDescent="0.25">
      <c r="A69" s="45" t="s">
        <v>407</v>
      </c>
      <c r="B69" s="46">
        <v>45594</v>
      </c>
      <c r="C69" s="45" t="s">
        <v>244</v>
      </c>
      <c r="D69" s="47"/>
      <c r="E69" s="45" t="s">
        <v>245</v>
      </c>
      <c r="F69" s="45" t="s">
        <v>246</v>
      </c>
      <c r="G69" s="45" t="s">
        <v>847</v>
      </c>
      <c r="H69" s="45" t="s">
        <v>848</v>
      </c>
      <c r="I69" s="45" t="s">
        <v>335</v>
      </c>
      <c r="J69" s="45">
        <v>600795720</v>
      </c>
      <c r="K69" s="45" t="s">
        <v>384</v>
      </c>
      <c r="L69" s="48">
        <v>353.42</v>
      </c>
      <c r="M69" s="49">
        <v>20241007266</v>
      </c>
      <c r="N69" s="50" t="s">
        <v>28</v>
      </c>
      <c r="O69" s="50"/>
      <c r="P69" s="50"/>
      <c r="Q69" s="51"/>
      <c r="R69" s="50"/>
      <c r="S69" s="50"/>
      <c r="T69" s="50"/>
      <c r="U69" s="50"/>
    </row>
    <row r="70" spans="1:21" x14ac:dyDescent="0.25">
      <c r="A70" s="45" t="s">
        <v>849</v>
      </c>
      <c r="B70" s="46">
        <v>45594</v>
      </c>
      <c r="C70" s="45" t="s">
        <v>244</v>
      </c>
      <c r="D70" s="47"/>
      <c r="E70" s="45" t="s">
        <v>245</v>
      </c>
      <c r="F70" s="45" t="s">
        <v>246</v>
      </c>
      <c r="G70" s="45" t="s">
        <v>850</v>
      </c>
      <c r="H70" s="45" t="s">
        <v>777</v>
      </c>
      <c r="I70" s="45" t="s">
        <v>851</v>
      </c>
      <c r="J70" s="45">
        <v>612988213</v>
      </c>
      <c r="K70" s="45" t="s">
        <v>195</v>
      </c>
      <c r="L70" s="48">
        <v>219</v>
      </c>
      <c r="M70" s="49">
        <v>20241011763</v>
      </c>
      <c r="N70" s="50" t="s">
        <v>28</v>
      </c>
      <c r="O70" s="50"/>
      <c r="P70" s="50"/>
      <c r="Q70" s="51"/>
      <c r="R70" s="50"/>
      <c r="S70" s="50"/>
      <c r="T70" s="50"/>
      <c r="U70" s="50"/>
    </row>
    <row r="71" spans="1:21" ht="25.5" x14ac:dyDescent="0.25">
      <c r="A71" s="45" t="s">
        <v>233</v>
      </c>
      <c r="B71" s="46">
        <v>45594</v>
      </c>
      <c r="C71" s="45" t="s">
        <v>244</v>
      </c>
      <c r="D71" s="47"/>
      <c r="E71" s="45" t="s">
        <v>245</v>
      </c>
      <c r="F71" s="45" t="s">
        <v>246</v>
      </c>
      <c r="G71" s="45" t="s">
        <v>263</v>
      </c>
      <c r="H71" s="45" t="s">
        <v>852</v>
      </c>
      <c r="I71" s="45" t="s">
        <v>853</v>
      </c>
      <c r="J71" s="45">
        <v>618648377</v>
      </c>
      <c r="K71" s="45" t="s">
        <v>187</v>
      </c>
      <c r="L71" s="48">
        <v>495.63</v>
      </c>
      <c r="M71" s="49">
        <v>20241010620</v>
      </c>
      <c r="N71" s="50" t="s">
        <v>28</v>
      </c>
      <c r="O71" s="50"/>
      <c r="P71" s="50"/>
      <c r="Q71" s="51"/>
      <c r="R71" s="50"/>
      <c r="S71" s="50"/>
      <c r="T71" s="50"/>
      <c r="U71" s="50"/>
    </row>
    <row r="72" spans="1:21" ht="25.5" x14ac:dyDescent="0.25">
      <c r="A72" s="45" t="s">
        <v>233</v>
      </c>
      <c r="B72" s="46">
        <v>45594</v>
      </c>
      <c r="C72" s="45" t="s">
        <v>244</v>
      </c>
      <c r="D72" s="47"/>
      <c r="E72" s="45" t="s">
        <v>245</v>
      </c>
      <c r="F72" s="45" t="s">
        <v>246</v>
      </c>
      <c r="G72" s="45" t="s">
        <v>263</v>
      </c>
      <c r="H72" s="45" t="s">
        <v>854</v>
      </c>
      <c r="I72" s="45" t="s">
        <v>855</v>
      </c>
      <c r="J72" s="45">
        <v>620405012</v>
      </c>
      <c r="K72" s="45" t="s">
        <v>856</v>
      </c>
      <c r="L72" s="48">
        <v>49.55</v>
      </c>
      <c r="M72" s="49">
        <v>20241011425</v>
      </c>
      <c r="N72" s="50" t="s">
        <v>28</v>
      </c>
      <c r="O72" s="50"/>
      <c r="P72" s="50"/>
      <c r="Q72" s="51"/>
      <c r="R72" s="50"/>
      <c r="S72" s="50"/>
      <c r="T72" s="50"/>
      <c r="U72" s="50"/>
    </row>
    <row r="73" spans="1:21" ht="25.5" x14ac:dyDescent="0.25">
      <c r="A73" s="45" t="s">
        <v>233</v>
      </c>
      <c r="B73" s="46">
        <v>45594</v>
      </c>
      <c r="C73" s="45" t="s">
        <v>244</v>
      </c>
      <c r="D73" s="47"/>
      <c r="E73" s="45" t="s">
        <v>245</v>
      </c>
      <c r="F73" s="45" t="s">
        <v>246</v>
      </c>
      <c r="G73" s="45" t="s">
        <v>263</v>
      </c>
      <c r="H73" s="45" t="s">
        <v>854</v>
      </c>
      <c r="I73" s="45" t="s">
        <v>855</v>
      </c>
      <c r="J73" s="45">
        <v>620405012</v>
      </c>
      <c r="K73" s="45" t="s">
        <v>840</v>
      </c>
      <c r="L73" s="48">
        <v>47.5</v>
      </c>
      <c r="M73" s="49">
        <v>20241010623</v>
      </c>
      <c r="N73" s="50" t="s">
        <v>28</v>
      </c>
      <c r="O73" s="50"/>
      <c r="P73" s="50"/>
      <c r="Q73" s="51"/>
      <c r="R73" s="50"/>
      <c r="S73" s="50"/>
      <c r="T73" s="50"/>
      <c r="U73" s="50"/>
    </row>
    <row r="74" spans="1:21" ht="25.5" x14ac:dyDescent="0.25">
      <c r="A74" s="45" t="s">
        <v>233</v>
      </c>
      <c r="B74" s="46">
        <v>45594</v>
      </c>
      <c r="C74" s="45" t="s">
        <v>244</v>
      </c>
      <c r="D74" s="47"/>
      <c r="E74" s="45" t="s">
        <v>245</v>
      </c>
      <c r="F74" s="45" t="s">
        <v>246</v>
      </c>
      <c r="G74" s="45" t="s">
        <v>263</v>
      </c>
      <c r="H74" s="45" t="s">
        <v>854</v>
      </c>
      <c r="I74" s="45" t="s">
        <v>855</v>
      </c>
      <c r="J74" s="45">
        <v>620405012</v>
      </c>
      <c r="K74" s="45" t="s">
        <v>759</v>
      </c>
      <c r="L74" s="48">
        <v>349.57</v>
      </c>
      <c r="M74" s="49">
        <v>20241008791</v>
      </c>
      <c r="N74" s="50" t="s">
        <v>28</v>
      </c>
      <c r="O74" s="50"/>
      <c r="P74" s="50"/>
      <c r="Q74" s="51"/>
      <c r="R74" s="50"/>
      <c r="S74" s="50"/>
      <c r="T74" s="50"/>
      <c r="U74" s="50"/>
    </row>
    <row r="75" spans="1:21" ht="25.5" x14ac:dyDescent="0.25">
      <c r="A75" s="45" t="s">
        <v>233</v>
      </c>
      <c r="B75" s="46">
        <v>45594</v>
      </c>
      <c r="C75" s="45" t="s">
        <v>244</v>
      </c>
      <c r="D75" s="47"/>
      <c r="E75" s="45" t="s">
        <v>245</v>
      </c>
      <c r="F75" s="45" t="s">
        <v>246</v>
      </c>
      <c r="G75" s="45" t="s">
        <v>263</v>
      </c>
      <c r="H75" s="45" t="s">
        <v>854</v>
      </c>
      <c r="I75" s="45" t="s">
        <v>855</v>
      </c>
      <c r="J75" s="45">
        <v>620405012</v>
      </c>
      <c r="K75" s="45" t="s">
        <v>759</v>
      </c>
      <c r="L75" s="48">
        <v>36.46</v>
      </c>
      <c r="M75" s="49">
        <v>20241008792</v>
      </c>
      <c r="N75" s="50" t="s">
        <v>28</v>
      </c>
      <c r="O75" s="50"/>
      <c r="P75" s="50"/>
      <c r="Q75" s="51"/>
      <c r="R75" s="50"/>
      <c r="S75" s="50"/>
      <c r="T75" s="50"/>
      <c r="U75" s="50"/>
    </row>
    <row r="76" spans="1:21" ht="25.5" x14ac:dyDescent="0.25">
      <c r="A76" s="45" t="s">
        <v>233</v>
      </c>
      <c r="B76" s="46">
        <v>45595</v>
      </c>
      <c r="C76" s="45" t="s">
        <v>294</v>
      </c>
      <c r="D76" s="47"/>
      <c r="E76" s="45" t="s">
        <v>245</v>
      </c>
      <c r="F76" s="45" t="s">
        <v>246</v>
      </c>
      <c r="G76" s="45" t="s">
        <v>263</v>
      </c>
      <c r="H76" s="45" t="s">
        <v>854</v>
      </c>
      <c r="I76" s="45" t="s">
        <v>855</v>
      </c>
      <c r="J76" s="45">
        <v>620405012</v>
      </c>
      <c r="K76" s="45" t="s">
        <v>840</v>
      </c>
      <c r="L76" s="48">
        <v>14.01</v>
      </c>
      <c r="M76" s="49">
        <v>20241010624</v>
      </c>
      <c r="N76" s="50" t="s">
        <v>28</v>
      </c>
      <c r="O76" s="50"/>
      <c r="P76" s="50"/>
      <c r="Q76" s="51"/>
      <c r="R76" s="50"/>
      <c r="S76" s="50"/>
      <c r="T76" s="50"/>
      <c r="U76" s="50"/>
    </row>
    <row r="77" spans="1:21" ht="25.5" x14ac:dyDescent="0.25">
      <c r="A77" s="45" t="s">
        <v>233</v>
      </c>
      <c r="B77" s="46">
        <v>45595</v>
      </c>
      <c r="C77" s="45" t="s">
        <v>294</v>
      </c>
      <c r="D77" s="47"/>
      <c r="E77" s="45" t="s">
        <v>245</v>
      </c>
      <c r="F77" s="45" t="s">
        <v>246</v>
      </c>
      <c r="G77" s="45" t="s">
        <v>263</v>
      </c>
      <c r="H77" s="45" t="s">
        <v>854</v>
      </c>
      <c r="I77" s="45" t="s">
        <v>855</v>
      </c>
      <c r="J77" s="45">
        <v>620405012</v>
      </c>
      <c r="K77" s="45" t="s">
        <v>790</v>
      </c>
      <c r="L77" s="48">
        <v>41.98</v>
      </c>
      <c r="M77" s="49">
        <v>20241010621</v>
      </c>
      <c r="N77" s="50" t="s">
        <v>28</v>
      </c>
      <c r="O77" s="50"/>
      <c r="P77" s="50"/>
      <c r="Q77" s="51"/>
      <c r="R77" s="50"/>
      <c r="S77" s="50"/>
      <c r="T77" s="50"/>
      <c r="U77" s="50"/>
    </row>
    <row r="78" spans="1:21" x14ac:dyDescent="0.25">
      <c r="A78" s="45" t="s">
        <v>20</v>
      </c>
      <c r="B78" s="46">
        <v>45595</v>
      </c>
      <c r="C78" s="45" t="s">
        <v>168</v>
      </c>
      <c r="D78" s="47"/>
      <c r="E78" s="45" t="s">
        <v>635</v>
      </c>
      <c r="F78" s="45" t="s">
        <v>640</v>
      </c>
      <c r="G78" s="45" t="s">
        <v>71</v>
      </c>
      <c r="H78" s="45" t="s">
        <v>857</v>
      </c>
      <c r="I78" s="45" t="s">
        <v>858</v>
      </c>
      <c r="J78" s="45">
        <v>532726101</v>
      </c>
      <c r="K78" s="45" t="s">
        <v>859</v>
      </c>
      <c r="L78" s="48">
        <v>1100.07</v>
      </c>
      <c r="M78" s="49">
        <v>20241011703</v>
      </c>
      <c r="N78" s="50" t="s">
        <v>28</v>
      </c>
      <c r="O78" s="50"/>
      <c r="P78" s="50"/>
      <c r="Q78" s="51"/>
      <c r="R78" s="50"/>
      <c r="S78" s="50"/>
      <c r="T78" s="50"/>
      <c r="U78" s="50"/>
    </row>
    <row r="79" spans="1:21" x14ac:dyDescent="0.25">
      <c r="A79" s="45" t="s">
        <v>20</v>
      </c>
      <c r="B79" s="46">
        <v>45595</v>
      </c>
      <c r="C79" s="45" t="s">
        <v>168</v>
      </c>
      <c r="D79" s="47"/>
      <c r="E79" s="45" t="s">
        <v>277</v>
      </c>
      <c r="F79" s="45" t="s">
        <v>278</v>
      </c>
      <c r="G79" s="45" t="s">
        <v>860</v>
      </c>
      <c r="H79" s="45" t="s">
        <v>861</v>
      </c>
      <c r="I79" s="45" t="s">
        <v>862</v>
      </c>
      <c r="J79" s="45">
        <v>1591</v>
      </c>
      <c r="K79" s="45" t="s">
        <v>86</v>
      </c>
      <c r="L79" s="48">
        <v>87.93</v>
      </c>
      <c r="M79" s="49">
        <v>20241011552</v>
      </c>
      <c r="N79" s="50" t="s">
        <v>28</v>
      </c>
      <c r="O79" s="50"/>
      <c r="P79" s="50"/>
      <c r="Q79" s="51"/>
      <c r="R79" s="50"/>
      <c r="S79" s="50"/>
      <c r="T79" s="50"/>
      <c r="U79" s="50"/>
    </row>
    <row r="80" spans="1:21" x14ac:dyDescent="0.25">
      <c r="A80" s="45" t="s">
        <v>20</v>
      </c>
      <c r="B80" s="46">
        <v>45595</v>
      </c>
      <c r="C80" s="45" t="s">
        <v>168</v>
      </c>
      <c r="D80" s="47"/>
      <c r="E80" s="45" t="s">
        <v>277</v>
      </c>
      <c r="F80" s="45" t="s">
        <v>278</v>
      </c>
      <c r="G80" s="45" t="s">
        <v>860</v>
      </c>
      <c r="H80" s="45" t="s">
        <v>861</v>
      </c>
      <c r="I80" s="45" t="s">
        <v>862</v>
      </c>
      <c r="J80" s="45">
        <v>1591</v>
      </c>
      <c r="K80" s="45" t="s">
        <v>56</v>
      </c>
      <c r="L80" s="48">
        <v>92.9</v>
      </c>
      <c r="M80" s="49">
        <v>20241011554</v>
      </c>
      <c r="N80" s="50" t="s">
        <v>28</v>
      </c>
      <c r="O80" s="50"/>
      <c r="P80" s="50"/>
      <c r="Q80" s="51"/>
      <c r="R80" s="50"/>
      <c r="S80" s="50"/>
      <c r="T80" s="50"/>
      <c r="U80" s="50"/>
    </row>
    <row r="81" spans="1:21" x14ac:dyDescent="0.25">
      <c r="A81" s="45" t="s">
        <v>20</v>
      </c>
      <c r="B81" s="46">
        <v>45595</v>
      </c>
      <c r="C81" s="45" t="s">
        <v>168</v>
      </c>
      <c r="D81" s="47"/>
      <c r="E81" s="45" t="s">
        <v>277</v>
      </c>
      <c r="F81" s="45" t="s">
        <v>278</v>
      </c>
      <c r="G81" s="45" t="s">
        <v>860</v>
      </c>
      <c r="H81" s="45" t="s">
        <v>861</v>
      </c>
      <c r="I81" s="45" t="s">
        <v>862</v>
      </c>
      <c r="J81" s="45">
        <v>1591</v>
      </c>
      <c r="K81" s="45" t="s">
        <v>790</v>
      </c>
      <c r="L81" s="48">
        <v>603.6</v>
      </c>
      <c r="M81" s="49">
        <v>20241011555</v>
      </c>
      <c r="N81" s="50" t="s">
        <v>28</v>
      </c>
      <c r="O81" s="50"/>
      <c r="P81" s="50"/>
      <c r="Q81" s="51"/>
      <c r="R81" s="50"/>
      <c r="S81" s="50"/>
      <c r="T81" s="50"/>
      <c r="U81" s="50"/>
    </row>
    <row r="82" spans="1:21" x14ac:dyDescent="0.25">
      <c r="A82" s="45" t="s">
        <v>20</v>
      </c>
      <c r="B82" s="46">
        <v>45595</v>
      </c>
      <c r="C82" s="45" t="s">
        <v>168</v>
      </c>
      <c r="D82" s="47"/>
      <c r="E82" s="45" t="s">
        <v>277</v>
      </c>
      <c r="F82" s="45" t="s">
        <v>278</v>
      </c>
      <c r="G82" s="45" t="s">
        <v>860</v>
      </c>
      <c r="H82" s="45" t="s">
        <v>861</v>
      </c>
      <c r="I82" s="45" t="s">
        <v>862</v>
      </c>
      <c r="J82" s="45">
        <v>1591</v>
      </c>
      <c r="K82" s="45" t="s">
        <v>86</v>
      </c>
      <c r="L82" s="48">
        <v>63.92</v>
      </c>
      <c r="M82" s="49">
        <v>20241011551</v>
      </c>
      <c r="N82" s="50" t="s">
        <v>28</v>
      </c>
      <c r="O82" s="50"/>
      <c r="P82" s="50"/>
      <c r="Q82" s="51"/>
      <c r="R82" s="50"/>
      <c r="S82" s="50"/>
      <c r="T82" s="50"/>
      <c r="U82" s="50"/>
    </row>
    <row r="83" spans="1:21" ht="25.5" x14ac:dyDescent="0.25">
      <c r="A83" s="45" t="s">
        <v>20</v>
      </c>
      <c r="B83" s="46">
        <v>45595</v>
      </c>
      <c r="C83" s="45" t="s">
        <v>168</v>
      </c>
      <c r="D83" s="47"/>
      <c r="E83" s="45" t="s">
        <v>277</v>
      </c>
      <c r="F83" s="45" t="s">
        <v>278</v>
      </c>
      <c r="G83" s="45" t="s">
        <v>863</v>
      </c>
      <c r="H83" s="45" t="s">
        <v>864</v>
      </c>
      <c r="I83" s="45" t="s">
        <v>865</v>
      </c>
      <c r="J83" s="45">
        <v>12474</v>
      </c>
      <c r="K83" s="45" t="s">
        <v>310</v>
      </c>
      <c r="L83" s="48">
        <v>449</v>
      </c>
      <c r="M83" s="49">
        <v>20241009434</v>
      </c>
      <c r="N83" s="50" t="s">
        <v>28</v>
      </c>
      <c r="O83" s="50"/>
      <c r="P83" s="50"/>
      <c r="Q83" s="51"/>
      <c r="R83" s="50"/>
      <c r="S83" s="50"/>
      <c r="T83" s="50"/>
      <c r="U83" s="50"/>
    </row>
    <row r="84" spans="1:21" ht="25.5" x14ac:dyDescent="0.25">
      <c r="A84" s="45" t="s">
        <v>20</v>
      </c>
      <c r="B84" s="46">
        <v>45595</v>
      </c>
      <c r="C84" s="45" t="s">
        <v>168</v>
      </c>
      <c r="D84" s="47"/>
      <c r="E84" s="45" t="s">
        <v>277</v>
      </c>
      <c r="F84" s="45" t="s">
        <v>278</v>
      </c>
      <c r="G84" s="45" t="s">
        <v>863</v>
      </c>
      <c r="H84" s="45" t="s">
        <v>182</v>
      </c>
      <c r="I84" s="45" t="s">
        <v>866</v>
      </c>
      <c r="J84" s="45">
        <v>13069</v>
      </c>
      <c r="K84" s="45" t="s">
        <v>358</v>
      </c>
      <c r="L84" s="48">
        <v>265.27999999999997</v>
      </c>
      <c r="M84" s="49">
        <v>20241008485</v>
      </c>
      <c r="N84" s="50" t="s">
        <v>28</v>
      </c>
      <c r="O84" s="50"/>
      <c r="P84" s="50"/>
      <c r="Q84" s="51"/>
      <c r="R84" s="50"/>
      <c r="S84" s="50"/>
      <c r="T84" s="50"/>
      <c r="U84" s="50"/>
    </row>
    <row r="85" spans="1:21" x14ac:dyDescent="0.25">
      <c r="A85" s="45" t="s">
        <v>70</v>
      </c>
      <c r="B85" s="46">
        <v>45595</v>
      </c>
      <c r="C85" s="45" t="s">
        <v>168</v>
      </c>
      <c r="D85" s="47"/>
      <c r="E85" s="45" t="s">
        <v>277</v>
      </c>
      <c r="F85" s="45" t="s">
        <v>278</v>
      </c>
      <c r="G85" s="45" t="s">
        <v>298</v>
      </c>
      <c r="H85" s="45" t="s">
        <v>867</v>
      </c>
      <c r="I85" s="45" t="s">
        <v>868</v>
      </c>
      <c r="J85" s="45">
        <v>59966</v>
      </c>
      <c r="K85" s="45" t="s">
        <v>370</v>
      </c>
      <c r="L85" s="48">
        <v>21</v>
      </c>
      <c r="M85" s="49">
        <v>20241007536</v>
      </c>
      <c r="N85" s="50" t="s">
        <v>28</v>
      </c>
      <c r="O85" s="50"/>
      <c r="P85" s="50"/>
      <c r="Q85" s="51"/>
      <c r="R85" s="50"/>
      <c r="S85" s="50"/>
      <c r="T85" s="50"/>
      <c r="U85" s="50"/>
    </row>
    <row r="86" spans="1:21" x14ac:dyDescent="0.25">
      <c r="A86" s="45" t="s">
        <v>70</v>
      </c>
      <c r="B86" s="46">
        <v>45595</v>
      </c>
      <c r="C86" s="45" t="s">
        <v>168</v>
      </c>
      <c r="D86" s="47"/>
      <c r="E86" s="45" t="s">
        <v>277</v>
      </c>
      <c r="F86" s="45" t="s">
        <v>278</v>
      </c>
      <c r="G86" s="45" t="s">
        <v>298</v>
      </c>
      <c r="H86" s="45" t="s">
        <v>867</v>
      </c>
      <c r="I86" s="45" t="s">
        <v>868</v>
      </c>
      <c r="J86" s="45">
        <v>59966</v>
      </c>
      <c r="K86" s="45" t="s">
        <v>859</v>
      </c>
      <c r="L86" s="48">
        <v>21</v>
      </c>
      <c r="M86" s="49">
        <v>20241007538</v>
      </c>
      <c r="N86" s="50" t="s">
        <v>28</v>
      </c>
      <c r="O86" s="50"/>
      <c r="P86" s="50"/>
      <c r="Q86" s="51"/>
      <c r="R86" s="50"/>
      <c r="S86" s="50"/>
      <c r="T86" s="50"/>
      <c r="U86" s="50"/>
    </row>
    <row r="87" spans="1:21" x14ac:dyDescent="0.25">
      <c r="A87" s="45" t="s">
        <v>70</v>
      </c>
      <c r="B87" s="46">
        <v>45595</v>
      </c>
      <c r="C87" s="45" t="s">
        <v>168</v>
      </c>
      <c r="D87" s="47"/>
      <c r="E87" s="45" t="s">
        <v>277</v>
      </c>
      <c r="F87" s="45" t="s">
        <v>278</v>
      </c>
      <c r="G87" s="45" t="s">
        <v>298</v>
      </c>
      <c r="H87" s="45" t="s">
        <v>867</v>
      </c>
      <c r="I87" s="45" t="s">
        <v>868</v>
      </c>
      <c r="J87" s="45">
        <v>59966</v>
      </c>
      <c r="K87" s="45" t="s">
        <v>358</v>
      </c>
      <c r="L87" s="48">
        <v>21</v>
      </c>
      <c r="M87" s="49">
        <v>20241007559</v>
      </c>
      <c r="N87" s="50" t="s">
        <v>28</v>
      </c>
      <c r="O87" s="50"/>
      <c r="P87" s="50"/>
      <c r="Q87" s="51"/>
      <c r="R87" s="50"/>
      <c r="S87" s="50"/>
      <c r="T87" s="50"/>
      <c r="U87" s="50"/>
    </row>
    <row r="88" spans="1:21" ht="25.5" x14ac:dyDescent="0.25">
      <c r="A88" s="45" t="s">
        <v>29</v>
      </c>
      <c r="B88" s="46">
        <v>45595</v>
      </c>
      <c r="C88" s="45" t="s">
        <v>168</v>
      </c>
      <c r="D88" s="47"/>
      <c r="E88" s="45" t="s">
        <v>277</v>
      </c>
      <c r="F88" s="45" t="s">
        <v>278</v>
      </c>
      <c r="G88" s="45" t="s">
        <v>869</v>
      </c>
      <c r="H88" s="45" t="s">
        <v>870</v>
      </c>
      <c r="I88" s="45" t="s">
        <v>871</v>
      </c>
      <c r="J88" s="45">
        <v>633120597</v>
      </c>
      <c r="K88" s="45" t="s">
        <v>406</v>
      </c>
      <c r="L88" s="48">
        <v>1955.7</v>
      </c>
      <c r="M88" s="49">
        <v>20241007739</v>
      </c>
      <c r="N88" s="50" t="s">
        <v>28</v>
      </c>
      <c r="O88" s="50"/>
      <c r="P88" s="50"/>
      <c r="Q88" s="51"/>
      <c r="R88" s="50"/>
      <c r="S88" s="50"/>
      <c r="T88" s="50"/>
      <c r="U88" s="50"/>
    </row>
    <row r="89" spans="1:21" ht="25.5" x14ac:dyDescent="0.25">
      <c r="A89" s="45" t="s">
        <v>29</v>
      </c>
      <c r="B89" s="46">
        <v>45595</v>
      </c>
      <c r="C89" s="45" t="s">
        <v>294</v>
      </c>
      <c r="D89" s="47"/>
      <c r="E89" s="45" t="s">
        <v>277</v>
      </c>
      <c r="F89" s="45" t="s">
        <v>278</v>
      </c>
      <c r="G89" s="45" t="s">
        <v>869</v>
      </c>
      <c r="H89" s="45" t="s">
        <v>870</v>
      </c>
      <c r="I89" s="45" t="s">
        <v>871</v>
      </c>
      <c r="J89" s="45">
        <v>633120597</v>
      </c>
      <c r="K89" s="45" t="s">
        <v>160</v>
      </c>
      <c r="L89" s="48">
        <v>2232</v>
      </c>
      <c r="M89" s="49">
        <v>20241007740</v>
      </c>
      <c r="N89" s="50" t="s">
        <v>28</v>
      </c>
      <c r="O89" s="50"/>
      <c r="P89" s="50"/>
      <c r="Q89" s="51"/>
      <c r="R89" s="50"/>
      <c r="S89" s="50"/>
      <c r="T89" s="50"/>
      <c r="U89" s="50"/>
    </row>
    <row r="90" spans="1:21" ht="25.5" x14ac:dyDescent="0.25">
      <c r="A90" s="45" t="s">
        <v>20</v>
      </c>
      <c r="B90" s="46">
        <v>45595</v>
      </c>
      <c r="C90" s="45" t="s">
        <v>294</v>
      </c>
      <c r="D90" s="47"/>
      <c r="E90" s="45" t="s">
        <v>277</v>
      </c>
      <c r="F90" s="45" t="s">
        <v>278</v>
      </c>
      <c r="G90" s="45" t="s">
        <v>869</v>
      </c>
      <c r="H90" s="45" t="s">
        <v>872</v>
      </c>
      <c r="I90" s="45" t="s">
        <v>873</v>
      </c>
      <c r="J90" s="45">
        <v>641305035</v>
      </c>
      <c r="K90" s="45" t="s">
        <v>781</v>
      </c>
      <c r="L90" s="48">
        <v>30</v>
      </c>
      <c r="M90" s="49">
        <v>20241007114</v>
      </c>
      <c r="N90" s="50" t="s">
        <v>28</v>
      </c>
      <c r="O90" s="50"/>
      <c r="P90" s="50"/>
      <c r="Q90" s="51"/>
      <c r="R90" s="50"/>
      <c r="S90" s="50"/>
      <c r="T90" s="50"/>
      <c r="U90" s="50"/>
    </row>
    <row r="91" spans="1:21" x14ac:dyDescent="0.25">
      <c r="A91" s="45" t="s">
        <v>38</v>
      </c>
      <c r="B91" s="46">
        <v>45595</v>
      </c>
      <c r="C91" s="45" t="s">
        <v>294</v>
      </c>
      <c r="D91" s="47"/>
      <c r="E91" s="45" t="s">
        <v>277</v>
      </c>
      <c r="F91" s="45" t="s">
        <v>278</v>
      </c>
      <c r="G91" s="45" t="s">
        <v>874</v>
      </c>
      <c r="H91" s="45" t="s">
        <v>875</v>
      </c>
      <c r="I91" s="45" t="s">
        <v>876</v>
      </c>
      <c r="J91" s="45">
        <v>644078307</v>
      </c>
      <c r="K91" s="45" t="s">
        <v>268</v>
      </c>
      <c r="L91" s="48">
        <v>140.4</v>
      </c>
      <c r="M91" s="49">
        <v>20240910392</v>
      </c>
      <c r="N91" s="50" t="s">
        <v>28</v>
      </c>
      <c r="O91" s="50"/>
      <c r="P91" s="50"/>
      <c r="Q91" s="51"/>
      <c r="R91" s="50"/>
      <c r="S91" s="50"/>
      <c r="T91" s="50"/>
      <c r="U91" s="50"/>
    </row>
    <row r="92" spans="1:21" x14ac:dyDescent="0.25">
      <c r="A92" s="45" t="s">
        <v>877</v>
      </c>
      <c r="B92" s="46">
        <v>45595</v>
      </c>
      <c r="C92" s="45" t="s">
        <v>294</v>
      </c>
      <c r="D92" s="47"/>
      <c r="E92" s="45" t="s">
        <v>277</v>
      </c>
      <c r="F92" s="45" t="s">
        <v>278</v>
      </c>
      <c r="G92" s="45" t="s">
        <v>878</v>
      </c>
      <c r="H92" s="45" t="s">
        <v>879</v>
      </c>
      <c r="I92" s="45" t="s">
        <v>880</v>
      </c>
      <c r="J92" s="45">
        <v>647568586</v>
      </c>
      <c r="K92" s="45" t="s">
        <v>436</v>
      </c>
      <c r="L92" s="48">
        <v>70</v>
      </c>
      <c r="M92" s="49">
        <v>20241010558</v>
      </c>
      <c r="N92" s="50" t="s">
        <v>28</v>
      </c>
      <c r="O92" s="50"/>
      <c r="P92" s="50"/>
      <c r="Q92" s="51"/>
      <c r="R92" s="50"/>
      <c r="S92" s="50"/>
      <c r="T92" s="50"/>
      <c r="U92" s="50"/>
    </row>
    <row r="93" spans="1:21" x14ac:dyDescent="0.25">
      <c r="A93" s="45" t="s">
        <v>20</v>
      </c>
      <c r="B93" s="46">
        <v>45595</v>
      </c>
      <c r="C93" s="45" t="s">
        <v>294</v>
      </c>
      <c r="D93" s="47"/>
      <c r="E93" s="45" t="s">
        <v>277</v>
      </c>
      <c r="F93" s="45" t="s">
        <v>278</v>
      </c>
      <c r="G93" s="45" t="s">
        <v>30</v>
      </c>
      <c r="H93" s="45" t="s">
        <v>881</v>
      </c>
      <c r="I93" s="45" t="s">
        <v>882</v>
      </c>
      <c r="J93" s="45">
        <v>750031772</v>
      </c>
      <c r="K93" s="45" t="s">
        <v>194</v>
      </c>
      <c r="L93" s="48">
        <v>2749.92</v>
      </c>
      <c r="M93" s="49">
        <v>20241011266</v>
      </c>
      <c r="N93" s="50" t="s">
        <v>28</v>
      </c>
      <c r="O93" s="50"/>
      <c r="P93" s="50"/>
      <c r="Q93" s="51"/>
      <c r="R93" s="50"/>
      <c r="S93" s="50"/>
      <c r="T93" s="50"/>
      <c r="U93" s="50"/>
    </row>
    <row r="94" spans="1:21" ht="25.5" x14ac:dyDescent="0.25">
      <c r="A94" s="45" t="s">
        <v>20</v>
      </c>
      <c r="B94" s="46">
        <v>45595</v>
      </c>
      <c r="C94" s="45" t="s">
        <v>294</v>
      </c>
      <c r="D94" s="47"/>
      <c r="E94" s="45" t="s">
        <v>616</v>
      </c>
      <c r="F94" s="45" t="s">
        <v>617</v>
      </c>
      <c r="G94" s="45" t="s">
        <v>263</v>
      </c>
      <c r="H94" s="45" t="s">
        <v>883</v>
      </c>
      <c r="I94" s="45" t="s">
        <v>884</v>
      </c>
      <c r="J94" s="45">
        <v>571958636</v>
      </c>
      <c r="K94" s="45" t="s">
        <v>195</v>
      </c>
      <c r="L94" s="48">
        <v>24.2</v>
      </c>
      <c r="M94" s="49">
        <v>20240920501</v>
      </c>
      <c r="N94" s="50" t="s">
        <v>28</v>
      </c>
      <c r="O94" s="50"/>
      <c r="P94" s="50"/>
      <c r="Q94" s="51"/>
      <c r="R94" s="50"/>
      <c r="S94" s="50"/>
      <c r="T94" s="50"/>
      <c r="U94" s="50"/>
    </row>
    <row r="95" spans="1:21" x14ac:dyDescent="0.25">
      <c r="A95" s="45" t="s">
        <v>20</v>
      </c>
      <c r="B95" s="46">
        <v>45595</v>
      </c>
      <c r="C95" s="45" t="s">
        <v>294</v>
      </c>
      <c r="D95" s="47"/>
      <c r="E95" s="45" t="s">
        <v>296</v>
      </c>
      <c r="F95" s="45" t="s">
        <v>297</v>
      </c>
      <c r="G95" s="45" t="s">
        <v>885</v>
      </c>
      <c r="H95" s="45" t="s">
        <v>886</v>
      </c>
      <c r="I95" s="45" t="s">
        <v>887</v>
      </c>
      <c r="J95" s="45">
        <v>568733561</v>
      </c>
      <c r="K95" s="45" t="s">
        <v>888</v>
      </c>
      <c r="L95" s="48">
        <v>50</v>
      </c>
      <c r="M95" s="49">
        <v>20240906641</v>
      </c>
      <c r="N95" s="50" t="s">
        <v>28</v>
      </c>
      <c r="O95" s="50"/>
      <c r="P95" s="50"/>
      <c r="Q95" s="51"/>
      <c r="R95" s="50"/>
      <c r="S95" s="50"/>
      <c r="T95" s="50"/>
      <c r="U95" s="50"/>
    </row>
    <row r="96" spans="1:21" x14ac:dyDescent="0.25">
      <c r="A96" s="45" t="s">
        <v>20</v>
      </c>
      <c r="B96" s="46">
        <v>45595</v>
      </c>
      <c r="C96" s="45" t="s">
        <v>294</v>
      </c>
      <c r="D96" s="47"/>
      <c r="E96" s="45" t="s">
        <v>296</v>
      </c>
      <c r="F96" s="45" t="s">
        <v>297</v>
      </c>
      <c r="G96" s="45" t="s">
        <v>885</v>
      </c>
      <c r="H96" s="45" t="s">
        <v>886</v>
      </c>
      <c r="I96" s="45" t="s">
        <v>887</v>
      </c>
      <c r="J96" s="45">
        <v>568733561</v>
      </c>
      <c r="K96" s="45" t="s">
        <v>889</v>
      </c>
      <c r="L96" s="48">
        <v>50</v>
      </c>
      <c r="M96" s="49">
        <v>20240906657</v>
      </c>
      <c r="N96" s="50" t="s">
        <v>28</v>
      </c>
      <c r="O96" s="50"/>
      <c r="P96" s="50"/>
      <c r="Q96" s="51"/>
      <c r="R96" s="50"/>
      <c r="S96" s="50"/>
      <c r="T96" s="50"/>
      <c r="U96" s="50"/>
    </row>
    <row r="97" spans="1:21" x14ac:dyDescent="0.25">
      <c r="A97" s="45" t="s">
        <v>20</v>
      </c>
      <c r="B97" s="46">
        <v>45595</v>
      </c>
      <c r="C97" s="45" t="s">
        <v>294</v>
      </c>
      <c r="D97" s="47"/>
      <c r="E97" s="45" t="s">
        <v>296</v>
      </c>
      <c r="F97" s="45" t="s">
        <v>297</v>
      </c>
      <c r="G97" s="45" t="s">
        <v>885</v>
      </c>
      <c r="H97" s="45" t="s">
        <v>886</v>
      </c>
      <c r="I97" s="45" t="s">
        <v>887</v>
      </c>
      <c r="J97" s="45">
        <v>568733561</v>
      </c>
      <c r="K97" s="45" t="s">
        <v>890</v>
      </c>
      <c r="L97" s="48">
        <v>50</v>
      </c>
      <c r="M97" s="49">
        <v>20240906660</v>
      </c>
      <c r="N97" s="50" t="s">
        <v>28</v>
      </c>
      <c r="O97" s="50"/>
      <c r="P97" s="50"/>
      <c r="Q97" s="51"/>
      <c r="R97" s="50"/>
      <c r="S97" s="50"/>
      <c r="T97" s="50"/>
      <c r="U97" s="50"/>
    </row>
    <row r="98" spans="1:21" x14ac:dyDescent="0.25">
      <c r="A98" s="45" t="s">
        <v>20</v>
      </c>
      <c r="B98" s="46">
        <v>45595</v>
      </c>
      <c r="C98" s="45" t="s">
        <v>294</v>
      </c>
      <c r="D98" s="47"/>
      <c r="E98" s="45" t="s">
        <v>296</v>
      </c>
      <c r="F98" s="45" t="s">
        <v>297</v>
      </c>
      <c r="G98" s="45" t="s">
        <v>885</v>
      </c>
      <c r="H98" s="45" t="s">
        <v>886</v>
      </c>
      <c r="I98" s="45" t="s">
        <v>887</v>
      </c>
      <c r="J98" s="45">
        <v>568733561</v>
      </c>
      <c r="K98" s="45" t="s">
        <v>891</v>
      </c>
      <c r="L98" s="48">
        <v>50</v>
      </c>
      <c r="M98" s="49">
        <v>20240906663</v>
      </c>
      <c r="N98" s="50" t="s">
        <v>28</v>
      </c>
      <c r="O98" s="50"/>
      <c r="P98" s="50"/>
      <c r="Q98" s="51"/>
      <c r="R98" s="50"/>
      <c r="S98" s="50"/>
      <c r="T98" s="50"/>
      <c r="U98" s="50"/>
    </row>
    <row r="99" spans="1:21" x14ac:dyDescent="0.25">
      <c r="A99" s="45" t="s">
        <v>20</v>
      </c>
      <c r="B99" s="46">
        <v>45595</v>
      </c>
      <c r="C99" s="45" t="s">
        <v>294</v>
      </c>
      <c r="D99" s="47"/>
      <c r="E99" s="45" t="s">
        <v>296</v>
      </c>
      <c r="F99" s="45" t="s">
        <v>297</v>
      </c>
      <c r="G99" s="45" t="s">
        <v>885</v>
      </c>
      <c r="H99" s="45" t="s">
        <v>886</v>
      </c>
      <c r="I99" s="45" t="s">
        <v>887</v>
      </c>
      <c r="J99" s="45">
        <v>568733561</v>
      </c>
      <c r="K99" s="45" t="s">
        <v>892</v>
      </c>
      <c r="L99" s="48">
        <v>50</v>
      </c>
      <c r="M99" s="49">
        <v>20240906668</v>
      </c>
      <c r="N99" s="50" t="s">
        <v>28</v>
      </c>
      <c r="O99" s="50"/>
      <c r="P99" s="50"/>
      <c r="Q99" s="51"/>
      <c r="R99" s="50"/>
      <c r="S99" s="50"/>
      <c r="T99" s="50"/>
      <c r="U99" s="50"/>
    </row>
    <row r="100" spans="1:21" x14ac:dyDescent="0.25">
      <c r="A100" s="45" t="s">
        <v>20</v>
      </c>
      <c r="B100" s="46">
        <v>45595</v>
      </c>
      <c r="C100" s="45" t="s">
        <v>294</v>
      </c>
      <c r="D100" s="47"/>
      <c r="E100" s="45" t="s">
        <v>296</v>
      </c>
      <c r="F100" s="45" t="s">
        <v>297</v>
      </c>
      <c r="G100" s="45" t="s">
        <v>885</v>
      </c>
      <c r="H100" s="45" t="s">
        <v>886</v>
      </c>
      <c r="I100" s="45" t="s">
        <v>887</v>
      </c>
      <c r="J100" s="45">
        <v>568733561</v>
      </c>
      <c r="K100" s="45" t="s">
        <v>893</v>
      </c>
      <c r="L100" s="48">
        <v>50</v>
      </c>
      <c r="M100" s="49">
        <v>20240906669</v>
      </c>
      <c r="N100" s="50" t="s">
        <v>28</v>
      </c>
      <c r="O100" s="50"/>
      <c r="P100" s="50"/>
      <c r="Q100" s="51"/>
      <c r="R100" s="50"/>
      <c r="S100" s="50"/>
      <c r="T100" s="50"/>
      <c r="U100" s="50"/>
    </row>
    <row r="101" spans="1:21" x14ac:dyDescent="0.25">
      <c r="A101" s="45" t="s">
        <v>20</v>
      </c>
      <c r="B101" s="46">
        <v>45595</v>
      </c>
      <c r="C101" s="45" t="s">
        <v>294</v>
      </c>
      <c r="D101" s="47"/>
      <c r="E101" s="45" t="s">
        <v>296</v>
      </c>
      <c r="F101" s="45" t="s">
        <v>297</v>
      </c>
      <c r="G101" s="45" t="s">
        <v>885</v>
      </c>
      <c r="H101" s="45" t="s">
        <v>886</v>
      </c>
      <c r="I101" s="45" t="s">
        <v>887</v>
      </c>
      <c r="J101" s="45">
        <v>568733561</v>
      </c>
      <c r="K101" s="45" t="s">
        <v>894</v>
      </c>
      <c r="L101" s="48">
        <v>50</v>
      </c>
      <c r="M101" s="49">
        <v>20240906651</v>
      </c>
      <c r="N101" s="50" t="s">
        <v>28</v>
      </c>
      <c r="O101" s="50"/>
      <c r="P101" s="50"/>
      <c r="Q101" s="51"/>
      <c r="R101" s="50"/>
      <c r="S101" s="50"/>
      <c r="T101" s="50"/>
      <c r="U101" s="50"/>
    </row>
    <row r="102" spans="1:21" x14ac:dyDescent="0.25">
      <c r="A102" s="45" t="s">
        <v>20</v>
      </c>
      <c r="B102" s="46">
        <v>45595</v>
      </c>
      <c r="C102" s="45" t="s">
        <v>294</v>
      </c>
      <c r="D102" s="47"/>
      <c r="E102" s="45" t="s">
        <v>296</v>
      </c>
      <c r="F102" s="45" t="s">
        <v>297</v>
      </c>
      <c r="G102" s="45" t="s">
        <v>885</v>
      </c>
      <c r="H102" s="45" t="s">
        <v>886</v>
      </c>
      <c r="I102" s="45" t="s">
        <v>887</v>
      </c>
      <c r="J102" s="45">
        <v>568733561</v>
      </c>
      <c r="K102" s="45" t="s">
        <v>895</v>
      </c>
      <c r="L102" s="48">
        <v>50</v>
      </c>
      <c r="M102" s="49">
        <v>20240906643</v>
      </c>
      <c r="N102" s="50" t="s">
        <v>28</v>
      </c>
      <c r="O102" s="50"/>
      <c r="P102" s="50"/>
      <c r="Q102" s="51"/>
      <c r="R102" s="50"/>
      <c r="S102" s="50"/>
      <c r="T102" s="50"/>
      <c r="U102" s="50"/>
    </row>
    <row r="103" spans="1:21" x14ac:dyDescent="0.25">
      <c r="A103" s="45" t="s">
        <v>20</v>
      </c>
      <c r="B103" s="46">
        <v>45595</v>
      </c>
      <c r="C103" s="45" t="s">
        <v>294</v>
      </c>
      <c r="D103" s="47"/>
      <c r="E103" s="45" t="s">
        <v>296</v>
      </c>
      <c r="F103" s="45" t="s">
        <v>297</v>
      </c>
      <c r="G103" s="45" t="s">
        <v>885</v>
      </c>
      <c r="H103" s="45" t="s">
        <v>886</v>
      </c>
      <c r="I103" s="45" t="s">
        <v>887</v>
      </c>
      <c r="J103" s="45">
        <v>568733561</v>
      </c>
      <c r="K103" s="45" t="s">
        <v>896</v>
      </c>
      <c r="L103" s="48">
        <v>50</v>
      </c>
      <c r="M103" s="49">
        <v>20240906670</v>
      </c>
      <c r="N103" s="50" t="s">
        <v>28</v>
      </c>
      <c r="O103" s="50"/>
      <c r="P103" s="50"/>
      <c r="Q103" s="51"/>
      <c r="R103" s="50"/>
      <c r="S103" s="50"/>
      <c r="T103" s="50"/>
      <c r="U103" s="50"/>
    </row>
    <row r="104" spans="1:21" x14ac:dyDescent="0.25">
      <c r="A104" s="45" t="s">
        <v>20</v>
      </c>
      <c r="B104" s="46">
        <v>45595</v>
      </c>
      <c r="C104" s="45" t="s">
        <v>294</v>
      </c>
      <c r="D104" s="47"/>
      <c r="E104" s="45" t="s">
        <v>296</v>
      </c>
      <c r="F104" s="45" t="s">
        <v>297</v>
      </c>
      <c r="G104" s="45" t="s">
        <v>885</v>
      </c>
      <c r="H104" s="45" t="s">
        <v>886</v>
      </c>
      <c r="I104" s="45" t="s">
        <v>887</v>
      </c>
      <c r="J104" s="45">
        <v>568733561</v>
      </c>
      <c r="K104" s="45" t="s">
        <v>897</v>
      </c>
      <c r="L104" s="48">
        <v>50</v>
      </c>
      <c r="M104" s="49">
        <v>20240906666</v>
      </c>
      <c r="N104" s="50" t="s">
        <v>28</v>
      </c>
      <c r="O104" s="50"/>
      <c r="P104" s="50"/>
      <c r="Q104" s="51"/>
      <c r="R104" s="50"/>
      <c r="S104" s="50"/>
      <c r="T104" s="50"/>
      <c r="U104" s="50"/>
    </row>
    <row r="105" spans="1:21" x14ac:dyDescent="0.25">
      <c r="A105" s="45" t="s">
        <v>20</v>
      </c>
      <c r="B105" s="46">
        <v>45595</v>
      </c>
      <c r="C105" s="45" t="s">
        <v>294</v>
      </c>
      <c r="D105" s="47"/>
      <c r="E105" s="45" t="s">
        <v>296</v>
      </c>
      <c r="F105" s="45" t="s">
        <v>297</v>
      </c>
      <c r="G105" s="45" t="s">
        <v>885</v>
      </c>
      <c r="H105" s="45" t="s">
        <v>886</v>
      </c>
      <c r="I105" s="45" t="s">
        <v>887</v>
      </c>
      <c r="J105" s="45">
        <v>568733561</v>
      </c>
      <c r="K105" s="45" t="s">
        <v>896</v>
      </c>
      <c r="L105" s="48">
        <v>50</v>
      </c>
      <c r="M105" s="49">
        <v>20240906664</v>
      </c>
      <c r="N105" s="50" t="s">
        <v>28</v>
      </c>
      <c r="O105" s="50"/>
      <c r="P105" s="50"/>
      <c r="Q105" s="51"/>
      <c r="R105" s="50"/>
      <c r="S105" s="50"/>
      <c r="T105" s="50"/>
      <c r="U105" s="50"/>
    </row>
    <row r="106" spans="1:21" x14ac:dyDescent="0.25">
      <c r="A106" s="45" t="s">
        <v>20</v>
      </c>
      <c r="B106" s="46">
        <v>45595</v>
      </c>
      <c r="C106" s="45" t="s">
        <v>294</v>
      </c>
      <c r="D106" s="47"/>
      <c r="E106" s="45" t="s">
        <v>296</v>
      </c>
      <c r="F106" s="45" t="s">
        <v>297</v>
      </c>
      <c r="G106" s="45" t="s">
        <v>885</v>
      </c>
      <c r="H106" s="45" t="s">
        <v>886</v>
      </c>
      <c r="I106" s="45" t="s">
        <v>887</v>
      </c>
      <c r="J106" s="45">
        <v>568733561</v>
      </c>
      <c r="K106" s="45" t="s">
        <v>228</v>
      </c>
      <c r="L106" s="48">
        <v>50</v>
      </c>
      <c r="M106" s="49">
        <v>20240906662</v>
      </c>
      <c r="N106" s="50" t="s">
        <v>28</v>
      </c>
      <c r="O106" s="50"/>
      <c r="P106" s="50"/>
      <c r="Q106" s="51"/>
      <c r="R106" s="50"/>
      <c r="S106" s="50"/>
      <c r="T106" s="50"/>
      <c r="U106" s="50"/>
    </row>
    <row r="107" spans="1:21" x14ac:dyDescent="0.25">
      <c r="A107" s="45" t="s">
        <v>20</v>
      </c>
      <c r="B107" s="46">
        <v>45595</v>
      </c>
      <c r="C107" s="45" t="s">
        <v>294</v>
      </c>
      <c r="D107" s="47"/>
      <c r="E107" s="45" t="s">
        <v>296</v>
      </c>
      <c r="F107" s="45" t="s">
        <v>297</v>
      </c>
      <c r="G107" s="45" t="s">
        <v>885</v>
      </c>
      <c r="H107" s="45" t="s">
        <v>886</v>
      </c>
      <c r="I107" s="45" t="s">
        <v>887</v>
      </c>
      <c r="J107" s="45">
        <v>568733561</v>
      </c>
      <c r="K107" s="45" t="s">
        <v>281</v>
      </c>
      <c r="L107" s="48">
        <v>50</v>
      </c>
      <c r="M107" s="49">
        <v>20240906659</v>
      </c>
      <c r="N107" s="50" t="s">
        <v>28</v>
      </c>
      <c r="O107" s="50"/>
      <c r="P107" s="50"/>
      <c r="Q107" s="51"/>
      <c r="R107" s="50"/>
      <c r="S107" s="50"/>
      <c r="T107" s="50"/>
      <c r="U107" s="50"/>
    </row>
    <row r="108" spans="1:21" x14ac:dyDescent="0.25">
      <c r="A108" s="45" t="s">
        <v>20</v>
      </c>
      <c r="B108" s="46">
        <v>45595</v>
      </c>
      <c r="C108" s="45" t="s">
        <v>294</v>
      </c>
      <c r="D108" s="47"/>
      <c r="E108" s="45" t="s">
        <v>296</v>
      </c>
      <c r="F108" s="45" t="s">
        <v>297</v>
      </c>
      <c r="G108" s="45" t="s">
        <v>885</v>
      </c>
      <c r="H108" s="45" t="s">
        <v>886</v>
      </c>
      <c r="I108" s="45" t="s">
        <v>887</v>
      </c>
      <c r="J108" s="45">
        <v>568733561</v>
      </c>
      <c r="K108" s="45" t="s">
        <v>288</v>
      </c>
      <c r="L108" s="48">
        <v>50</v>
      </c>
      <c r="M108" s="49">
        <v>20240906658</v>
      </c>
      <c r="N108" s="50" t="s">
        <v>28</v>
      </c>
      <c r="O108" s="50"/>
      <c r="P108" s="50"/>
      <c r="Q108" s="51"/>
      <c r="R108" s="50"/>
      <c r="S108" s="50"/>
      <c r="T108" s="50"/>
      <c r="U108" s="50"/>
    </row>
    <row r="109" spans="1:21" x14ac:dyDescent="0.25">
      <c r="A109" s="45" t="s">
        <v>20</v>
      </c>
      <c r="B109" s="46">
        <v>45595</v>
      </c>
      <c r="C109" s="45" t="s">
        <v>294</v>
      </c>
      <c r="D109" s="47"/>
      <c r="E109" s="45" t="s">
        <v>296</v>
      </c>
      <c r="F109" s="45" t="s">
        <v>297</v>
      </c>
      <c r="G109" s="45" t="s">
        <v>885</v>
      </c>
      <c r="H109" s="45" t="s">
        <v>886</v>
      </c>
      <c r="I109" s="45" t="s">
        <v>887</v>
      </c>
      <c r="J109" s="45">
        <v>568733561</v>
      </c>
      <c r="K109" s="45" t="s">
        <v>898</v>
      </c>
      <c r="L109" s="48">
        <v>50</v>
      </c>
      <c r="M109" s="49">
        <v>20240906655</v>
      </c>
      <c r="N109" s="50" t="s">
        <v>28</v>
      </c>
      <c r="O109" s="50"/>
      <c r="P109" s="50"/>
      <c r="Q109" s="51"/>
      <c r="R109" s="50"/>
      <c r="S109" s="50"/>
      <c r="T109" s="50"/>
      <c r="U109" s="50"/>
    </row>
    <row r="110" spans="1:21" ht="25.5" x14ac:dyDescent="0.25">
      <c r="A110" s="45" t="s">
        <v>233</v>
      </c>
      <c r="B110" s="46">
        <v>45595</v>
      </c>
      <c r="C110" s="45" t="s">
        <v>294</v>
      </c>
      <c r="D110" s="47"/>
      <c r="E110" s="45" t="s">
        <v>669</v>
      </c>
      <c r="F110" s="45" t="s">
        <v>670</v>
      </c>
      <c r="G110" s="45" t="s">
        <v>263</v>
      </c>
      <c r="H110" s="45" t="s">
        <v>110</v>
      </c>
      <c r="I110" s="45" t="s">
        <v>899</v>
      </c>
      <c r="J110" s="45">
        <v>557851808</v>
      </c>
      <c r="K110" s="45" t="s">
        <v>856</v>
      </c>
      <c r="L110" s="48">
        <v>756.67</v>
      </c>
      <c r="M110" s="49">
        <v>20241011417</v>
      </c>
      <c r="N110" s="50" t="s">
        <v>28</v>
      </c>
      <c r="O110" s="50"/>
      <c r="P110" s="50"/>
      <c r="Q110" s="51"/>
      <c r="R110" s="50"/>
      <c r="S110" s="50"/>
      <c r="T110" s="50"/>
      <c r="U110" s="50"/>
    </row>
    <row r="111" spans="1:21" x14ac:dyDescent="0.25">
      <c r="A111" s="45" t="s">
        <v>29</v>
      </c>
      <c r="B111" s="46">
        <v>45590</v>
      </c>
      <c r="C111" s="45" t="s">
        <v>175</v>
      </c>
      <c r="D111" s="47"/>
      <c r="E111" s="45" t="s">
        <v>325</v>
      </c>
      <c r="F111" s="45" t="s">
        <v>278</v>
      </c>
      <c r="G111" s="45" t="s">
        <v>900</v>
      </c>
      <c r="H111" s="45" t="s">
        <v>901</v>
      </c>
      <c r="I111" s="45" t="s">
        <v>902</v>
      </c>
      <c r="J111" s="45">
        <v>528871622</v>
      </c>
      <c r="K111" s="45" t="s">
        <v>184</v>
      </c>
      <c r="L111" s="48">
        <v>229</v>
      </c>
      <c r="M111" s="49">
        <v>20241010648</v>
      </c>
      <c r="N111" s="50" t="s">
        <v>28</v>
      </c>
      <c r="O111" s="50"/>
      <c r="P111" s="50"/>
      <c r="Q111" s="51"/>
      <c r="R111" s="50"/>
      <c r="S111" s="50"/>
      <c r="T111" s="50"/>
      <c r="U111" s="50"/>
    </row>
    <row r="112" spans="1:21" x14ac:dyDescent="0.25">
      <c r="A112" s="45" t="s">
        <v>29</v>
      </c>
      <c r="B112" s="46">
        <v>45590</v>
      </c>
      <c r="C112" s="45" t="s">
        <v>175</v>
      </c>
      <c r="D112" s="47"/>
      <c r="E112" s="45" t="s">
        <v>325</v>
      </c>
      <c r="F112" s="45" t="s">
        <v>278</v>
      </c>
      <c r="G112" s="45" t="s">
        <v>900</v>
      </c>
      <c r="H112" s="45" t="s">
        <v>903</v>
      </c>
      <c r="I112" s="45" t="s">
        <v>904</v>
      </c>
      <c r="J112" s="45">
        <v>528917013</v>
      </c>
      <c r="K112" s="45" t="s">
        <v>184</v>
      </c>
      <c r="L112" s="48">
        <v>416.67</v>
      </c>
      <c r="M112" s="49">
        <v>20241010639</v>
      </c>
      <c r="N112" s="50" t="s">
        <v>28</v>
      </c>
      <c r="O112" s="50"/>
      <c r="P112" s="50"/>
      <c r="Q112" s="51"/>
      <c r="R112" s="50"/>
      <c r="S112" s="50"/>
      <c r="T112" s="50"/>
      <c r="U112" s="50"/>
    </row>
    <row r="113" spans="1:21" x14ac:dyDescent="0.25">
      <c r="A113" s="45" t="s">
        <v>29</v>
      </c>
      <c r="B113" s="46">
        <v>45590</v>
      </c>
      <c r="C113" s="45" t="s">
        <v>175</v>
      </c>
      <c r="D113" s="47"/>
      <c r="E113" s="45" t="s">
        <v>325</v>
      </c>
      <c r="F113" s="45" t="s">
        <v>278</v>
      </c>
      <c r="G113" s="45" t="s">
        <v>900</v>
      </c>
      <c r="H113" s="45" t="s">
        <v>905</v>
      </c>
      <c r="I113" s="45" t="s">
        <v>906</v>
      </c>
      <c r="J113" s="45">
        <v>528973252</v>
      </c>
      <c r="K113" s="45" t="s">
        <v>184</v>
      </c>
      <c r="L113" s="48">
        <v>291.66000000000003</v>
      </c>
      <c r="M113" s="49">
        <v>20241010657</v>
      </c>
      <c r="N113" s="50" t="s">
        <v>28</v>
      </c>
      <c r="O113" s="50"/>
      <c r="P113" s="50"/>
      <c r="Q113" s="51"/>
      <c r="R113" s="50"/>
      <c r="S113" s="50"/>
      <c r="T113" s="50"/>
      <c r="U113" s="50"/>
    </row>
    <row r="114" spans="1:21" x14ac:dyDescent="0.25">
      <c r="A114" s="45" t="s">
        <v>29</v>
      </c>
      <c r="B114" s="46">
        <v>45590</v>
      </c>
      <c r="C114" s="45" t="s">
        <v>175</v>
      </c>
      <c r="D114" s="47"/>
      <c r="E114" s="45" t="s">
        <v>325</v>
      </c>
      <c r="F114" s="45" t="s">
        <v>278</v>
      </c>
      <c r="G114" s="45" t="s">
        <v>900</v>
      </c>
      <c r="H114" s="45" t="s">
        <v>907</v>
      </c>
      <c r="I114" s="45" t="s">
        <v>908</v>
      </c>
      <c r="J114" s="45">
        <v>529633564</v>
      </c>
      <c r="K114" s="45" t="s">
        <v>184</v>
      </c>
      <c r="L114" s="48">
        <v>416.66</v>
      </c>
      <c r="M114" s="49">
        <v>20241010634</v>
      </c>
      <c r="N114" s="50" t="s">
        <v>28</v>
      </c>
      <c r="O114" s="50"/>
      <c r="P114" s="50"/>
      <c r="Q114" s="51"/>
      <c r="R114" s="50"/>
      <c r="S114" s="50"/>
      <c r="T114" s="50"/>
      <c r="U114" s="50"/>
    </row>
    <row r="115" spans="1:21" x14ac:dyDescent="0.25">
      <c r="A115" s="45" t="s">
        <v>29</v>
      </c>
      <c r="B115" s="46">
        <v>45590</v>
      </c>
      <c r="C115" s="45" t="s">
        <v>175</v>
      </c>
      <c r="D115" s="47"/>
      <c r="E115" s="45" t="s">
        <v>325</v>
      </c>
      <c r="F115" s="45" t="s">
        <v>278</v>
      </c>
      <c r="G115" s="45" t="s">
        <v>900</v>
      </c>
      <c r="H115" s="45" t="s">
        <v>909</v>
      </c>
      <c r="I115" s="45" t="s">
        <v>910</v>
      </c>
      <c r="J115" s="45">
        <v>529772153</v>
      </c>
      <c r="K115" s="45" t="s">
        <v>184</v>
      </c>
      <c r="L115" s="48">
        <v>416.66</v>
      </c>
      <c r="M115" s="49">
        <v>20241010641</v>
      </c>
      <c r="N115" s="50" t="s">
        <v>28</v>
      </c>
      <c r="O115" s="50"/>
      <c r="P115" s="50"/>
      <c r="Q115" s="51"/>
      <c r="R115" s="50"/>
      <c r="S115" s="50"/>
      <c r="T115" s="50"/>
      <c r="U115" s="50"/>
    </row>
    <row r="116" spans="1:21" x14ac:dyDescent="0.25">
      <c r="A116" s="45" t="s">
        <v>29</v>
      </c>
      <c r="B116" s="46">
        <v>45590</v>
      </c>
      <c r="C116" s="45" t="s">
        <v>175</v>
      </c>
      <c r="D116" s="47"/>
      <c r="E116" s="45" t="s">
        <v>325</v>
      </c>
      <c r="F116" s="45" t="s">
        <v>278</v>
      </c>
      <c r="G116" s="45" t="s">
        <v>900</v>
      </c>
      <c r="H116" s="45" t="s">
        <v>911</v>
      </c>
      <c r="I116" s="45" t="s">
        <v>912</v>
      </c>
      <c r="J116" s="45">
        <v>536135873</v>
      </c>
      <c r="K116" s="45" t="s">
        <v>184</v>
      </c>
      <c r="L116" s="48">
        <v>291.67</v>
      </c>
      <c r="M116" s="49">
        <v>20241010645</v>
      </c>
      <c r="N116" s="50" t="s">
        <v>28</v>
      </c>
      <c r="O116" s="50"/>
      <c r="P116" s="50"/>
      <c r="Q116" s="51"/>
      <c r="R116" s="50"/>
      <c r="S116" s="50"/>
      <c r="T116" s="50"/>
      <c r="U116" s="50"/>
    </row>
    <row r="117" spans="1:21" x14ac:dyDescent="0.25">
      <c r="A117" s="45" t="s">
        <v>29</v>
      </c>
      <c r="B117" s="46">
        <v>45590</v>
      </c>
      <c r="C117" s="45" t="s">
        <v>175</v>
      </c>
      <c r="D117" s="47"/>
      <c r="E117" s="45" t="s">
        <v>325</v>
      </c>
      <c r="F117" s="45" t="s">
        <v>278</v>
      </c>
      <c r="G117" s="45" t="s">
        <v>900</v>
      </c>
      <c r="H117" s="45" t="s">
        <v>913</v>
      </c>
      <c r="I117" s="45" t="s">
        <v>914</v>
      </c>
      <c r="J117" s="45">
        <v>537040201</v>
      </c>
      <c r="K117" s="45" t="s">
        <v>184</v>
      </c>
      <c r="L117" s="48">
        <v>416</v>
      </c>
      <c r="M117" s="49">
        <v>20241010649</v>
      </c>
      <c r="N117" s="50" t="s">
        <v>28</v>
      </c>
      <c r="O117" s="50"/>
      <c r="P117" s="50"/>
      <c r="Q117" s="51"/>
      <c r="R117" s="50"/>
      <c r="S117" s="50"/>
      <c r="T117" s="50"/>
      <c r="U117" s="50"/>
    </row>
    <row r="118" spans="1:21" ht="25.5" x14ac:dyDescent="0.25">
      <c r="A118" s="45" t="s">
        <v>849</v>
      </c>
      <c r="B118" s="46">
        <v>45590</v>
      </c>
      <c r="C118" s="45" t="s">
        <v>175</v>
      </c>
      <c r="D118" s="47"/>
      <c r="E118" s="45" t="s">
        <v>325</v>
      </c>
      <c r="F118" s="45" t="s">
        <v>278</v>
      </c>
      <c r="G118" s="45" t="s">
        <v>333</v>
      </c>
      <c r="H118" s="45" t="s">
        <v>915</v>
      </c>
      <c r="I118" s="45" t="s">
        <v>916</v>
      </c>
      <c r="J118" s="45">
        <v>559430222</v>
      </c>
      <c r="K118" s="45" t="s">
        <v>358</v>
      </c>
      <c r="L118" s="48">
        <v>65</v>
      </c>
      <c r="M118" s="49">
        <v>20241007998</v>
      </c>
      <c r="N118" s="50" t="s">
        <v>28</v>
      </c>
      <c r="O118" s="50"/>
      <c r="P118" s="50"/>
      <c r="Q118" s="51"/>
      <c r="R118" s="50"/>
      <c r="S118" s="50"/>
      <c r="T118" s="50"/>
      <c r="U118" s="50"/>
    </row>
    <row r="119" spans="1:21" ht="25.5" x14ac:dyDescent="0.25">
      <c r="A119" s="45" t="s">
        <v>233</v>
      </c>
      <c r="B119" s="46">
        <v>45590</v>
      </c>
      <c r="C119" s="45" t="s">
        <v>175</v>
      </c>
      <c r="D119" s="47"/>
      <c r="E119" s="45" t="s">
        <v>325</v>
      </c>
      <c r="F119" s="45" t="s">
        <v>278</v>
      </c>
      <c r="G119" s="45" t="s">
        <v>333</v>
      </c>
      <c r="H119" s="45" t="s">
        <v>341</v>
      </c>
      <c r="I119" s="45" t="s">
        <v>917</v>
      </c>
      <c r="J119" s="45">
        <v>573736273</v>
      </c>
      <c r="K119" s="45" t="s">
        <v>781</v>
      </c>
      <c r="L119" s="48">
        <v>35.86</v>
      </c>
      <c r="M119" s="49">
        <v>20241007997</v>
      </c>
      <c r="N119" s="50" t="s">
        <v>28</v>
      </c>
      <c r="O119" s="50"/>
      <c r="P119" s="50"/>
      <c r="Q119" s="51"/>
      <c r="R119" s="50"/>
      <c r="S119" s="50"/>
      <c r="T119" s="50"/>
      <c r="U119" s="50"/>
    </row>
    <row r="120" spans="1:21" ht="25.5" x14ac:dyDescent="0.25">
      <c r="A120" s="45" t="s">
        <v>233</v>
      </c>
      <c r="B120" s="46">
        <v>45590</v>
      </c>
      <c r="C120" s="45" t="s">
        <v>175</v>
      </c>
      <c r="D120" s="47"/>
      <c r="E120" s="45" t="s">
        <v>325</v>
      </c>
      <c r="F120" s="45" t="s">
        <v>278</v>
      </c>
      <c r="G120" s="45" t="s">
        <v>333</v>
      </c>
      <c r="H120" s="45" t="s">
        <v>341</v>
      </c>
      <c r="I120" s="45" t="s">
        <v>917</v>
      </c>
      <c r="J120" s="45">
        <v>573736273</v>
      </c>
      <c r="K120" s="45" t="s">
        <v>840</v>
      </c>
      <c r="L120" s="48">
        <v>95</v>
      </c>
      <c r="M120" s="49">
        <v>20241009532</v>
      </c>
      <c r="N120" s="50" t="s">
        <v>28</v>
      </c>
      <c r="O120" s="50"/>
      <c r="P120" s="50"/>
      <c r="Q120" s="51"/>
      <c r="R120" s="50"/>
      <c r="S120" s="50"/>
      <c r="T120" s="50"/>
      <c r="U120" s="50"/>
    </row>
    <row r="121" spans="1:21" ht="25.5" x14ac:dyDescent="0.25">
      <c r="A121" s="45" t="s">
        <v>233</v>
      </c>
      <c r="B121" s="46">
        <v>45590</v>
      </c>
      <c r="C121" s="45" t="s">
        <v>175</v>
      </c>
      <c r="D121" s="47"/>
      <c r="E121" s="45" t="s">
        <v>325</v>
      </c>
      <c r="F121" s="45" t="s">
        <v>278</v>
      </c>
      <c r="G121" s="45" t="s">
        <v>333</v>
      </c>
      <c r="H121" s="45" t="s">
        <v>341</v>
      </c>
      <c r="I121" s="45" t="s">
        <v>917</v>
      </c>
      <c r="J121" s="45">
        <v>573736273</v>
      </c>
      <c r="K121" s="45" t="s">
        <v>53</v>
      </c>
      <c r="L121" s="48">
        <v>5.79</v>
      </c>
      <c r="M121" s="49">
        <v>2024101360</v>
      </c>
      <c r="N121" s="50" t="s">
        <v>28</v>
      </c>
      <c r="O121" s="50"/>
      <c r="P121" s="50"/>
      <c r="Q121" s="51"/>
      <c r="R121" s="50"/>
      <c r="S121" s="50"/>
      <c r="T121" s="50"/>
      <c r="U121" s="50"/>
    </row>
    <row r="122" spans="1:21" ht="25.5" x14ac:dyDescent="0.25">
      <c r="A122" s="45" t="s">
        <v>233</v>
      </c>
      <c r="B122" s="46">
        <v>45590</v>
      </c>
      <c r="C122" s="45" t="s">
        <v>175</v>
      </c>
      <c r="D122" s="47"/>
      <c r="E122" s="45" t="s">
        <v>325</v>
      </c>
      <c r="F122" s="45" t="s">
        <v>278</v>
      </c>
      <c r="G122" s="45" t="s">
        <v>333</v>
      </c>
      <c r="H122" s="45" t="s">
        <v>341</v>
      </c>
      <c r="I122" s="45" t="s">
        <v>917</v>
      </c>
      <c r="J122" s="45">
        <v>573736273</v>
      </c>
      <c r="K122" s="45" t="s">
        <v>918</v>
      </c>
      <c r="L122" s="48">
        <v>27.18</v>
      </c>
      <c r="M122" s="49">
        <v>2024101361</v>
      </c>
      <c r="N122" s="50" t="s">
        <v>28</v>
      </c>
      <c r="O122" s="50"/>
      <c r="P122" s="50"/>
      <c r="Q122" s="51"/>
      <c r="R122" s="50"/>
      <c r="S122" s="50"/>
      <c r="T122" s="50"/>
      <c r="U122" s="50"/>
    </row>
    <row r="123" spans="1:21" x14ac:dyDescent="0.25">
      <c r="A123" s="45" t="s">
        <v>29</v>
      </c>
      <c r="B123" s="46">
        <v>45590</v>
      </c>
      <c r="C123" s="45" t="s">
        <v>175</v>
      </c>
      <c r="D123" s="47"/>
      <c r="E123" s="45" t="s">
        <v>325</v>
      </c>
      <c r="F123" s="45" t="s">
        <v>278</v>
      </c>
      <c r="G123" s="45" t="s">
        <v>900</v>
      </c>
      <c r="H123" s="45" t="s">
        <v>919</v>
      </c>
      <c r="I123" s="45" t="s">
        <v>920</v>
      </c>
      <c r="J123" s="45">
        <v>575299124</v>
      </c>
      <c r="K123" s="45" t="s">
        <v>184</v>
      </c>
      <c r="L123" s="48">
        <v>416.67</v>
      </c>
      <c r="M123" s="49">
        <v>20241010651</v>
      </c>
      <c r="N123" s="50" t="s">
        <v>28</v>
      </c>
      <c r="O123" s="50"/>
      <c r="P123" s="50"/>
      <c r="Q123" s="51"/>
      <c r="R123" s="50"/>
      <c r="S123" s="50"/>
      <c r="T123" s="50"/>
      <c r="U123" s="50"/>
    </row>
    <row r="124" spans="1:21" x14ac:dyDescent="0.25">
      <c r="A124" s="45" t="s">
        <v>38</v>
      </c>
      <c r="B124" s="46">
        <v>45590</v>
      </c>
      <c r="C124" s="45" t="s">
        <v>175</v>
      </c>
      <c r="D124" s="47"/>
      <c r="E124" s="45" t="s">
        <v>325</v>
      </c>
      <c r="F124" s="45" t="s">
        <v>278</v>
      </c>
      <c r="G124" s="45" t="s">
        <v>921</v>
      </c>
      <c r="H124" s="45" t="s">
        <v>922</v>
      </c>
      <c r="I124" s="45" t="s">
        <v>923</v>
      </c>
      <c r="J124" s="45">
        <v>575685991</v>
      </c>
      <c r="K124" s="45" t="s">
        <v>924</v>
      </c>
      <c r="L124" s="48">
        <v>83.11</v>
      </c>
      <c r="M124" s="49">
        <v>20240923260</v>
      </c>
      <c r="N124" s="50" t="s">
        <v>28</v>
      </c>
      <c r="O124" s="50"/>
      <c r="P124" s="50"/>
      <c r="Q124" s="51"/>
      <c r="R124" s="50"/>
      <c r="S124" s="50"/>
      <c r="T124" s="50"/>
      <c r="U124" s="50"/>
    </row>
    <row r="125" spans="1:21" x14ac:dyDescent="0.25">
      <c r="A125" s="45" t="s">
        <v>20</v>
      </c>
      <c r="B125" s="46">
        <v>45590</v>
      </c>
      <c r="C125" s="45" t="s">
        <v>175</v>
      </c>
      <c r="D125" s="47"/>
      <c r="E125" s="45" t="s">
        <v>325</v>
      </c>
      <c r="F125" s="45" t="s">
        <v>278</v>
      </c>
      <c r="G125" s="45" t="s">
        <v>49</v>
      </c>
      <c r="H125" s="45" t="s">
        <v>50</v>
      </c>
      <c r="I125" s="45" t="s">
        <v>51</v>
      </c>
      <c r="J125" s="45">
        <v>575966434</v>
      </c>
      <c r="K125" s="45" t="s">
        <v>52</v>
      </c>
      <c r="L125" s="48">
        <v>135</v>
      </c>
      <c r="M125" s="49">
        <v>20241004641</v>
      </c>
      <c r="N125" s="50" t="s">
        <v>28</v>
      </c>
      <c r="O125" s="50"/>
      <c r="P125" s="50"/>
      <c r="Q125" s="51"/>
      <c r="R125" s="50"/>
      <c r="S125" s="50"/>
      <c r="T125" s="50"/>
      <c r="U125" s="50"/>
    </row>
    <row r="126" spans="1:21" x14ac:dyDescent="0.25">
      <c r="A126" s="45" t="s">
        <v>324</v>
      </c>
      <c r="B126" s="46">
        <v>45596</v>
      </c>
      <c r="C126" s="45" t="s">
        <v>352</v>
      </c>
      <c r="D126" s="47"/>
      <c r="E126" s="45" t="s">
        <v>371</v>
      </c>
      <c r="F126" s="45" t="s">
        <v>372</v>
      </c>
      <c r="G126" s="45" t="s">
        <v>274</v>
      </c>
      <c r="H126" s="45" t="s">
        <v>925</v>
      </c>
      <c r="I126" s="45" t="s">
        <v>142</v>
      </c>
      <c r="J126" s="45">
        <v>257852251</v>
      </c>
      <c r="K126" s="45" t="s">
        <v>926</v>
      </c>
      <c r="L126" s="48">
        <v>36.99</v>
      </c>
      <c r="M126" s="49">
        <v>20241007715</v>
      </c>
      <c r="N126" s="50" t="s">
        <v>28</v>
      </c>
      <c r="O126" s="50"/>
      <c r="P126" s="50"/>
      <c r="Q126" s="51"/>
      <c r="R126" s="50"/>
      <c r="S126" s="50"/>
      <c r="T126" s="50"/>
      <c r="U126" s="50"/>
    </row>
    <row r="127" spans="1:21" x14ac:dyDescent="0.25">
      <c r="A127" s="45" t="s">
        <v>324</v>
      </c>
      <c r="B127" s="46">
        <v>45596</v>
      </c>
      <c r="C127" s="45" t="s">
        <v>352</v>
      </c>
      <c r="D127" s="47"/>
      <c r="E127" s="45" t="s">
        <v>371</v>
      </c>
      <c r="F127" s="45" t="s">
        <v>372</v>
      </c>
      <c r="G127" s="45" t="s">
        <v>274</v>
      </c>
      <c r="H127" s="45" t="s">
        <v>925</v>
      </c>
      <c r="I127" s="45" t="s">
        <v>142</v>
      </c>
      <c r="J127" s="45">
        <v>257852251</v>
      </c>
      <c r="K127" s="45" t="s">
        <v>926</v>
      </c>
      <c r="L127" s="48">
        <v>21.95</v>
      </c>
      <c r="M127" s="49">
        <v>20241007754</v>
      </c>
      <c r="N127" s="50" t="s">
        <v>28</v>
      </c>
      <c r="O127" s="50"/>
      <c r="P127" s="50"/>
      <c r="Q127" s="51"/>
      <c r="R127" s="50"/>
      <c r="S127" s="50"/>
      <c r="T127" s="50"/>
      <c r="U127" s="50"/>
    </row>
    <row r="128" spans="1:21" x14ac:dyDescent="0.25">
      <c r="A128" s="45" t="s">
        <v>324</v>
      </c>
      <c r="B128" s="46">
        <v>45596</v>
      </c>
      <c r="C128" s="45" t="s">
        <v>352</v>
      </c>
      <c r="D128" s="47"/>
      <c r="E128" s="45" t="s">
        <v>371</v>
      </c>
      <c r="F128" s="45" t="s">
        <v>372</v>
      </c>
      <c r="G128" s="45" t="s">
        <v>274</v>
      </c>
      <c r="H128" s="45" t="s">
        <v>925</v>
      </c>
      <c r="I128" s="45" t="s">
        <v>142</v>
      </c>
      <c r="J128" s="45">
        <v>257852251</v>
      </c>
      <c r="K128" s="45" t="s">
        <v>927</v>
      </c>
      <c r="L128" s="48">
        <v>17.989999999999998</v>
      </c>
      <c r="M128" s="49">
        <v>20241007747</v>
      </c>
      <c r="N128" s="50" t="s">
        <v>28</v>
      </c>
      <c r="O128" s="50"/>
      <c r="P128" s="50"/>
      <c r="Q128" s="51"/>
      <c r="R128" s="50"/>
      <c r="S128" s="50"/>
      <c r="T128" s="50"/>
      <c r="U128" s="50"/>
    </row>
    <row r="129" spans="1:21" x14ac:dyDescent="0.25">
      <c r="A129" s="45" t="s">
        <v>324</v>
      </c>
      <c r="B129" s="46">
        <v>45596</v>
      </c>
      <c r="C129" s="45" t="s">
        <v>352</v>
      </c>
      <c r="D129" s="47"/>
      <c r="E129" s="45" t="s">
        <v>371</v>
      </c>
      <c r="F129" s="45" t="s">
        <v>372</v>
      </c>
      <c r="G129" s="45" t="s">
        <v>274</v>
      </c>
      <c r="H129" s="45" t="s">
        <v>925</v>
      </c>
      <c r="I129" s="45" t="s">
        <v>142</v>
      </c>
      <c r="J129" s="45">
        <v>257852251</v>
      </c>
      <c r="K129" s="45" t="s">
        <v>269</v>
      </c>
      <c r="L129" s="48">
        <v>10</v>
      </c>
      <c r="M129" s="49">
        <v>20241008824</v>
      </c>
      <c r="N129" s="50" t="s">
        <v>28</v>
      </c>
      <c r="O129" s="50"/>
      <c r="P129" s="50"/>
      <c r="Q129" s="51"/>
      <c r="R129" s="50"/>
      <c r="S129" s="50"/>
      <c r="T129" s="50"/>
      <c r="U129" s="50"/>
    </row>
    <row r="130" spans="1:21" x14ac:dyDescent="0.25">
      <c r="A130" s="45" t="s">
        <v>324</v>
      </c>
      <c r="B130" s="46">
        <v>45596</v>
      </c>
      <c r="C130" s="45" t="s">
        <v>352</v>
      </c>
      <c r="D130" s="47"/>
      <c r="E130" s="45" t="s">
        <v>371</v>
      </c>
      <c r="F130" s="45" t="s">
        <v>372</v>
      </c>
      <c r="G130" s="45" t="s">
        <v>274</v>
      </c>
      <c r="H130" s="45" t="s">
        <v>925</v>
      </c>
      <c r="I130" s="45" t="s">
        <v>142</v>
      </c>
      <c r="J130" s="45">
        <v>257852251</v>
      </c>
      <c r="K130" s="45" t="s">
        <v>928</v>
      </c>
      <c r="L130" s="48">
        <v>9.99</v>
      </c>
      <c r="M130" s="49">
        <v>20241008825</v>
      </c>
      <c r="N130" s="50" t="s">
        <v>28</v>
      </c>
      <c r="O130" s="50"/>
      <c r="P130" s="50"/>
      <c r="Q130" s="51"/>
      <c r="R130" s="50"/>
      <c r="S130" s="50"/>
      <c r="T130" s="50"/>
      <c r="U130" s="50"/>
    </row>
    <row r="131" spans="1:21" x14ac:dyDescent="0.25">
      <c r="A131" s="45" t="s">
        <v>324</v>
      </c>
      <c r="B131" s="46">
        <v>45596</v>
      </c>
      <c r="C131" s="45" t="s">
        <v>352</v>
      </c>
      <c r="D131" s="47"/>
      <c r="E131" s="45" t="s">
        <v>371</v>
      </c>
      <c r="F131" s="45" t="s">
        <v>372</v>
      </c>
      <c r="G131" s="45" t="s">
        <v>274</v>
      </c>
      <c r="H131" s="45" t="s">
        <v>925</v>
      </c>
      <c r="I131" s="45" t="s">
        <v>142</v>
      </c>
      <c r="J131" s="45">
        <v>257852251</v>
      </c>
      <c r="K131" s="45" t="s">
        <v>269</v>
      </c>
      <c r="L131" s="48">
        <v>10</v>
      </c>
      <c r="M131" s="49">
        <v>20241008824</v>
      </c>
      <c r="N131" s="50" t="s">
        <v>28</v>
      </c>
      <c r="O131" s="50"/>
      <c r="P131" s="50"/>
      <c r="Q131" s="51"/>
      <c r="R131" s="50"/>
      <c r="S131" s="50"/>
      <c r="T131" s="50"/>
      <c r="U131" s="50"/>
    </row>
    <row r="132" spans="1:21" x14ac:dyDescent="0.25">
      <c r="A132" s="45" t="s">
        <v>324</v>
      </c>
      <c r="B132" s="46">
        <v>45596</v>
      </c>
      <c r="C132" s="45" t="s">
        <v>352</v>
      </c>
      <c r="D132" s="47"/>
      <c r="E132" s="45" t="s">
        <v>371</v>
      </c>
      <c r="F132" s="45" t="s">
        <v>372</v>
      </c>
      <c r="G132" s="45" t="s">
        <v>274</v>
      </c>
      <c r="H132" s="45" t="s">
        <v>925</v>
      </c>
      <c r="I132" s="45" t="s">
        <v>142</v>
      </c>
      <c r="J132" s="45">
        <v>257852251</v>
      </c>
      <c r="K132" s="45" t="s">
        <v>367</v>
      </c>
      <c r="L132" s="48">
        <v>9.99</v>
      </c>
      <c r="M132" s="49">
        <v>20241008826</v>
      </c>
      <c r="N132" s="50" t="s">
        <v>28</v>
      </c>
      <c r="O132" s="50"/>
      <c r="P132" s="50"/>
      <c r="Q132" s="51"/>
      <c r="R132" s="50"/>
      <c r="S132" s="50"/>
      <c r="T132" s="50"/>
      <c r="U132" s="50"/>
    </row>
    <row r="133" spans="1:21" x14ac:dyDescent="0.25">
      <c r="A133" s="45" t="s">
        <v>324</v>
      </c>
      <c r="B133" s="46">
        <v>45596</v>
      </c>
      <c r="C133" s="45" t="s">
        <v>352</v>
      </c>
      <c r="D133" s="47"/>
      <c r="E133" s="45" t="s">
        <v>371</v>
      </c>
      <c r="F133" s="45" t="s">
        <v>372</v>
      </c>
      <c r="G133" s="45" t="s">
        <v>274</v>
      </c>
      <c r="H133" s="45" t="s">
        <v>925</v>
      </c>
      <c r="I133" s="45" t="s">
        <v>142</v>
      </c>
      <c r="J133" s="45">
        <v>257852251</v>
      </c>
      <c r="K133" s="45" t="s">
        <v>276</v>
      </c>
      <c r="L133" s="48">
        <v>9.99</v>
      </c>
      <c r="M133" s="49">
        <v>20241008827</v>
      </c>
      <c r="N133" s="50" t="s">
        <v>28</v>
      </c>
      <c r="O133" s="50"/>
      <c r="P133" s="50"/>
      <c r="Q133" s="51"/>
      <c r="R133" s="50"/>
      <c r="S133" s="50"/>
      <c r="T133" s="50"/>
      <c r="U133" s="50"/>
    </row>
    <row r="134" spans="1:21" x14ac:dyDescent="0.25">
      <c r="A134" s="45" t="s">
        <v>324</v>
      </c>
      <c r="B134" s="46">
        <v>45596</v>
      </c>
      <c r="C134" s="45" t="s">
        <v>352</v>
      </c>
      <c r="D134" s="47"/>
      <c r="E134" s="45" t="s">
        <v>371</v>
      </c>
      <c r="F134" s="45" t="s">
        <v>372</v>
      </c>
      <c r="G134" s="45" t="s">
        <v>929</v>
      </c>
      <c r="H134" s="45" t="s">
        <v>930</v>
      </c>
      <c r="I134" s="45" t="s">
        <v>931</v>
      </c>
      <c r="J134" s="45">
        <v>259867249</v>
      </c>
      <c r="K134" s="45" t="s">
        <v>256</v>
      </c>
      <c r="L134" s="48">
        <v>1.1499999999999999</v>
      </c>
      <c r="M134" s="49">
        <v>20241007391</v>
      </c>
      <c r="N134" s="50" t="s">
        <v>28</v>
      </c>
      <c r="O134" s="50"/>
      <c r="P134" s="50"/>
      <c r="Q134" s="51"/>
      <c r="R134" s="50"/>
      <c r="S134" s="50"/>
      <c r="T134" s="50"/>
      <c r="U134" s="50"/>
    </row>
    <row r="135" spans="1:21" x14ac:dyDescent="0.25">
      <c r="A135" s="45" t="s">
        <v>324</v>
      </c>
      <c r="B135" s="46">
        <v>45596</v>
      </c>
      <c r="C135" s="45" t="s">
        <v>352</v>
      </c>
      <c r="D135" s="47"/>
      <c r="E135" s="45" t="s">
        <v>371</v>
      </c>
      <c r="F135" s="45" t="s">
        <v>372</v>
      </c>
      <c r="G135" s="45" t="s">
        <v>929</v>
      </c>
      <c r="H135" s="45" t="s">
        <v>930</v>
      </c>
      <c r="I135" s="45" t="s">
        <v>931</v>
      </c>
      <c r="J135" s="45">
        <v>259867249</v>
      </c>
      <c r="K135" s="45" t="s">
        <v>86</v>
      </c>
      <c r="L135" s="48">
        <v>69</v>
      </c>
      <c r="M135" s="49">
        <v>20241007404</v>
      </c>
      <c r="N135" s="50" t="s">
        <v>28</v>
      </c>
      <c r="O135" s="50"/>
      <c r="P135" s="50"/>
      <c r="Q135" s="51"/>
      <c r="R135" s="50"/>
      <c r="S135" s="50"/>
      <c r="T135" s="50"/>
      <c r="U135" s="50"/>
    </row>
    <row r="136" spans="1:21" x14ac:dyDescent="0.25">
      <c r="A136" s="45" t="s">
        <v>324</v>
      </c>
      <c r="B136" s="46">
        <v>45596</v>
      </c>
      <c r="C136" s="45" t="s">
        <v>352</v>
      </c>
      <c r="D136" s="47"/>
      <c r="E136" s="45" t="s">
        <v>371</v>
      </c>
      <c r="F136" s="45" t="s">
        <v>372</v>
      </c>
      <c r="G136" s="45" t="s">
        <v>929</v>
      </c>
      <c r="H136" s="45" t="s">
        <v>930</v>
      </c>
      <c r="I136" s="45" t="s">
        <v>931</v>
      </c>
      <c r="J136" s="45">
        <v>259867249</v>
      </c>
      <c r="K136" s="45" t="s">
        <v>932</v>
      </c>
      <c r="L136" s="48">
        <v>1.1499999999999999</v>
      </c>
      <c r="M136" s="49">
        <v>20241007396</v>
      </c>
      <c r="N136" s="50" t="s">
        <v>28</v>
      </c>
      <c r="O136" s="50"/>
      <c r="P136" s="50"/>
      <c r="Q136" s="51"/>
      <c r="R136" s="50"/>
      <c r="S136" s="50"/>
      <c r="T136" s="50"/>
      <c r="U136" s="50"/>
    </row>
    <row r="137" spans="1:21" x14ac:dyDescent="0.25">
      <c r="A137" s="45" t="s">
        <v>324</v>
      </c>
      <c r="B137" s="46">
        <v>45596</v>
      </c>
      <c r="C137" s="45" t="s">
        <v>352</v>
      </c>
      <c r="D137" s="47"/>
      <c r="E137" s="45" t="s">
        <v>371</v>
      </c>
      <c r="F137" s="45" t="s">
        <v>372</v>
      </c>
      <c r="G137" s="45" t="s">
        <v>929</v>
      </c>
      <c r="H137" s="45" t="s">
        <v>930</v>
      </c>
      <c r="I137" s="45" t="s">
        <v>931</v>
      </c>
      <c r="J137" s="45">
        <v>259867249</v>
      </c>
      <c r="K137" s="45" t="s">
        <v>104</v>
      </c>
      <c r="L137" s="48">
        <v>18.989999999999998</v>
      </c>
      <c r="M137" s="49">
        <v>20241007417</v>
      </c>
      <c r="N137" s="50" t="s">
        <v>28</v>
      </c>
      <c r="O137" s="50"/>
      <c r="P137" s="50"/>
      <c r="Q137" s="51"/>
      <c r="R137" s="50"/>
      <c r="S137" s="50"/>
      <c r="T137" s="50"/>
      <c r="U137" s="50"/>
    </row>
    <row r="138" spans="1:21" x14ac:dyDescent="0.25">
      <c r="A138" s="45" t="s">
        <v>324</v>
      </c>
      <c r="B138" s="46">
        <v>45596</v>
      </c>
      <c r="C138" s="45" t="s">
        <v>352</v>
      </c>
      <c r="D138" s="47"/>
      <c r="E138" s="45" t="s">
        <v>371</v>
      </c>
      <c r="F138" s="45" t="s">
        <v>372</v>
      </c>
      <c r="G138" s="45" t="s">
        <v>929</v>
      </c>
      <c r="H138" s="45" t="s">
        <v>930</v>
      </c>
      <c r="I138" s="45" t="s">
        <v>931</v>
      </c>
      <c r="J138" s="45">
        <v>259867249</v>
      </c>
      <c r="K138" s="45" t="s">
        <v>933</v>
      </c>
      <c r="L138" s="48">
        <v>238.18</v>
      </c>
      <c r="M138" s="49">
        <v>20241007400</v>
      </c>
      <c r="N138" s="50" t="s">
        <v>28</v>
      </c>
      <c r="O138" s="50"/>
      <c r="P138" s="50"/>
      <c r="Q138" s="51"/>
      <c r="R138" s="50"/>
      <c r="S138" s="50"/>
      <c r="T138" s="50"/>
      <c r="U138" s="50"/>
    </row>
    <row r="139" spans="1:21" x14ac:dyDescent="0.25">
      <c r="A139" s="45" t="s">
        <v>324</v>
      </c>
      <c r="B139" s="46">
        <v>45596</v>
      </c>
      <c r="C139" s="45" t="s">
        <v>352</v>
      </c>
      <c r="D139" s="47"/>
      <c r="E139" s="45" t="s">
        <v>371</v>
      </c>
      <c r="F139" s="45" t="s">
        <v>372</v>
      </c>
      <c r="G139" s="45" t="s">
        <v>929</v>
      </c>
      <c r="H139" s="45" t="s">
        <v>930</v>
      </c>
      <c r="I139" s="45" t="s">
        <v>931</v>
      </c>
      <c r="J139" s="45">
        <v>259867249</v>
      </c>
      <c r="K139" s="45" t="s">
        <v>759</v>
      </c>
      <c r="L139" s="48">
        <v>239.41</v>
      </c>
      <c r="M139" s="49">
        <v>20241008389</v>
      </c>
      <c r="N139" s="50" t="s">
        <v>28</v>
      </c>
      <c r="O139" s="50"/>
      <c r="P139" s="50"/>
      <c r="Q139" s="51"/>
      <c r="R139" s="50"/>
      <c r="S139" s="50"/>
      <c r="T139" s="50"/>
      <c r="U139" s="50"/>
    </row>
    <row r="140" spans="1:21" ht="25.5" x14ac:dyDescent="0.25">
      <c r="A140" s="45" t="s">
        <v>233</v>
      </c>
      <c r="B140" s="46">
        <v>45596</v>
      </c>
      <c r="C140" s="45" t="s">
        <v>352</v>
      </c>
      <c r="D140" s="47"/>
      <c r="E140" s="45" t="s">
        <v>371</v>
      </c>
      <c r="F140" s="45" t="s">
        <v>372</v>
      </c>
      <c r="G140" s="45" t="s">
        <v>934</v>
      </c>
      <c r="H140" s="45" t="s">
        <v>935</v>
      </c>
      <c r="I140" s="45" t="s">
        <v>936</v>
      </c>
      <c r="J140" s="45">
        <v>272784534</v>
      </c>
      <c r="K140" s="45" t="s">
        <v>781</v>
      </c>
      <c r="L140" s="48">
        <v>10.85</v>
      </c>
      <c r="M140" s="49">
        <v>20241008385</v>
      </c>
      <c r="N140" s="50" t="s">
        <v>28</v>
      </c>
      <c r="O140" s="50"/>
      <c r="P140" s="50"/>
      <c r="Q140" s="51"/>
      <c r="R140" s="50"/>
      <c r="S140" s="50"/>
      <c r="T140" s="50"/>
      <c r="U140" s="50"/>
    </row>
    <row r="141" spans="1:21" x14ac:dyDescent="0.25">
      <c r="A141" s="45" t="s">
        <v>233</v>
      </c>
      <c r="B141" s="46">
        <v>45596</v>
      </c>
      <c r="C141" s="45" t="s">
        <v>352</v>
      </c>
      <c r="D141" s="47"/>
      <c r="E141" s="45" t="s">
        <v>362</v>
      </c>
      <c r="F141" s="45" t="s">
        <v>394</v>
      </c>
      <c r="G141" s="45" t="s">
        <v>816</v>
      </c>
      <c r="H141" s="45" t="s">
        <v>937</v>
      </c>
      <c r="I141" s="45" t="s">
        <v>938</v>
      </c>
      <c r="J141" s="45">
        <v>193762192</v>
      </c>
      <c r="K141" s="45" t="s">
        <v>898</v>
      </c>
      <c r="L141" s="48">
        <v>321.63</v>
      </c>
      <c r="M141" s="49">
        <v>20241007921</v>
      </c>
      <c r="N141" s="50" t="s">
        <v>28</v>
      </c>
      <c r="O141" s="50"/>
      <c r="P141" s="50"/>
      <c r="Q141" s="51"/>
      <c r="R141" s="50"/>
      <c r="S141" s="50"/>
      <c r="T141" s="50"/>
      <c r="U141" s="50"/>
    </row>
    <row r="142" spans="1:21" x14ac:dyDescent="0.25">
      <c r="A142" s="45" t="s">
        <v>233</v>
      </c>
      <c r="B142" s="46">
        <v>45596</v>
      </c>
      <c r="C142" s="45" t="s">
        <v>352</v>
      </c>
      <c r="D142" s="47"/>
      <c r="E142" s="45" t="s">
        <v>362</v>
      </c>
      <c r="F142" s="45" t="s">
        <v>394</v>
      </c>
      <c r="G142" s="45" t="s">
        <v>816</v>
      </c>
      <c r="H142" s="45" t="s">
        <v>937</v>
      </c>
      <c r="I142" s="45" t="s">
        <v>938</v>
      </c>
      <c r="J142" s="45">
        <v>193762192</v>
      </c>
      <c r="K142" s="45" t="s">
        <v>891</v>
      </c>
      <c r="L142" s="48">
        <v>16.93</v>
      </c>
      <c r="M142" s="49">
        <v>20241007932</v>
      </c>
      <c r="N142" s="50" t="s">
        <v>28</v>
      </c>
      <c r="O142" s="50"/>
      <c r="P142" s="50"/>
      <c r="Q142" s="51"/>
      <c r="R142" s="50"/>
      <c r="S142" s="50"/>
      <c r="T142" s="50"/>
      <c r="U142" s="50"/>
    </row>
    <row r="143" spans="1:21" x14ac:dyDescent="0.25">
      <c r="A143" s="45" t="s">
        <v>233</v>
      </c>
      <c r="B143" s="46">
        <v>45596</v>
      </c>
      <c r="C143" s="45" t="s">
        <v>352</v>
      </c>
      <c r="D143" s="47"/>
      <c r="E143" s="45" t="s">
        <v>362</v>
      </c>
      <c r="F143" s="45" t="s">
        <v>394</v>
      </c>
      <c r="G143" s="45" t="s">
        <v>816</v>
      </c>
      <c r="H143" s="45" t="s">
        <v>937</v>
      </c>
      <c r="I143" s="45" t="s">
        <v>938</v>
      </c>
      <c r="J143" s="45">
        <v>193762192</v>
      </c>
      <c r="K143" s="45" t="s">
        <v>891</v>
      </c>
      <c r="L143" s="48">
        <v>125</v>
      </c>
      <c r="M143" s="49">
        <v>20241007920</v>
      </c>
      <c r="N143" s="50" t="s">
        <v>28</v>
      </c>
      <c r="O143" s="50"/>
      <c r="P143" s="50"/>
      <c r="Q143" s="51"/>
      <c r="R143" s="50"/>
      <c r="S143" s="50"/>
      <c r="T143" s="50"/>
      <c r="U143" s="50"/>
    </row>
    <row r="144" spans="1:21" x14ac:dyDescent="0.25">
      <c r="A144" s="45" t="s">
        <v>233</v>
      </c>
      <c r="B144" s="46">
        <v>45596</v>
      </c>
      <c r="C144" s="45" t="s">
        <v>352</v>
      </c>
      <c r="D144" s="47"/>
      <c r="E144" s="45" t="s">
        <v>362</v>
      </c>
      <c r="F144" s="45" t="s">
        <v>394</v>
      </c>
      <c r="G144" s="45" t="s">
        <v>816</v>
      </c>
      <c r="H144" s="45" t="s">
        <v>937</v>
      </c>
      <c r="I144" s="45" t="s">
        <v>938</v>
      </c>
      <c r="J144" s="45">
        <v>193762192</v>
      </c>
      <c r="K144" s="45" t="s">
        <v>406</v>
      </c>
      <c r="L144" s="48">
        <v>160.56</v>
      </c>
      <c r="M144" s="49">
        <v>20241007911</v>
      </c>
      <c r="N144" s="50" t="s">
        <v>28</v>
      </c>
      <c r="O144" s="50"/>
      <c r="P144" s="50"/>
      <c r="Q144" s="51"/>
      <c r="R144" s="50"/>
      <c r="S144" s="50"/>
      <c r="T144" s="50"/>
      <c r="U144" s="50"/>
    </row>
    <row r="145" spans="1:21" x14ac:dyDescent="0.25">
      <c r="A145" s="45" t="s">
        <v>233</v>
      </c>
      <c r="B145" s="46">
        <v>45596</v>
      </c>
      <c r="C145" s="45" t="s">
        <v>352</v>
      </c>
      <c r="D145" s="47"/>
      <c r="E145" s="45" t="s">
        <v>362</v>
      </c>
      <c r="F145" s="45" t="s">
        <v>394</v>
      </c>
      <c r="G145" s="45" t="s">
        <v>816</v>
      </c>
      <c r="H145" s="45" t="s">
        <v>937</v>
      </c>
      <c r="I145" s="45" t="s">
        <v>938</v>
      </c>
      <c r="J145" s="45">
        <v>193762192</v>
      </c>
      <c r="K145" s="45" t="s">
        <v>891</v>
      </c>
      <c r="L145" s="48">
        <v>23.7</v>
      </c>
      <c r="M145" s="49">
        <v>20241007910</v>
      </c>
      <c r="N145" s="50" t="s">
        <v>28</v>
      </c>
      <c r="O145" s="50"/>
      <c r="P145" s="50"/>
      <c r="Q145" s="51"/>
      <c r="R145" s="50"/>
      <c r="S145" s="50"/>
      <c r="T145" s="50"/>
      <c r="U145" s="50"/>
    </row>
    <row r="146" spans="1:21" x14ac:dyDescent="0.25">
      <c r="A146" s="45" t="s">
        <v>233</v>
      </c>
      <c r="B146" s="46">
        <v>45596</v>
      </c>
      <c r="C146" s="45" t="s">
        <v>352</v>
      </c>
      <c r="D146" s="47"/>
      <c r="E146" s="45" t="s">
        <v>362</v>
      </c>
      <c r="F146" s="45" t="s">
        <v>394</v>
      </c>
      <c r="G146" s="45" t="s">
        <v>816</v>
      </c>
      <c r="H146" s="45" t="s">
        <v>937</v>
      </c>
      <c r="I146" s="45" t="s">
        <v>938</v>
      </c>
      <c r="J146" s="45">
        <v>193762192</v>
      </c>
      <c r="K146" s="45" t="s">
        <v>406</v>
      </c>
      <c r="L146" s="48">
        <v>29.93</v>
      </c>
      <c r="M146" s="49">
        <v>20241007908</v>
      </c>
      <c r="N146" s="50" t="s">
        <v>28</v>
      </c>
      <c r="O146" s="50"/>
      <c r="P146" s="50"/>
      <c r="Q146" s="51"/>
      <c r="R146" s="50"/>
      <c r="S146" s="50"/>
      <c r="T146" s="50"/>
      <c r="U146" s="50"/>
    </row>
    <row r="147" spans="1:21" x14ac:dyDescent="0.25">
      <c r="A147" s="45" t="s">
        <v>233</v>
      </c>
      <c r="B147" s="46">
        <v>45596</v>
      </c>
      <c r="C147" s="45" t="s">
        <v>352</v>
      </c>
      <c r="D147" s="47"/>
      <c r="E147" s="45" t="s">
        <v>362</v>
      </c>
      <c r="F147" s="45" t="s">
        <v>394</v>
      </c>
      <c r="G147" s="45" t="s">
        <v>816</v>
      </c>
      <c r="H147" s="45" t="s">
        <v>937</v>
      </c>
      <c r="I147" s="45" t="s">
        <v>938</v>
      </c>
      <c r="J147" s="45">
        <v>193762192</v>
      </c>
      <c r="K147" s="45" t="s">
        <v>113</v>
      </c>
      <c r="L147" s="48">
        <v>70</v>
      </c>
      <c r="M147" s="49">
        <v>20241007906</v>
      </c>
      <c r="N147" s="50" t="s">
        <v>28</v>
      </c>
      <c r="O147" s="50"/>
      <c r="P147" s="50"/>
      <c r="Q147" s="51"/>
      <c r="R147" s="50"/>
      <c r="S147" s="50"/>
      <c r="T147" s="50"/>
      <c r="U147" s="50"/>
    </row>
    <row r="148" spans="1:21" x14ac:dyDescent="0.25">
      <c r="A148" s="45" t="s">
        <v>233</v>
      </c>
      <c r="B148" s="46">
        <v>45596</v>
      </c>
      <c r="C148" s="45" t="s">
        <v>352</v>
      </c>
      <c r="D148" s="47"/>
      <c r="E148" s="45" t="s">
        <v>362</v>
      </c>
      <c r="F148" s="45" t="s">
        <v>394</v>
      </c>
      <c r="G148" s="45" t="s">
        <v>816</v>
      </c>
      <c r="H148" s="45" t="s">
        <v>937</v>
      </c>
      <c r="I148" s="45" t="s">
        <v>938</v>
      </c>
      <c r="J148" s="45">
        <v>193762192</v>
      </c>
      <c r="K148" s="45" t="s">
        <v>63</v>
      </c>
      <c r="L148" s="48">
        <v>21.89</v>
      </c>
      <c r="M148" s="49">
        <v>20241007900</v>
      </c>
      <c r="N148" s="50" t="s">
        <v>28</v>
      </c>
      <c r="O148" s="50"/>
      <c r="P148" s="50"/>
      <c r="Q148" s="51"/>
      <c r="R148" s="50"/>
      <c r="S148" s="50"/>
      <c r="T148" s="50"/>
      <c r="U148" s="50"/>
    </row>
    <row r="149" spans="1:21" x14ac:dyDescent="0.25">
      <c r="A149" s="45" t="s">
        <v>233</v>
      </c>
      <c r="B149" s="46">
        <v>45596</v>
      </c>
      <c r="C149" s="45" t="s">
        <v>352</v>
      </c>
      <c r="D149" s="47"/>
      <c r="E149" s="45" t="s">
        <v>362</v>
      </c>
      <c r="F149" s="45" t="s">
        <v>394</v>
      </c>
      <c r="G149" s="45" t="s">
        <v>816</v>
      </c>
      <c r="H149" s="45" t="s">
        <v>937</v>
      </c>
      <c r="I149" s="45" t="s">
        <v>938</v>
      </c>
      <c r="J149" s="45">
        <v>193762192</v>
      </c>
      <c r="K149" s="45" t="s">
        <v>939</v>
      </c>
      <c r="L149" s="48">
        <v>59.05</v>
      </c>
      <c r="M149" s="49">
        <v>20241007909</v>
      </c>
      <c r="N149" s="50" t="s">
        <v>28</v>
      </c>
      <c r="O149" s="50"/>
      <c r="P149" s="50"/>
      <c r="Q149" s="51"/>
      <c r="R149" s="50"/>
      <c r="S149" s="50"/>
      <c r="T149" s="50"/>
      <c r="U149" s="50"/>
    </row>
    <row r="150" spans="1:21" x14ac:dyDescent="0.25">
      <c r="A150" s="45" t="s">
        <v>233</v>
      </c>
      <c r="B150" s="46">
        <v>45603</v>
      </c>
      <c r="C150" s="45" t="s">
        <v>21</v>
      </c>
      <c r="D150" s="47"/>
      <c r="E150" s="45" t="s">
        <v>362</v>
      </c>
      <c r="F150" s="45" t="s">
        <v>394</v>
      </c>
      <c r="G150" s="45" t="s">
        <v>816</v>
      </c>
      <c r="H150" s="45" t="s">
        <v>937</v>
      </c>
      <c r="I150" s="45" t="s">
        <v>938</v>
      </c>
      <c r="J150" s="45">
        <v>193762192</v>
      </c>
      <c r="K150" s="45" t="s">
        <v>891</v>
      </c>
      <c r="L150" s="48">
        <v>38.28</v>
      </c>
      <c r="M150" s="49">
        <v>20241007912</v>
      </c>
      <c r="N150" s="50" t="s">
        <v>28</v>
      </c>
      <c r="O150" s="50"/>
      <c r="P150" s="50"/>
      <c r="Q150" s="51"/>
      <c r="R150" s="50"/>
      <c r="S150" s="50"/>
      <c r="T150" s="50"/>
      <c r="U150" s="50"/>
    </row>
    <row r="151" spans="1:21" x14ac:dyDescent="0.25">
      <c r="A151" s="45" t="s">
        <v>20</v>
      </c>
      <c r="B151" s="46">
        <v>45603</v>
      </c>
      <c r="C151" s="45" t="s">
        <v>21</v>
      </c>
      <c r="D151" s="47"/>
      <c r="E151" s="45" t="s">
        <v>362</v>
      </c>
      <c r="F151" s="45" t="s">
        <v>394</v>
      </c>
      <c r="G151" s="45" t="s">
        <v>940</v>
      </c>
      <c r="H151" s="45" t="s">
        <v>870</v>
      </c>
      <c r="I151" s="45" t="s">
        <v>941</v>
      </c>
      <c r="J151" s="45">
        <v>206582000</v>
      </c>
      <c r="K151" s="45" t="s">
        <v>56</v>
      </c>
      <c r="L151" s="48">
        <v>10.96</v>
      </c>
      <c r="M151" s="49">
        <v>20241003259</v>
      </c>
      <c r="N151" s="50" t="s">
        <v>28</v>
      </c>
      <c r="O151" s="50"/>
      <c r="P151" s="50"/>
      <c r="Q151" s="51"/>
      <c r="R151" s="50"/>
      <c r="S151" s="50"/>
      <c r="T151" s="50"/>
      <c r="U151" s="50"/>
    </row>
    <row r="152" spans="1:21" x14ac:dyDescent="0.25">
      <c r="A152" s="45" t="s">
        <v>29</v>
      </c>
      <c r="B152" s="46">
        <v>45603</v>
      </c>
      <c r="C152" s="45" t="s">
        <v>21</v>
      </c>
      <c r="D152" s="47"/>
      <c r="E152" s="45" t="s">
        <v>362</v>
      </c>
      <c r="F152" s="45" t="s">
        <v>394</v>
      </c>
      <c r="G152" s="45" t="s">
        <v>178</v>
      </c>
      <c r="H152" s="45" t="s">
        <v>942</v>
      </c>
      <c r="I152" s="45" t="s">
        <v>943</v>
      </c>
      <c r="J152" s="45">
        <v>214966797</v>
      </c>
      <c r="K152" s="45" t="s">
        <v>406</v>
      </c>
      <c r="L152" s="48">
        <v>1000</v>
      </c>
      <c r="M152" s="49">
        <v>20241007768</v>
      </c>
      <c r="N152" s="50" t="s">
        <v>28</v>
      </c>
      <c r="O152" s="50"/>
      <c r="P152" s="50"/>
      <c r="Q152" s="51"/>
      <c r="R152" s="50"/>
      <c r="S152" s="50"/>
      <c r="T152" s="50"/>
      <c r="U152" s="50"/>
    </row>
    <row r="153" spans="1:21" x14ac:dyDescent="0.25">
      <c r="A153" s="45" t="s">
        <v>29</v>
      </c>
      <c r="B153" s="46">
        <v>45603</v>
      </c>
      <c r="C153" s="45" t="s">
        <v>21</v>
      </c>
      <c r="D153" s="47"/>
      <c r="E153" s="45" t="s">
        <v>362</v>
      </c>
      <c r="F153" s="45" t="s">
        <v>394</v>
      </c>
      <c r="G153" s="45" t="s">
        <v>178</v>
      </c>
      <c r="H153" s="45" t="s">
        <v>883</v>
      </c>
      <c r="I153" s="45" t="s">
        <v>944</v>
      </c>
      <c r="J153" s="45">
        <v>219158713</v>
      </c>
      <c r="K153" s="45" t="s">
        <v>301</v>
      </c>
      <c r="L153" s="48">
        <v>1541.96</v>
      </c>
      <c r="M153" s="49">
        <v>20241007820</v>
      </c>
      <c r="N153" s="50" t="s">
        <v>28</v>
      </c>
      <c r="O153" s="50"/>
      <c r="P153" s="50"/>
      <c r="Q153" s="51"/>
      <c r="R153" s="50"/>
      <c r="S153" s="50"/>
      <c r="T153" s="50"/>
      <c r="U153" s="50"/>
    </row>
    <row r="154" spans="1:21" x14ac:dyDescent="0.25">
      <c r="A154" s="45" t="s">
        <v>29</v>
      </c>
      <c r="B154" s="46">
        <v>45603</v>
      </c>
      <c r="C154" s="45" t="s">
        <v>21</v>
      </c>
      <c r="D154" s="47"/>
      <c r="E154" s="45" t="s">
        <v>362</v>
      </c>
      <c r="F154" s="45" t="s">
        <v>394</v>
      </c>
      <c r="G154" s="45" t="s">
        <v>178</v>
      </c>
      <c r="H154" s="45" t="s">
        <v>883</v>
      </c>
      <c r="I154" s="45" t="s">
        <v>944</v>
      </c>
      <c r="J154" s="45">
        <v>219158713</v>
      </c>
      <c r="K154" s="45" t="s">
        <v>241</v>
      </c>
      <c r="L154" s="48">
        <v>360</v>
      </c>
      <c r="M154" s="49">
        <v>20241007790</v>
      </c>
      <c r="N154" s="50" t="s">
        <v>28</v>
      </c>
      <c r="O154" s="50"/>
      <c r="P154" s="50"/>
      <c r="Q154" s="51"/>
      <c r="R154" s="50"/>
      <c r="S154" s="50"/>
      <c r="T154" s="50"/>
      <c r="U154" s="50"/>
    </row>
    <row r="155" spans="1:21" x14ac:dyDescent="0.25">
      <c r="A155" s="45" t="s">
        <v>29</v>
      </c>
      <c r="B155" s="46">
        <v>45603</v>
      </c>
      <c r="C155" s="45" t="s">
        <v>21</v>
      </c>
      <c r="D155" s="47"/>
      <c r="E155" s="45" t="s">
        <v>362</v>
      </c>
      <c r="F155" s="45" t="s">
        <v>394</v>
      </c>
      <c r="G155" s="45" t="s">
        <v>178</v>
      </c>
      <c r="H155" s="45" t="s">
        <v>883</v>
      </c>
      <c r="I155" s="45" t="s">
        <v>944</v>
      </c>
      <c r="J155" s="45">
        <v>219158713</v>
      </c>
      <c r="K155" s="45" t="s">
        <v>301</v>
      </c>
      <c r="L155" s="48">
        <v>1541.96</v>
      </c>
      <c r="M155" s="49">
        <v>20241007825</v>
      </c>
      <c r="N155" s="50" t="s">
        <v>28</v>
      </c>
      <c r="O155" s="50"/>
      <c r="P155" s="50"/>
      <c r="Q155" s="51"/>
      <c r="R155" s="50"/>
      <c r="S155" s="50"/>
      <c r="T155" s="50"/>
      <c r="U155" s="50"/>
    </row>
    <row r="156" spans="1:21" x14ac:dyDescent="0.25">
      <c r="A156" s="45" t="s">
        <v>29</v>
      </c>
      <c r="B156" s="46">
        <v>45603</v>
      </c>
      <c r="C156" s="45" t="s">
        <v>21</v>
      </c>
      <c r="D156" s="47"/>
      <c r="E156" s="45" t="s">
        <v>362</v>
      </c>
      <c r="F156" s="45" t="s">
        <v>409</v>
      </c>
      <c r="G156" s="45" t="s">
        <v>945</v>
      </c>
      <c r="H156" s="45" t="s">
        <v>343</v>
      </c>
      <c r="I156" s="45" t="s">
        <v>946</v>
      </c>
      <c r="J156" s="45">
        <v>613053545</v>
      </c>
      <c r="K156" s="45" t="s">
        <v>947</v>
      </c>
      <c r="L156" s="48">
        <v>2525.71</v>
      </c>
      <c r="M156" s="49">
        <v>20240930853</v>
      </c>
      <c r="N156" s="50" t="s">
        <v>28</v>
      </c>
      <c r="O156" s="50"/>
      <c r="P156" s="50"/>
      <c r="Q156" s="51"/>
      <c r="R156" s="50"/>
      <c r="S156" s="50"/>
      <c r="T156" s="50"/>
      <c r="U156" s="50"/>
    </row>
    <row r="157" spans="1:21" x14ac:dyDescent="0.25">
      <c r="A157" s="45" t="s">
        <v>29</v>
      </c>
      <c r="B157" s="46">
        <v>45603</v>
      </c>
      <c r="C157" s="45" t="s">
        <v>21</v>
      </c>
      <c r="D157" s="47"/>
      <c r="E157" s="45" t="s">
        <v>411</v>
      </c>
      <c r="F157" s="45" t="s">
        <v>412</v>
      </c>
      <c r="G157" s="45" t="s">
        <v>801</v>
      </c>
      <c r="H157" s="45" t="s">
        <v>886</v>
      </c>
      <c r="I157" s="45" t="s">
        <v>948</v>
      </c>
      <c r="J157" s="45">
        <v>134680355</v>
      </c>
      <c r="K157" s="45" t="s">
        <v>184</v>
      </c>
      <c r="L157" s="48">
        <v>1000</v>
      </c>
      <c r="M157" s="49">
        <v>20240919424</v>
      </c>
      <c r="N157" s="50" t="s">
        <v>28</v>
      </c>
      <c r="O157" s="50"/>
      <c r="P157" s="50"/>
      <c r="Q157" s="51"/>
      <c r="R157" s="50"/>
      <c r="S157" s="50"/>
      <c r="T157" s="50"/>
      <c r="U157" s="50"/>
    </row>
    <row r="158" spans="1:21" x14ac:dyDescent="0.25">
      <c r="A158" s="45" t="s">
        <v>20</v>
      </c>
      <c r="B158" s="46">
        <v>45603</v>
      </c>
      <c r="C158" s="45" t="s">
        <v>21</v>
      </c>
      <c r="D158" s="47"/>
      <c r="E158" s="45" t="s">
        <v>417</v>
      </c>
      <c r="F158" s="45" t="s">
        <v>418</v>
      </c>
      <c r="G158" s="45" t="s">
        <v>949</v>
      </c>
      <c r="H158" s="45" t="s">
        <v>950</v>
      </c>
      <c r="I158" s="45" t="s">
        <v>951</v>
      </c>
      <c r="J158" s="45">
        <v>298908828</v>
      </c>
      <c r="K158" s="45" t="s">
        <v>939</v>
      </c>
      <c r="L158" s="48">
        <v>44.76</v>
      </c>
      <c r="M158" s="49">
        <v>20240806395</v>
      </c>
      <c r="N158" s="50" t="s">
        <v>28</v>
      </c>
      <c r="O158" s="50"/>
      <c r="P158" s="50"/>
      <c r="Q158" s="51"/>
      <c r="R158" s="50"/>
      <c r="S158" s="50"/>
      <c r="T158" s="50"/>
      <c r="U158" s="50"/>
    </row>
    <row r="159" spans="1:21" x14ac:dyDescent="0.25">
      <c r="A159" s="45" t="s">
        <v>29</v>
      </c>
      <c r="B159" s="46">
        <v>45603</v>
      </c>
      <c r="C159" s="45" t="s">
        <v>21</v>
      </c>
      <c r="D159" s="47"/>
      <c r="E159" s="45" t="s">
        <v>425</v>
      </c>
      <c r="F159" s="45" t="s">
        <v>426</v>
      </c>
      <c r="G159" s="45" t="s">
        <v>952</v>
      </c>
      <c r="H159" s="45" t="s">
        <v>953</v>
      </c>
      <c r="I159" s="45" t="s">
        <v>954</v>
      </c>
      <c r="J159" s="45">
        <v>462654037</v>
      </c>
      <c r="K159" s="45" t="s">
        <v>406</v>
      </c>
      <c r="L159" s="48">
        <v>442</v>
      </c>
      <c r="M159" s="49">
        <v>20241010448</v>
      </c>
      <c r="N159" s="50" t="s">
        <v>28</v>
      </c>
      <c r="O159" s="50"/>
      <c r="P159" s="50"/>
      <c r="Q159" s="51"/>
      <c r="R159" s="50"/>
      <c r="S159" s="50"/>
      <c r="T159" s="50"/>
      <c r="U159" s="50"/>
    </row>
    <row r="160" spans="1:21" x14ac:dyDescent="0.25">
      <c r="A160" s="45" t="s">
        <v>20</v>
      </c>
      <c r="B160" s="46">
        <v>45603</v>
      </c>
      <c r="C160" s="45" t="s">
        <v>21</v>
      </c>
      <c r="D160" s="47"/>
      <c r="E160" s="45" t="s">
        <v>425</v>
      </c>
      <c r="F160" s="45" t="s">
        <v>426</v>
      </c>
      <c r="G160" s="45" t="s">
        <v>744</v>
      </c>
      <c r="H160" s="45" t="s">
        <v>955</v>
      </c>
      <c r="I160" s="45" t="s">
        <v>956</v>
      </c>
      <c r="J160" s="45">
        <v>520370997</v>
      </c>
      <c r="K160" s="45" t="s">
        <v>358</v>
      </c>
      <c r="L160" s="48">
        <v>234.11</v>
      </c>
      <c r="M160" s="49">
        <v>20240924675</v>
      </c>
      <c r="N160" s="50" t="s">
        <v>28</v>
      </c>
      <c r="O160" s="50"/>
      <c r="P160" s="50"/>
      <c r="Q160" s="51"/>
      <c r="R160" s="50"/>
      <c r="S160" s="50"/>
      <c r="T160" s="50"/>
      <c r="U160" s="50"/>
    </row>
    <row r="161" spans="1:21" ht="25.5" x14ac:dyDescent="0.25">
      <c r="A161" s="45" t="s">
        <v>20</v>
      </c>
      <c r="B161" s="46">
        <v>45603</v>
      </c>
      <c r="C161" s="45" t="s">
        <v>21</v>
      </c>
      <c r="D161" s="47"/>
      <c r="E161" s="45" t="s">
        <v>425</v>
      </c>
      <c r="F161" s="45" t="s">
        <v>426</v>
      </c>
      <c r="G161" s="45" t="s">
        <v>263</v>
      </c>
      <c r="H161" s="45" t="s">
        <v>356</v>
      </c>
      <c r="I161" s="45" t="s">
        <v>957</v>
      </c>
      <c r="J161" s="45">
        <v>544960591</v>
      </c>
      <c r="K161" s="45" t="s">
        <v>840</v>
      </c>
      <c r="L161" s="48">
        <v>25</v>
      </c>
      <c r="M161" s="49">
        <v>20241009453</v>
      </c>
      <c r="N161" s="50" t="s">
        <v>28</v>
      </c>
      <c r="O161" s="50"/>
      <c r="P161" s="50"/>
      <c r="Q161" s="51"/>
      <c r="R161" s="50"/>
      <c r="S161" s="50"/>
      <c r="T161" s="50"/>
      <c r="U161" s="50"/>
    </row>
    <row r="162" spans="1:21" ht="25.5" x14ac:dyDescent="0.25">
      <c r="A162" s="45" t="s">
        <v>20</v>
      </c>
      <c r="B162" s="46">
        <v>45603</v>
      </c>
      <c r="C162" s="45" t="s">
        <v>21</v>
      </c>
      <c r="D162" s="47"/>
      <c r="E162" s="45" t="s">
        <v>425</v>
      </c>
      <c r="F162" s="45" t="s">
        <v>426</v>
      </c>
      <c r="G162" s="45" t="s">
        <v>263</v>
      </c>
      <c r="H162" s="45" t="s">
        <v>356</v>
      </c>
      <c r="I162" s="45" t="s">
        <v>957</v>
      </c>
      <c r="J162" s="45">
        <v>544960591</v>
      </c>
      <c r="K162" s="45" t="s">
        <v>840</v>
      </c>
      <c r="L162" s="48">
        <v>25</v>
      </c>
      <c r="M162" s="49">
        <v>20241009454</v>
      </c>
      <c r="N162" s="50" t="s">
        <v>28</v>
      </c>
      <c r="O162" s="50"/>
      <c r="P162" s="50"/>
      <c r="Q162" s="51"/>
      <c r="R162" s="50"/>
      <c r="S162" s="50"/>
      <c r="T162" s="50"/>
      <c r="U162" s="50"/>
    </row>
    <row r="163" spans="1:21" ht="25.5" x14ac:dyDescent="0.25">
      <c r="A163" s="45" t="s">
        <v>20</v>
      </c>
      <c r="B163" s="46">
        <v>45603</v>
      </c>
      <c r="C163" s="45" t="s">
        <v>21</v>
      </c>
      <c r="D163" s="47"/>
      <c r="E163" s="45" t="s">
        <v>425</v>
      </c>
      <c r="F163" s="45" t="s">
        <v>426</v>
      </c>
      <c r="G163" s="45" t="s">
        <v>263</v>
      </c>
      <c r="H163" s="45" t="s">
        <v>356</v>
      </c>
      <c r="I163" s="45" t="s">
        <v>957</v>
      </c>
      <c r="J163" s="45">
        <v>544960591</v>
      </c>
      <c r="K163" s="45" t="s">
        <v>840</v>
      </c>
      <c r="L163" s="48">
        <v>25</v>
      </c>
      <c r="M163" s="49">
        <v>20241009455</v>
      </c>
      <c r="N163" s="50" t="s">
        <v>28</v>
      </c>
      <c r="O163" s="50"/>
      <c r="P163" s="50"/>
      <c r="Q163" s="51"/>
      <c r="R163" s="50"/>
      <c r="S163" s="50"/>
      <c r="T163" s="50"/>
      <c r="U163" s="50"/>
    </row>
    <row r="164" spans="1:21" x14ac:dyDescent="0.25">
      <c r="A164" s="45" t="s">
        <v>29</v>
      </c>
      <c r="B164" s="46">
        <v>45603</v>
      </c>
      <c r="C164" s="45" t="s">
        <v>21</v>
      </c>
      <c r="D164" s="47"/>
      <c r="E164" s="45" t="s">
        <v>425</v>
      </c>
      <c r="F164" s="45" t="s">
        <v>426</v>
      </c>
      <c r="G164" s="45" t="s">
        <v>958</v>
      </c>
      <c r="H164" s="45" t="s">
        <v>959</v>
      </c>
      <c r="I164" s="45" t="s">
        <v>960</v>
      </c>
      <c r="J164" s="45">
        <v>611267297</v>
      </c>
      <c r="K164" s="45" t="s">
        <v>160</v>
      </c>
      <c r="L164" s="48">
        <v>807.66</v>
      </c>
      <c r="M164" s="49">
        <v>20240927549</v>
      </c>
      <c r="N164" s="50" t="s">
        <v>28</v>
      </c>
      <c r="O164" s="50"/>
      <c r="P164" s="50"/>
      <c r="Q164" s="51"/>
      <c r="R164" s="50"/>
      <c r="S164" s="50"/>
      <c r="T164" s="50"/>
      <c r="U164" s="50"/>
    </row>
  </sheetData>
  <autoFilter ref="A1:U164" xr:uid="{E6308566-DBB7-484A-8A94-62BD8316B628}"/>
  <sortState xmlns:xlrd2="http://schemas.microsoft.com/office/spreadsheetml/2017/richdata2" ref="A2:U164">
    <sortCondition ref="J2:J164"/>
  </sortState>
  <conditionalFormatting sqref="O3 N1:N1048576">
    <cfRule type="cellIs" priority="13" stopIfTrue="1" operator="equal">
      <formula>""</formula>
    </cfRule>
    <cfRule type="cellIs" priority="14" stopIfTrue="1" operator="equal">
      <formula>"Correct = C"</formula>
    </cfRule>
    <cfRule type="cellIs" dxfId="211" priority="15" operator="notEqual">
      <formula>"C"</formula>
    </cfRule>
  </conditionalFormatting>
  <conditionalFormatting sqref="O1:O2 O4:O1048576">
    <cfRule type="cellIs" priority="10" stopIfTrue="1" operator="equal">
      <formula>""</formula>
    </cfRule>
    <cfRule type="cellIs" priority="11" stopIfTrue="1" operator="equal">
      <formula>"Major = M"</formula>
    </cfRule>
    <cfRule type="cellIs" dxfId="210" priority="12" operator="notEqual">
      <formula>"M"</formula>
    </cfRule>
  </conditionalFormatting>
  <conditionalFormatting sqref="P1:P1048576">
    <cfRule type="cellIs" priority="7" stopIfTrue="1" operator="equal">
      <formula>""</formula>
    </cfRule>
    <cfRule type="cellIs" priority="8" stopIfTrue="1" operator="equal">
      <formula>"Minor = E"</formula>
    </cfRule>
    <cfRule type="cellIs" dxfId="209" priority="9" operator="notEqual">
      <formula>"E"</formula>
    </cfRule>
  </conditionalFormatting>
  <conditionalFormatting sqref="R1:R1048576">
    <cfRule type="cellIs" priority="4" stopIfTrue="1" operator="equal">
      <formula>""</formula>
    </cfRule>
    <cfRule type="cellIs" priority="5" stopIfTrue="1" operator="equal">
      <formula>"Inserted Major = M"</formula>
    </cfRule>
    <cfRule type="cellIs" dxfId="208" priority="6" operator="notEqual">
      <formula>"M"</formula>
    </cfRule>
  </conditionalFormatting>
  <conditionalFormatting sqref="S1:S1048576">
    <cfRule type="cellIs" priority="1" stopIfTrue="1" operator="equal">
      <formula>""</formula>
    </cfRule>
    <cfRule type="cellIs" priority="2" stopIfTrue="1" operator="equal">
      <formula>"Inserted Minor = E"</formula>
    </cfRule>
    <cfRule type="cellIs" dxfId="207" priority="3" operator="notEqual">
      <formula>"E"</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F0B641-4C9F-4384-B680-975409B45F7B}">
  <sheetPr codeName="Sheet12"/>
  <dimension ref="B2:AA48"/>
  <sheetViews>
    <sheetView workbookViewId="0"/>
  </sheetViews>
  <sheetFormatPr defaultRowHeight="15" x14ac:dyDescent="0.25"/>
  <cols>
    <col min="1" max="1" width="2.7109375" customWidth="1"/>
    <col min="2" max="2" width="28.140625" style="1" bestFit="1" customWidth="1"/>
    <col min="3" max="3" width="19.140625" style="1" hidden="1" customWidth="1"/>
    <col min="4" max="4" width="21.7109375" style="1" hidden="1" customWidth="1"/>
    <col min="5" max="5" width="11" style="1" hidden="1" customWidth="1"/>
    <col min="6" max="6" width="9.5703125" style="1" hidden="1" customWidth="1"/>
    <col min="7" max="7" width="16.140625" style="1" hidden="1" customWidth="1"/>
    <col min="8" max="8" width="17.140625" style="1" customWidth="1"/>
    <col min="9" max="9" width="33.85546875" style="1" hidden="1" customWidth="1"/>
    <col min="10" max="10" width="16.140625" style="1" customWidth="1"/>
    <col min="11" max="11" width="20.85546875" style="1" hidden="1" customWidth="1"/>
    <col min="12" max="12" width="19.85546875" style="1" hidden="1" customWidth="1"/>
    <col min="13" max="13" width="8.85546875" style="1"/>
    <col min="14" max="16" width="0" style="1" hidden="1" customWidth="1"/>
    <col min="17" max="17" width="8.85546875" style="1"/>
    <col min="18" max="19" width="8.85546875" style="27"/>
    <col min="20" max="20" width="8.85546875" style="1"/>
    <col min="21" max="22" width="8.85546875" style="2"/>
    <col min="23" max="23" width="8.85546875" style="1"/>
    <col min="24" max="24" width="18.85546875" style="1" bestFit="1" customWidth="1"/>
    <col min="25" max="27" width="8.85546875" style="1"/>
  </cols>
  <sheetData>
    <row r="2" spans="2:24" s="1" customFormat="1" ht="52.5" x14ac:dyDescent="0.25">
      <c r="B2" s="22" t="s">
        <v>437</v>
      </c>
      <c r="C2" s="22" t="s">
        <v>438</v>
      </c>
      <c r="D2" s="22" t="s">
        <v>439</v>
      </c>
      <c r="E2" s="23" t="s">
        <v>440</v>
      </c>
      <c r="F2" s="23" t="s">
        <v>441</v>
      </c>
      <c r="G2" s="23" t="s">
        <v>442</v>
      </c>
      <c r="H2" s="23" t="s">
        <v>443</v>
      </c>
      <c r="I2" s="23" t="s">
        <v>444</v>
      </c>
      <c r="J2" s="23" t="s">
        <v>445</v>
      </c>
      <c r="K2" s="23" t="s">
        <v>446</v>
      </c>
      <c r="L2" s="23" t="s">
        <v>447</v>
      </c>
      <c r="M2" s="24" t="s">
        <v>448</v>
      </c>
      <c r="N2" s="24"/>
      <c r="O2" s="24"/>
      <c r="P2" s="24" t="s">
        <v>449</v>
      </c>
      <c r="Q2" s="24" t="s">
        <v>450</v>
      </c>
      <c r="R2" s="25" t="s">
        <v>451</v>
      </c>
      <c r="S2" s="25" t="s">
        <v>452</v>
      </c>
      <c r="T2" s="24" t="s">
        <v>453</v>
      </c>
      <c r="U2" s="26" t="s">
        <v>454</v>
      </c>
      <c r="V2" s="2"/>
    </row>
    <row r="3" spans="2:24" s="1" customFormat="1" ht="15" customHeight="1" x14ac:dyDescent="0.25">
      <c r="B3" s="1" t="s">
        <v>455</v>
      </c>
      <c r="C3" s="1" t="s">
        <v>456</v>
      </c>
      <c r="D3" s="1" t="s">
        <v>297</v>
      </c>
      <c r="E3" t="s">
        <v>457</v>
      </c>
      <c r="F3" t="s">
        <v>458</v>
      </c>
      <c r="G3" t="s">
        <v>459</v>
      </c>
      <c r="H3" t="s">
        <v>460</v>
      </c>
      <c r="I3" t="s">
        <v>461</v>
      </c>
      <c r="J3" t="s">
        <v>462</v>
      </c>
      <c r="K3"/>
      <c r="L3" t="s">
        <v>463</v>
      </c>
      <c r="M3">
        <v>0</v>
      </c>
      <c r="N3" t="s">
        <v>464</v>
      </c>
      <c r="O3"/>
      <c r="P3"/>
      <c r="Q3" s="7">
        <v>1</v>
      </c>
      <c r="R3" s="27">
        <f t="shared" ref="R3:R47" si="0">IF(Q3-SUM(S3:T3)=0,"",Q3-SUM(S3:T3))</f>
        <v>1</v>
      </c>
      <c r="S3" s="27" t="str">
        <f>IF(SUM(COUNTIFS('10_07_10_13'!E:E,'10_07_10_13 Acc Rate'!C3,'10_07_10_13'!O:O,"*M*"),COUNTIFS('10_07_10_13'!E:E,'10_07_10_13 Acc Rate'!C3,'10_07_10_13'!R:R,"*M*"))=0,"",SUM(COUNTIFS('10_07_10_13'!E:E,'10_07_10_13 Acc Rate'!C3,'10_07_10_13'!O:O,"*M*"),COUNTIFS('10_07_10_13'!E:E,'10_07_10_13 Acc Rate'!C3,'10_07_10_13'!R:R,"*M*")))</f>
        <v/>
      </c>
      <c r="T3" s="1" t="str">
        <f>IF(SUM(COUNTIFS('10_07_10_13'!E:E,'10_07_10_13 Acc Rate'!C3,'10_07_10_13'!P:P,"*E*"),COUNTIFS('10_07_10_13'!E:E,'10_07_10_13 Acc Rate'!C3,'10_07_10_13'!S:S,"*E*"))=0,"",SUM(COUNTIFS('10_07_10_13'!E:E,'10_07_10_13 Acc Rate'!C3,'10_07_10_13'!P:P,"*E*"),COUNTIFS('10_07_10_13'!E:E,'10_07_10_13 Acc Rate'!C3,'10_07_10_13'!S:S,"*E*")))</f>
        <v/>
      </c>
      <c r="U3" s="8">
        <f>IF(ISERROR(SUM(_xlfn.NUMBERVALUE(S3)*8+_xlfn.NUMBERVALUE(T3)*2)/Q3),"",SUM(_xlfn.NUMBERVALUE(S3)*8+_xlfn.NUMBERVALUE(T3)*2)/Q3)</f>
        <v>0</v>
      </c>
      <c r="V3" s="2"/>
      <c r="W3" s="83" t="s">
        <v>465</v>
      </c>
      <c r="X3" s="83"/>
    </row>
    <row r="4" spans="2:24" s="1" customFormat="1" ht="15" customHeight="1" x14ac:dyDescent="0.25">
      <c r="B4" s="1" t="s">
        <v>466</v>
      </c>
      <c r="C4" s="1" t="s">
        <v>353</v>
      </c>
      <c r="D4" s="1" t="s">
        <v>354</v>
      </c>
      <c r="E4" t="s">
        <v>467</v>
      </c>
      <c r="F4" t="s">
        <v>294</v>
      </c>
      <c r="G4" t="s">
        <v>468</v>
      </c>
      <c r="H4" t="s">
        <v>460</v>
      </c>
      <c r="I4" t="s">
        <v>469</v>
      </c>
      <c r="J4" t="s">
        <v>470</v>
      </c>
      <c r="K4"/>
      <c r="L4" t="s">
        <v>471</v>
      </c>
      <c r="M4">
        <v>15</v>
      </c>
      <c r="N4" t="s">
        <v>472</v>
      </c>
      <c r="O4">
        <v>127</v>
      </c>
      <c r="P4">
        <v>40</v>
      </c>
      <c r="Q4" s="7">
        <v>36</v>
      </c>
      <c r="R4" s="27">
        <f t="shared" si="0"/>
        <v>36</v>
      </c>
      <c r="S4" s="27" t="str">
        <f>IF(SUM(COUNTIFS('10_07_10_13'!E:E,'10_07_10_13 Acc Rate'!C4,'10_07_10_13'!O:O,"*M*"),COUNTIFS('10_07_10_13'!E:E,'10_07_10_13 Acc Rate'!C4,'10_07_10_13'!R:R,"*M*"))=0,"",SUM(COUNTIFS('10_07_10_13'!E:E,'10_07_10_13 Acc Rate'!C4,'10_07_10_13'!O:O,"*M*"),COUNTIFS('10_07_10_13'!E:E,'10_07_10_13 Acc Rate'!C4,'10_07_10_13'!R:R,"*M*")))</f>
        <v/>
      </c>
      <c r="T4" s="1" t="str">
        <f>IF(SUM(COUNTIFS('10_07_10_13'!E:E,'10_07_10_13 Acc Rate'!C4,'10_07_10_13'!P:P,"*E*"),COUNTIFS('10_07_10_13'!E:E,'10_07_10_13 Acc Rate'!C4,'10_07_10_13'!S:S,"*E*"))=0,"",SUM(COUNTIFS('10_07_10_13'!E:E,'10_07_10_13 Acc Rate'!C4,'10_07_10_13'!P:P,"*E*"),COUNTIFS('10_07_10_13'!E:E,'10_07_10_13 Acc Rate'!C4,'10_07_10_13'!S:S,"*E*")))</f>
        <v/>
      </c>
      <c r="U4" s="8">
        <f t="shared" ref="U4:U46" si="1">IF(ISERROR(SUM(_xlfn.NUMBERVALUE(S4)*8+_xlfn.NUMBERVALUE(T4)*2)/Q4),"",SUM(_xlfn.NUMBERVALUE(S4)*8+_xlfn.NUMBERVALUE(T4)*2)/Q4)</f>
        <v>0</v>
      </c>
      <c r="V4" s="2"/>
      <c r="W4" s="40" t="s">
        <v>473</v>
      </c>
      <c r="X4" s="41" t="s">
        <v>474</v>
      </c>
    </row>
    <row r="5" spans="2:24" s="1" customFormat="1" ht="15" customHeight="1" x14ac:dyDescent="0.25">
      <c r="B5" s="1" t="s">
        <v>475</v>
      </c>
      <c r="C5" s="1" t="s">
        <v>362</v>
      </c>
      <c r="D5" s="1" t="s">
        <v>394</v>
      </c>
      <c r="E5" t="s">
        <v>476</v>
      </c>
      <c r="F5" t="s">
        <v>175</v>
      </c>
      <c r="G5" t="s">
        <v>477</v>
      </c>
      <c r="H5" t="s">
        <v>460</v>
      </c>
      <c r="I5" t="s">
        <v>478</v>
      </c>
      <c r="J5" t="s">
        <v>479</v>
      </c>
      <c r="K5" t="s">
        <v>469</v>
      </c>
      <c r="L5" t="s">
        <v>480</v>
      </c>
      <c r="M5">
        <v>15</v>
      </c>
      <c r="N5" t="s">
        <v>481</v>
      </c>
      <c r="O5">
        <v>67</v>
      </c>
      <c r="P5">
        <v>20</v>
      </c>
      <c r="Q5" s="7">
        <v>267</v>
      </c>
      <c r="R5" s="27">
        <f t="shared" si="0"/>
        <v>267</v>
      </c>
      <c r="S5" s="27" t="str">
        <f>IF(SUM(COUNTIFS('10_07_10_13'!E:E,'10_07_10_13 Acc Rate'!C5,'10_07_10_13'!O:O,"*M*"),COUNTIFS('10_07_10_13'!E:E,'10_07_10_13 Acc Rate'!C5,'10_07_10_13'!R:R,"*M*"))=0,"",SUM(COUNTIFS('10_07_10_13'!E:E,'10_07_10_13 Acc Rate'!C5,'10_07_10_13'!O:O,"*M*"),COUNTIFS('10_07_10_13'!E:E,'10_07_10_13 Acc Rate'!C5,'10_07_10_13'!R:R,"*M*")))</f>
        <v/>
      </c>
      <c r="T5" s="1" t="str">
        <f>IF(SUM(COUNTIFS('10_07_10_13'!E:E,'10_07_10_13 Acc Rate'!C5,'10_07_10_13'!P:P,"*E*"),COUNTIFS('10_07_10_13'!E:E,'10_07_10_13 Acc Rate'!C5,'10_07_10_13'!S:S,"*E*"))=0,"",SUM(COUNTIFS('10_07_10_13'!E:E,'10_07_10_13 Acc Rate'!C5,'10_07_10_13'!P:P,"*E*"),COUNTIFS('10_07_10_13'!E:E,'10_07_10_13 Acc Rate'!C5,'10_07_10_13'!S:S,"*E*")))</f>
        <v/>
      </c>
      <c r="U5" s="8">
        <f t="shared" si="1"/>
        <v>0</v>
      </c>
      <c r="V5" s="2"/>
      <c r="W5" s="40" t="s">
        <v>482</v>
      </c>
      <c r="X5" s="41" t="s">
        <v>483</v>
      </c>
    </row>
    <row r="6" spans="2:24" s="1" customFormat="1" ht="15" customHeight="1" x14ac:dyDescent="0.25">
      <c r="B6" s="1" t="s">
        <v>484</v>
      </c>
      <c r="C6" s="1" t="s">
        <v>22</v>
      </c>
      <c r="D6" s="1" t="s">
        <v>23</v>
      </c>
      <c r="E6" t="s">
        <v>485</v>
      </c>
      <c r="F6" t="s">
        <v>486</v>
      </c>
      <c r="G6" t="s">
        <v>487</v>
      </c>
      <c r="H6" t="s">
        <v>460</v>
      </c>
      <c r="I6" t="s">
        <v>488</v>
      </c>
      <c r="J6" t="s">
        <v>479</v>
      </c>
      <c r="K6" t="s">
        <v>469</v>
      </c>
      <c r="L6"/>
      <c r="M6">
        <v>15</v>
      </c>
      <c r="N6" t="s">
        <v>489</v>
      </c>
      <c r="O6">
        <v>2117</v>
      </c>
      <c r="P6">
        <v>40</v>
      </c>
      <c r="Q6" s="7">
        <v>656</v>
      </c>
      <c r="R6" s="27">
        <f t="shared" si="0"/>
        <v>656</v>
      </c>
      <c r="S6" s="27" t="str">
        <f>IF(SUM(COUNTIFS('10_07_10_13'!E:E,'10_07_10_13 Acc Rate'!C6,'10_07_10_13'!O:O,"*M*"),COUNTIFS('10_07_10_13'!E:E,'10_07_10_13 Acc Rate'!C6,'10_07_10_13'!R:R,"*M*"))=0,"",SUM(COUNTIFS('10_07_10_13'!E:E,'10_07_10_13 Acc Rate'!C6,'10_07_10_13'!O:O,"*M*"),COUNTIFS('10_07_10_13'!E:E,'10_07_10_13 Acc Rate'!C6,'10_07_10_13'!R:R,"*M*")))</f>
        <v/>
      </c>
      <c r="T6" s="1" t="str">
        <f>IF(SUM(COUNTIFS('10_07_10_13'!E:E,'10_07_10_13 Acc Rate'!C6,'10_07_10_13'!P:P,"*E*"),COUNTIFS('10_07_10_13'!E:E,'10_07_10_13 Acc Rate'!C6,'10_07_10_13'!S:S,"*E*"))=0,"",SUM(COUNTIFS('10_07_10_13'!E:E,'10_07_10_13 Acc Rate'!C6,'10_07_10_13'!P:P,"*E*"),COUNTIFS('10_07_10_13'!E:E,'10_07_10_13 Acc Rate'!C6,'10_07_10_13'!S:S,"*E*")))</f>
        <v/>
      </c>
      <c r="U6" s="8">
        <f t="shared" si="1"/>
        <v>0</v>
      </c>
      <c r="V6" s="2"/>
      <c r="W6" s="40" t="s">
        <v>490</v>
      </c>
      <c r="X6" s="41" t="s">
        <v>491</v>
      </c>
    </row>
    <row r="7" spans="2:24" s="1" customFormat="1" ht="15" customHeight="1" x14ac:dyDescent="0.25">
      <c r="B7" s="1" t="s">
        <v>492</v>
      </c>
      <c r="C7" s="1" t="s">
        <v>107</v>
      </c>
      <c r="D7" s="1" t="s">
        <v>108</v>
      </c>
      <c r="E7" t="s">
        <v>493</v>
      </c>
      <c r="F7" t="s">
        <v>494</v>
      </c>
      <c r="G7" t="s">
        <v>495</v>
      </c>
      <c r="H7" t="s">
        <v>460</v>
      </c>
      <c r="I7" t="s">
        <v>496</v>
      </c>
      <c r="J7" t="s">
        <v>479</v>
      </c>
      <c r="K7" t="s">
        <v>469</v>
      </c>
      <c r="L7"/>
      <c r="M7">
        <v>15</v>
      </c>
      <c r="N7" t="s">
        <v>497</v>
      </c>
      <c r="O7" t="s">
        <v>498</v>
      </c>
      <c r="P7">
        <v>40</v>
      </c>
      <c r="Q7" s="7">
        <v>1007</v>
      </c>
      <c r="R7" s="27">
        <f t="shared" si="0"/>
        <v>1003</v>
      </c>
      <c r="S7" s="27">
        <f>IF(SUM(COUNTIFS('10_07_10_13'!E:E,'10_07_10_13 Acc Rate'!C7,'10_07_10_13'!O:O,"*M*"),COUNTIFS('10_07_10_13'!E:E,'10_07_10_13 Acc Rate'!C7,'10_07_10_13'!R:R,"*M*"))=0,"",SUM(COUNTIFS('10_07_10_13'!E:E,'10_07_10_13 Acc Rate'!C7,'10_07_10_13'!O:O,"*M*"),COUNTIFS('10_07_10_13'!E:E,'10_07_10_13 Acc Rate'!C7,'10_07_10_13'!R:R,"*M*")))</f>
        <v>2</v>
      </c>
      <c r="T7" s="1">
        <f>IF(SUM(COUNTIFS('10_07_10_13'!E:E,'10_07_10_13 Acc Rate'!C7,'10_07_10_13'!P:P,"*E*"),COUNTIFS('10_07_10_13'!E:E,'10_07_10_13 Acc Rate'!C7,'10_07_10_13'!S:S,"*E*"))=0,"",SUM(COUNTIFS('10_07_10_13'!E:E,'10_07_10_13 Acc Rate'!C7,'10_07_10_13'!P:P,"*E*"),COUNTIFS('10_07_10_13'!E:E,'10_07_10_13 Acc Rate'!C7,'10_07_10_13'!S:S,"*E*")))</f>
        <v>2</v>
      </c>
      <c r="U7" s="8">
        <f t="shared" si="1"/>
        <v>1.9860973187686197E-2</v>
      </c>
      <c r="V7" s="2"/>
      <c r="W7" s="84" t="s">
        <v>499</v>
      </c>
      <c r="X7" s="84"/>
    </row>
    <row r="8" spans="2:24" s="1" customFormat="1" ht="15" customHeight="1" x14ac:dyDescent="0.25">
      <c r="B8" s="1" t="s">
        <v>500</v>
      </c>
      <c r="C8" s="1" t="s">
        <v>176</v>
      </c>
      <c r="D8" s="1" t="s">
        <v>177</v>
      </c>
      <c r="E8" t="s">
        <v>501</v>
      </c>
      <c r="F8" t="s">
        <v>168</v>
      </c>
      <c r="G8" t="s">
        <v>502</v>
      </c>
      <c r="H8" t="s">
        <v>460</v>
      </c>
      <c r="I8" t="s">
        <v>503</v>
      </c>
      <c r="J8" t="s">
        <v>479</v>
      </c>
      <c r="K8" t="s">
        <v>469</v>
      </c>
      <c r="L8"/>
      <c r="M8">
        <v>15</v>
      </c>
      <c r="N8" t="s">
        <v>504</v>
      </c>
      <c r="O8">
        <v>182</v>
      </c>
      <c r="P8">
        <v>40</v>
      </c>
      <c r="Q8" s="7">
        <v>916</v>
      </c>
      <c r="R8" s="27">
        <f t="shared" si="0"/>
        <v>916</v>
      </c>
      <c r="S8" s="27" t="str">
        <f>IF(SUM(COUNTIFS('10_07_10_13'!E:E,'10_07_10_13 Acc Rate'!C8,'10_07_10_13'!O:O,"*M*"),COUNTIFS('10_07_10_13'!E:E,'10_07_10_13 Acc Rate'!C8,'10_07_10_13'!R:R,"*M*"))=0,"",SUM(COUNTIFS('10_07_10_13'!E:E,'10_07_10_13 Acc Rate'!C8,'10_07_10_13'!O:O,"*M*"),COUNTIFS('10_07_10_13'!E:E,'10_07_10_13 Acc Rate'!C8,'10_07_10_13'!R:R,"*M*")))</f>
        <v/>
      </c>
      <c r="T8" s="1" t="str">
        <f>IF(SUM(COUNTIFS('10_07_10_13'!E:E,'10_07_10_13 Acc Rate'!C8,'10_07_10_13'!P:P,"*E*"),COUNTIFS('10_07_10_13'!E:E,'10_07_10_13 Acc Rate'!C8,'10_07_10_13'!S:S,"*E*"))=0,"",SUM(COUNTIFS('10_07_10_13'!E:E,'10_07_10_13 Acc Rate'!C8,'10_07_10_13'!P:P,"*E*"),COUNTIFS('10_07_10_13'!E:E,'10_07_10_13 Acc Rate'!C8,'10_07_10_13'!S:S,"*E*")))</f>
        <v/>
      </c>
      <c r="U8" s="8">
        <f t="shared" si="1"/>
        <v>0</v>
      </c>
      <c r="V8" s="2"/>
      <c r="W8" s="85" t="s">
        <v>505</v>
      </c>
      <c r="X8" s="85"/>
    </row>
    <row r="9" spans="2:24" s="1" customFormat="1" ht="15" customHeight="1" x14ac:dyDescent="0.25">
      <c r="B9" s="1" t="s">
        <v>506</v>
      </c>
      <c r="C9" s="1" t="s">
        <v>208</v>
      </c>
      <c r="D9" s="1" t="s">
        <v>209</v>
      </c>
      <c r="E9" t="s">
        <v>507</v>
      </c>
      <c r="F9" t="s">
        <v>352</v>
      </c>
      <c r="G9" t="s">
        <v>508</v>
      </c>
      <c r="H9" t="s">
        <v>460</v>
      </c>
      <c r="I9" t="s">
        <v>509</v>
      </c>
      <c r="J9" t="s">
        <v>479</v>
      </c>
      <c r="K9" t="s">
        <v>469</v>
      </c>
      <c r="L9" t="s">
        <v>510</v>
      </c>
      <c r="M9">
        <v>15</v>
      </c>
      <c r="N9" t="s">
        <v>511</v>
      </c>
      <c r="O9">
        <v>32</v>
      </c>
      <c r="P9">
        <v>40</v>
      </c>
      <c r="Q9" s="7">
        <v>396</v>
      </c>
      <c r="R9" s="27">
        <f t="shared" si="0"/>
        <v>396</v>
      </c>
      <c r="S9" s="27" t="str">
        <f>IF(SUM(COUNTIFS('10_07_10_13'!E:E,'10_07_10_13 Acc Rate'!C9,'10_07_10_13'!O:O,"*M*"),COUNTIFS('10_07_10_13'!E:E,'10_07_10_13 Acc Rate'!C9,'10_07_10_13'!R:R,"*M*"))=0,"",SUM(COUNTIFS('10_07_10_13'!E:E,'10_07_10_13 Acc Rate'!C9,'10_07_10_13'!O:O,"*M*"),COUNTIFS('10_07_10_13'!E:E,'10_07_10_13 Acc Rate'!C9,'10_07_10_13'!R:R,"*M*")))</f>
        <v/>
      </c>
      <c r="T9" s="1" t="str">
        <f>IF(SUM(COUNTIFS('10_07_10_13'!E:E,'10_07_10_13 Acc Rate'!C9,'10_07_10_13'!P:P,"*E*"),COUNTIFS('10_07_10_13'!E:E,'10_07_10_13 Acc Rate'!C9,'10_07_10_13'!S:S,"*E*"))=0,"",SUM(COUNTIFS('10_07_10_13'!E:E,'10_07_10_13 Acc Rate'!C9,'10_07_10_13'!P:P,"*E*"),COUNTIFS('10_07_10_13'!E:E,'10_07_10_13 Acc Rate'!C9,'10_07_10_13'!S:S,"*E*")))</f>
        <v/>
      </c>
      <c r="U9" s="8">
        <f t="shared" si="1"/>
        <v>0</v>
      </c>
      <c r="V9" s="2"/>
    </row>
    <row r="10" spans="2:24" s="1" customFormat="1" ht="15" customHeight="1" x14ac:dyDescent="0.25">
      <c r="B10" s="1" t="s">
        <v>512</v>
      </c>
      <c r="C10" s="1" t="s">
        <v>371</v>
      </c>
      <c r="D10" s="1" t="s">
        <v>372</v>
      </c>
      <c r="E10" t="s">
        <v>513</v>
      </c>
      <c r="F10" t="s">
        <v>34</v>
      </c>
      <c r="G10" t="s">
        <v>514</v>
      </c>
      <c r="H10" t="s">
        <v>460</v>
      </c>
      <c r="I10" t="s">
        <v>515</v>
      </c>
      <c r="J10" t="s">
        <v>470</v>
      </c>
      <c r="K10"/>
      <c r="L10" t="s">
        <v>516</v>
      </c>
      <c r="M10">
        <v>15</v>
      </c>
      <c r="N10" t="s">
        <v>517</v>
      </c>
      <c r="O10">
        <v>132</v>
      </c>
      <c r="P10">
        <v>40</v>
      </c>
      <c r="Q10" s="7">
        <v>450</v>
      </c>
      <c r="R10" s="27">
        <f t="shared" si="0"/>
        <v>450</v>
      </c>
      <c r="S10" s="27" t="str">
        <f>IF(SUM(COUNTIFS('10_07_10_13'!E:E,'10_07_10_13 Acc Rate'!C10,'10_07_10_13'!O:O,"*M*"),COUNTIFS('10_07_10_13'!E:E,'10_07_10_13 Acc Rate'!C10,'10_07_10_13'!R:R,"*M*"))=0,"",SUM(COUNTIFS('10_07_10_13'!E:E,'10_07_10_13 Acc Rate'!C10,'10_07_10_13'!O:O,"*M*"),COUNTIFS('10_07_10_13'!E:E,'10_07_10_13 Acc Rate'!C10,'10_07_10_13'!R:R,"*M*")))</f>
        <v/>
      </c>
      <c r="T10" s="1" t="str">
        <f>IF(SUM(COUNTIFS('10_07_10_13'!E:E,'10_07_10_13 Acc Rate'!C10,'10_07_10_13'!P:P,"*E*"),COUNTIFS('10_07_10_13'!E:E,'10_07_10_13 Acc Rate'!C10,'10_07_10_13'!S:S,"*E*"))=0,"",SUM(COUNTIFS('10_07_10_13'!E:E,'10_07_10_13 Acc Rate'!C10,'10_07_10_13'!P:P,"*E*"),COUNTIFS('10_07_10_13'!E:E,'10_07_10_13 Acc Rate'!C10,'10_07_10_13'!S:S,"*E*")))</f>
        <v/>
      </c>
      <c r="U10" s="8">
        <f t="shared" si="1"/>
        <v>0</v>
      </c>
      <c r="V10" s="2"/>
    </row>
    <row r="11" spans="2:24" s="1" customFormat="1" ht="15" customHeight="1" x14ac:dyDescent="0.25">
      <c r="B11" s="1" t="s">
        <v>518</v>
      </c>
      <c r="C11" s="1" t="s">
        <v>296</v>
      </c>
      <c r="D11" s="1" t="s">
        <v>297</v>
      </c>
      <c r="E11" t="s">
        <v>519</v>
      </c>
      <c r="F11" t="s">
        <v>520</v>
      </c>
      <c r="G11" t="s">
        <v>521</v>
      </c>
      <c r="H11" t="s">
        <v>460</v>
      </c>
      <c r="I11" t="s">
        <v>522</v>
      </c>
      <c r="J11" t="s">
        <v>523</v>
      </c>
      <c r="K11" t="s">
        <v>515</v>
      </c>
      <c r="L11"/>
      <c r="M11">
        <v>15</v>
      </c>
      <c r="N11" t="s">
        <v>524</v>
      </c>
      <c r="O11">
        <v>719</v>
      </c>
      <c r="P11">
        <v>40</v>
      </c>
      <c r="Q11" s="7">
        <v>521</v>
      </c>
      <c r="R11" s="27">
        <f t="shared" si="0"/>
        <v>521</v>
      </c>
      <c r="S11" s="27" t="str">
        <f>IF(SUM(COUNTIFS('10_07_10_13'!E:E,'10_07_10_13 Acc Rate'!C11,'10_07_10_13'!O:O,"*M*"),COUNTIFS('10_07_10_13'!E:E,'10_07_10_13 Acc Rate'!C11,'10_07_10_13'!R:R,"*M*"))=0,"",SUM(COUNTIFS('10_07_10_13'!E:E,'10_07_10_13 Acc Rate'!C11,'10_07_10_13'!O:O,"*M*"),COUNTIFS('10_07_10_13'!E:E,'10_07_10_13 Acc Rate'!C11,'10_07_10_13'!R:R,"*M*")))</f>
        <v/>
      </c>
      <c r="T11" s="1" t="str">
        <f>IF(SUM(COUNTIFS('10_07_10_13'!E:E,'10_07_10_13 Acc Rate'!C11,'10_07_10_13'!P:P,"*E*"),COUNTIFS('10_07_10_13'!E:E,'10_07_10_13 Acc Rate'!C11,'10_07_10_13'!S:S,"*E*"))=0,"",SUM(COUNTIFS('10_07_10_13'!E:E,'10_07_10_13 Acc Rate'!C11,'10_07_10_13'!P:P,"*E*"),COUNTIFS('10_07_10_13'!E:E,'10_07_10_13 Acc Rate'!C11,'10_07_10_13'!S:S,"*E*")))</f>
        <v/>
      </c>
      <c r="U11" s="8">
        <f t="shared" si="1"/>
        <v>0</v>
      </c>
      <c r="V11" s="2"/>
    </row>
    <row r="12" spans="2:24" s="1" customFormat="1" ht="15" customHeight="1" x14ac:dyDescent="0.25">
      <c r="B12" s="1" t="s">
        <v>525</v>
      </c>
      <c r="C12" s="1" t="s">
        <v>277</v>
      </c>
      <c r="D12" s="1" t="s">
        <v>278</v>
      </c>
      <c r="E12" t="s">
        <v>526</v>
      </c>
      <c r="F12" t="s">
        <v>527</v>
      </c>
      <c r="G12" t="s">
        <v>528</v>
      </c>
      <c r="H12" t="s">
        <v>460</v>
      </c>
      <c r="I12" t="s">
        <v>529</v>
      </c>
      <c r="J12" t="s">
        <v>523</v>
      </c>
      <c r="K12" t="s">
        <v>515</v>
      </c>
      <c r="L12"/>
      <c r="M12">
        <v>15</v>
      </c>
      <c r="N12" t="s">
        <v>530</v>
      </c>
      <c r="O12">
        <v>219</v>
      </c>
      <c r="P12">
        <v>25</v>
      </c>
      <c r="Q12" s="7">
        <v>196</v>
      </c>
      <c r="R12" s="27">
        <f t="shared" si="0"/>
        <v>196</v>
      </c>
      <c r="S12" s="27" t="str">
        <f>IF(SUM(COUNTIFS('10_07_10_13'!E:E,'10_07_10_13 Acc Rate'!C12,'10_07_10_13'!O:O,"*M*"),COUNTIFS('10_07_10_13'!E:E,'10_07_10_13 Acc Rate'!C12,'10_07_10_13'!R:R,"*M*"))=0,"",SUM(COUNTIFS('10_07_10_13'!E:E,'10_07_10_13 Acc Rate'!C12,'10_07_10_13'!O:O,"*M*"),COUNTIFS('10_07_10_13'!E:E,'10_07_10_13 Acc Rate'!C12,'10_07_10_13'!R:R,"*M*")))</f>
        <v/>
      </c>
      <c r="T12" s="1" t="str">
        <f>IF(SUM(COUNTIFS('10_07_10_13'!E:E,'10_07_10_13 Acc Rate'!C12,'10_07_10_13'!P:P,"*E*"),COUNTIFS('10_07_10_13'!E:E,'10_07_10_13 Acc Rate'!C12,'10_07_10_13'!S:S,"*E*"))=0,"",SUM(COUNTIFS('10_07_10_13'!E:E,'10_07_10_13 Acc Rate'!C12,'10_07_10_13'!P:P,"*E*"),COUNTIFS('10_07_10_13'!E:E,'10_07_10_13 Acc Rate'!C12,'10_07_10_13'!S:S,"*E*")))</f>
        <v/>
      </c>
      <c r="U12" s="8">
        <f t="shared" si="1"/>
        <v>0</v>
      </c>
      <c r="V12" s="2"/>
    </row>
    <row r="13" spans="2:24" s="1" customFormat="1" ht="15" customHeight="1" x14ac:dyDescent="0.25">
      <c r="B13" s="1" t="s">
        <v>531</v>
      </c>
      <c r="C13" s="1" t="s">
        <v>325</v>
      </c>
      <c r="D13" s="1" t="s">
        <v>278</v>
      </c>
      <c r="E13" t="s">
        <v>532</v>
      </c>
      <c r="F13" t="s">
        <v>244</v>
      </c>
      <c r="G13" t="s">
        <v>533</v>
      </c>
      <c r="H13" t="s">
        <v>460</v>
      </c>
      <c r="I13" t="s">
        <v>534</v>
      </c>
      <c r="J13" t="s">
        <v>523</v>
      </c>
      <c r="K13" t="s">
        <v>515</v>
      </c>
      <c r="L13" t="s">
        <v>535</v>
      </c>
      <c r="M13">
        <v>15</v>
      </c>
      <c r="N13" t="s">
        <v>536</v>
      </c>
      <c r="O13">
        <v>142</v>
      </c>
      <c r="P13">
        <v>25</v>
      </c>
      <c r="Q13" s="7">
        <v>105</v>
      </c>
      <c r="R13" s="27">
        <f t="shared" si="0"/>
        <v>105</v>
      </c>
      <c r="S13" s="27" t="str">
        <f>IF(SUM(COUNTIFS('10_07_10_13'!E:E,'10_07_10_13 Acc Rate'!C13,'10_07_10_13'!O:O,"*M*"),COUNTIFS('10_07_10_13'!E:E,'10_07_10_13 Acc Rate'!C13,'10_07_10_13'!R:R,"*M*"))=0,"",SUM(COUNTIFS('10_07_10_13'!E:E,'10_07_10_13 Acc Rate'!C13,'10_07_10_13'!O:O,"*M*"),COUNTIFS('10_07_10_13'!E:E,'10_07_10_13 Acc Rate'!C13,'10_07_10_13'!R:R,"*M*")))</f>
        <v/>
      </c>
      <c r="T13" s="1" t="str">
        <f>IF(SUM(COUNTIFS('10_07_10_13'!E:E,'10_07_10_13 Acc Rate'!C13,'10_07_10_13'!P:P,"*E*"),COUNTIFS('10_07_10_13'!E:E,'10_07_10_13 Acc Rate'!C13,'10_07_10_13'!S:S,"*E*"))=0,"",SUM(COUNTIFS('10_07_10_13'!E:E,'10_07_10_13 Acc Rate'!C13,'10_07_10_13'!P:P,"*E*"),COUNTIFS('10_07_10_13'!E:E,'10_07_10_13 Acc Rate'!C13,'10_07_10_13'!S:S,"*E*")))</f>
        <v/>
      </c>
      <c r="U13" s="8">
        <f t="shared" si="1"/>
        <v>0</v>
      </c>
      <c r="V13" s="2"/>
    </row>
    <row r="14" spans="2:24" s="1" customFormat="1" ht="15" customHeight="1" x14ac:dyDescent="0.25">
      <c r="B14" s="1" t="s">
        <v>537</v>
      </c>
      <c r="C14" s="1" t="s">
        <v>64</v>
      </c>
      <c r="D14" s="1" t="s">
        <v>65</v>
      </c>
      <c r="E14" t="s">
        <v>538</v>
      </c>
      <c r="F14" t="s">
        <v>114</v>
      </c>
      <c r="G14" t="s">
        <v>539</v>
      </c>
      <c r="H14" t="s">
        <v>460</v>
      </c>
      <c r="I14" t="s">
        <v>540</v>
      </c>
      <c r="J14" t="s">
        <v>523</v>
      </c>
      <c r="K14" t="s">
        <v>515</v>
      </c>
      <c r="L14"/>
      <c r="M14">
        <v>15</v>
      </c>
      <c r="N14" t="s">
        <v>541</v>
      </c>
      <c r="O14">
        <v>716</v>
      </c>
      <c r="P14">
        <v>25</v>
      </c>
      <c r="Q14" s="7">
        <v>110</v>
      </c>
      <c r="R14" s="27">
        <f t="shared" si="0"/>
        <v>110</v>
      </c>
      <c r="S14" s="27" t="str">
        <f>IF(SUM(COUNTIFS('10_07_10_13'!E:E,'10_07_10_13 Acc Rate'!C14,'10_07_10_13'!O:O,"*M*"),COUNTIFS('10_07_10_13'!E:E,'10_07_10_13 Acc Rate'!C14,'10_07_10_13'!R:R,"*M*"))=0,"",SUM(COUNTIFS('10_07_10_13'!E:E,'10_07_10_13 Acc Rate'!C14,'10_07_10_13'!O:O,"*M*"),COUNTIFS('10_07_10_13'!E:E,'10_07_10_13 Acc Rate'!C14,'10_07_10_13'!R:R,"*M*")))</f>
        <v/>
      </c>
      <c r="T14" s="1" t="str">
        <f>IF(SUM(COUNTIFS('10_07_10_13'!E:E,'10_07_10_13 Acc Rate'!C14,'10_07_10_13'!P:P,"*E*"),COUNTIFS('10_07_10_13'!E:E,'10_07_10_13 Acc Rate'!C14,'10_07_10_13'!S:S,"*E*"))=0,"",SUM(COUNTIFS('10_07_10_13'!E:E,'10_07_10_13 Acc Rate'!C14,'10_07_10_13'!P:P,"*E*"),COUNTIFS('10_07_10_13'!E:E,'10_07_10_13 Acc Rate'!C14,'10_07_10_13'!S:S,"*E*")))</f>
        <v/>
      </c>
      <c r="U14" s="8">
        <f t="shared" si="1"/>
        <v>0</v>
      </c>
      <c r="V14" s="2"/>
    </row>
    <row r="15" spans="2:24" ht="15" customHeight="1" x14ac:dyDescent="0.25">
      <c r="B15" s="1" t="s">
        <v>542</v>
      </c>
      <c r="C15" s="1" t="s">
        <v>245</v>
      </c>
      <c r="D15" s="1" t="s">
        <v>246</v>
      </c>
      <c r="E15" t="s">
        <v>543</v>
      </c>
      <c r="F15" t="s">
        <v>21</v>
      </c>
      <c r="G15" t="s">
        <v>544</v>
      </c>
      <c r="H15" t="s">
        <v>460</v>
      </c>
      <c r="I15" t="s">
        <v>545</v>
      </c>
      <c r="J15" t="s">
        <v>523</v>
      </c>
      <c r="K15" t="s">
        <v>515</v>
      </c>
      <c r="L15" t="s">
        <v>546</v>
      </c>
      <c r="M15">
        <v>15</v>
      </c>
      <c r="N15" t="s">
        <v>547</v>
      </c>
      <c r="O15">
        <v>209</v>
      </c>
      <c r="P15">
        <v>40</v>
      </c>
      <c r="Q15" s="7">
        <v>350</v>
      </c>
      <c r="R15" s="27">
        <f t="shared" si="0"/>
        <v>349</v>
      </c>
      <c r="S15" s="27">
        <f>IF(SUM(COUNTIFS('10_07_10_13'!E:E,'10_07_10_13 Acc Rate'!C15,'10_07_10_13'!O:O,"*M*"),COUNTIFS('10_07_10_13'!E:E,'10_07_10_13 Acc Rate'!C15,'10_07_10_13'!R:R,"*M*"))=0,"",SUM(COUNTIFS('10_07_10_13'!E:E,'10_07_10_13 Acc Rate'!C15,'10_07_10_13'!O:O,"*M*"),COUNTIFS('10_07_10_13'!E:E,'10_07_10_13 Acc Rate'!C15,'10_07_10_13'!R:R,"*M*")))</f>
        <v>1</v>
      </c>
      <c r="T15" s="1" t="str">
        <f>IF(SUM(COUNTIFS('10_07_10_13'!E:E,'10_07_10_13 Acc Rate'!C15,'10_07_10_13'!P:P,"*E*"),COUNTIFS('10_07_10_13'!E:E,'10_07_10_13 Acc Rate'!C15,'10_07_10_13'!S:S,"*E*"))=0,"",SUM(COUNTIFS('10_07_10_13'!E:E,'10_07_10_13 Acc Rate'!C15,'10_07_10_13'!P:P,"*E*"),COUNTIFS('10_07_10_13'!E:E,'10_07_10_13 Acc Rate'!C15,'10_07_10_13'!S:S,"*E*")))</f>
        <v/>
      </c>
      <c r="U15" s="8">
        <f t="shared" si="1"/>
        <v>2.2857142857142857E-2</v>
      </c>
    </row>
    <row r="16" spans="2:24" ht="15" customHeight="1" x14ac:dyDescent="0.25">
      <c r="B16" s="1" t="s">
        <v>548</v>
      </c>
      <c r="C16" s="1" t="s">
        <v>396</v>
      </c>
      <c r="D16" s="1" t="s">
        <v>549</v>
      </c>
      <c r="E16"/>
      <c r="F16" t="s">
        <v>550</v>
      </c>
      <c r="G16" t="s">
        <v>551</v>
      </c>
      <c r="H16" t="s">
        <v>552</v>
      </c>
      <c r="I16" t="s">
        <v>553</v>
      </c>
      <c r="J16" t="s">
        <v>554</v>
      </c>
      <c r="K16"/>
      <c r="L16"/>
      <c r="M16">
        <v>6</v>
      </c>
      <c r="N16"/>
      <c r="O16"/>
      <c r="P16"/>
      <c r="Q16" s="7"/>
      <c r="R16" s="27" t="str">
        <f t="shared" si="0"/>
        <v/>
      </c>
      <c r="S16" s="27" t="str">
        <f>IF(SUM(COUNTIFS('10_07_10_13'!E:E,'10_07_10_13 Acc Rate'!C16,'10_07_10_13'!O:O,"*M*"),COUNTIFS('10_07_10_13'!E:E,'10_07_10_13 Acc Rate'!C16,'10_07_10_13'!R:R,"*M*"))=0,"",SUM(COUNTIFS('10_07_10_13'!E:E,'10_07_10_13 Acc Rate'!C16,'10_07_10_13'!O:O,"*M*"),COUNTIFS('10_07_10_13'!E:E,'10_07_10_13 Acc Rate'!C16,'10_07_10_13'!R:R,"*M*")))</f>
        <v/>
      </c>
      <c r="T16" s="1" t="str">
        <f>IF(SUM(COUNTIFS('10_07_10_13'!E:E,'10_07_10_13 Acc Rate'!C16,'10_07_10_13'!P:P,"*E*"),COUNTIFS('10_07_10_13'!E:E,'10_07_10_13 Acc Rate'!C16,'10_07_10_13'!S:S,"*E*"))=0,"",SUM(COUNTIFS('10_07_10_13'!E:E,'10_07_10_13 Acc Rate'!C16,'10_07_10_13'!P:P,"*E*"),COUNTIFS('10_07_10_13'!E:E,'10_07_10_13 Acc Rate'!C16,'10_07_10_13'!S:S,"*E*")))</f>
        <v/>
      </c>
      <c r="U16" s="8" t="str">
        <f t="shared" si="1"/>
        <v/>
      </c>
    </row>
    <row r="17" spans="2:21" ht="15" customHeight="1" x14ac:dyDescent="0.25">
      <c r="B17" s="1" t="s">
        <v>555</v>
      </c>
      <c r="C17" s="1" t="s">
        <v>556</v>
      </c>
      <c r="D17" s="1" t="s">
        <v>557</v>
      </c>
      <c r="E17"/>
      <c r="F17" t="s">
        <v>558</v>
      </c>
      <c r="G17" t="s">
        <v>559</v>
      </c>
      <c r="H17" t="s">
        <v>552</v>
      </c>
      <c r="I17" t="s">
        <v>560</v>
      </c>
      <c r="J17" t="s">
        <v>561</v>
      </c>
      <c r="K17" t="s">
        <v>553</v>
      </c>
      <c r="L17"/>
      <c r="M17">
        <v>6</v>
      </c>
      <c r="N17"/>
      <c r="O17"/>
      <c r="P17"/>
      <c r="Q17" s="7"/>
      <c r="R17" s="27" t="str">
        <f t="shared" si="0"/>
        <v/>
      </c>
      <c r="S17" s="27" t="str">
        <f>IF(SUM(COUNTIFS('10_07_10_13'!E:E,'10_07_10_13 Acc Rate'!C17,'10_07_10_13'!O:O,"*M*"),COUNTIFS('10_07_10_13'!E:E,'10_07_10_13 Acc Rate'!C17,'10_07_10_13'!R:R,"*M*"))=0,"",SUM(COUNTIFS('10_07_10_13'!E:E,'10_07_10_13 Acc Rate'!C17,'10_07_10_13'!O:O,"*M*"),COUNTIFS('10_07_10_13'!E:E,'10_07_10_13 Acc Rate'!C17,'10_07_10_13'!R:R,"*M*")))</f>
        <v/>
      </c>
      <c r="T17" s="1" t="str">
        <f>IF(SUM(COUNTIFS('10_07_10_13'!E:E,'10_07_10_13 Acc Rate'!C17,'10_07_10_13'!P:P,"*E*"),COUNTIFS('10_07_10_13'!E:E,'10_07_10_13 Acc Rate'!C17,'10_07_10_13'!S:S,"*E*"))=0,"",SUM(COUNTIFS('10_07_10_13'!E:E,'10_07_10_13 Acc Rate'!C17,'10_07_10_13'!P:P,"*E*"),COUNTIFS('10_07_10_13'!E:E,'10_07_10_13 Acc Rate'!C17,'10_07_10_13'!S:S,"*E*")))</f>
        <v/>
      </c>
      <c r="U17" s="8" t="str">
        <f t="shared" si="1"/>
        <v/>
      </c>
    </row>
    <row r="18" spans="2:21" ht="15" customHeight="1" x14ac:dyDescent="0.25">
      <c r="B18" s="1" t="s">
        <v>562</v>
      </c>
      <c r="C18" s="1" t="s">
        <v>563</v>
      </c>
      <c r="D18" s="1" t="s">
        <v>564</v>
      </c>
      <c r="E18"/>
      <c r="F18" t="s">
        <v>565</v>
      </c>
      <c r="G18" t="s">
        <v>566</v>
      </c>
      <c r="H18" t="s">
        <v>552</v>
      </c>
      <c r="I18" t="s">
        <v>567</v>
      </c>
      <c r="J18" t="s">
        <v>561</v>
      </c>
      <c r="K18" t="s">
        <v>553</v>
      </c>
      <c r="L18"/>
      <c r="M18">
        <v>6</v>
      </c>
      <c r="N18"/>
      <c r="O18"/>
      <c r="P18"/>
      <c r="Q18" s="7"/>
      <c r="R18" s="27" t="str">
        <f t="shared" si="0"/>
        <v/>
      </c>
      <c r="S18" s="27" t="str">
        <f>IF(SUM(COUNTIFS('10_07_10_13'!E:E,'10_07_10_13 Acc Rate'!C18,'10_07_10_13'!O:O,"*M*"),COUNTIFS('10_07_10_13'!E:E,'10_07_10_13 Acc Rate'!C18,'10_07_10_13'!R:R,"*M*"))=0,"",SUM(COUNTIFS('10_07_10_13'!E:E,'10_07_10_13 Acc Rate'!C18,'10_07_10_13'!O:O,"*M*"),COUNTIFS('10_07_10_13'!E:E,'10_07_10_13 Acc Rate'!C18,'10_07_10_13'!R:R,"*M*")))</f>
        <v/>
      </c>
      <c r="T18" s="1" t="str">
        <f>IF(SUM(COUNTIFS('10_07_10_13'!E:E,'10_07_10_13 Acc Rate'!C18,'10_07_10_13'!P:P,"*E*"),COUNTIFS('10_07_10_13'!E:E,'10_07_10_13 Acc Rate'!C18,'10_07_10_13'!S:S,"*E*"))=0,"",SUM(COUNTIFS('10_07_10_13'!E:E,'10_07_10_13 Acc Rate'!C18,'10_07_10_13'!P:P,"*E*"),COUNTIFS('10_07_10_13'!E:E,'10_07_10_13 Acc Rate'!C18,'10_07_10_13'!S:S,"*E*")))</f>
        <v/>
      </c>
      <c r="U18" s="8" t="str">
        <f t="shared" si="1"/>
        <v/>
      </c>
    </row>
    <row r="19" spans="2:21" ht="15" customHeight="1" x14ac:dyDescent="0.25">
      <c r="B19" s="1" t="s">
        <v>568</v>
      </c>
      <c r="C19" s="1" t="s">
        <v>569</v>
      </c>
      <c r="D19" s="1" t="s">
        <v>570</v>
      </c>
      <c r="E19"/>
      <c r="F19" t="s">
        <v>571</v>
      </c>
      <c r="G19" t="s">
        <v>572</v>
      </c>
      <c r="H19" t="s">
        <v>552</v>
      </c>
      <c r="I19" t="s">
        <v>573</v>
      </c>
      <c r="J19" t="s">
        <v>561</v>
      </c>
      <c r="K19" t="s">
        <v>553</v>
      </c>
      <c r="L19"/>
      <c r="M19">
        <v>6</v>
      </c>
      <c r="N19"/>
      <c r="O19"/>
      <c r="P19"/>
      <c r="Q19" s="7"/>
      <c r="R19" s="27" t="str">
        <f t="shared" si="0"/>
        <v/>
      </c>
      <c r="S19" s="27" t="str">
        <f>IF(SUM(COUNTIFS('10_07_10_13'!E:E,'10_07_10_13 Acc Rate'!C19,'10_07_10_13'!O:O,"*M*"),COUNTIFS('10_07_10_13'!E:E,'10_07_10_13 Acc Rate'!C19,'10_07_10_13'!R:R,"*M*"))=0,"",SUM(COUNTIFS('10_07_10_13'!E:E,'10_07_10_13 Acc Rate'!C19,'10_07_10_13'!O:O,"*M*"),COUNTIFS('10_07_10_13'!E:E,'10_07_10_13 Acc Rate'!C19,'10_07_10_13'!R:R,"*M*")))</f>
        <v/>
      </c>
      <c r="T19" s="1" t="str">
        <f>IF(SUM(COUNTIFS('10_07_10_13'!E:E,'10_07_10_13 Acc Rate'!C19,'10_07_10_13'!P:P,"*E*"),COUNTIFS('10_07_10_13'!E:E,'10_07_10_13 Acc Rate'!C19,'10_07_10_13'!S:S,"*E*"))=0,"",SUM(COUNTIFS('10_07_10_13'!E:E,'10_07_10_13 Acc Rate'!C19,'10_07_10_13'!P:P,"*E*"),COUNTIFS('10_07_10_13'!E:E,'10_07_10_13 Acc Rate'!C19,'10_07_10_13'!S:S,"*E*")))</f>
        <v/>
      </c>
      <c r="U19" s="8" t="str">
        <f t="shared" si="1"/>
        <v/>
      </c>
    </row>
    <row r="20" spans="2:21" ht="15" customHeight="1" x14ac:dyDescent="0.25">
      <c r="B20" s="1" t="s">
        <v>574</v>
      </c>
      <c r="C20" s="1" t="s">
        <v>575</v>
      </c>
      <c r="D20" s="1" t="s">
        <v>576</v>
      </c>
      <c r="E20"/>
      <c r="F20" t="s">
        <v>577</v>
      </c>
      <c r="G20" t="s">
        <v>578</v>
      </c>
      <c r="H20" t="s">
        <v>552</v>
      </c>
      <c r="I20" t="s">
        <v>579</v>
      </c>
      <c r="J20" t="s">
        <v>561</v>
      </c>
      <c r="K20" t="s">
        <v>553</v>
      </c>
      <c r="L20"/>
      <c r="M20">
        <v>6</v>
      </c>
      <c r="N20"/>
      <c r="O20"/>
      <c r="P20"/>
      <c r="Q20" s="7"/>
      <c r="R20" s="27" t="str">
        <f t="shared" si="0"/>
        <v/>
      </c>
      <c r="S20" s="27" t="str">
        <f>IF(SUM(COUNTIFS('10_07_10_13'!E:E,'10_07_10_13 Acc Rate'!C20,'10_07_10_13'!O:O,"*M*"),COUNTIFS('10_07_10_13'!E:E,'10_07_10_13 Acc Rate'!C20,'10_07_10_13'!R:R,"*M*"))=0,"",SUM(COUNTIFS('10_07_10_13'!E:E,'10_07_10_13 Acc Rate'!C20,'10_07_10_13'!O:O,"*M*"),COUNTIFS('10_07_10_13'!E:E,'10_07_10_13 Acc Rate'!C20,'10_07_10_13'!R:R,"*M*")))</f>
        <v/>
      </c>
      <c r="T20" s="1" t="str">
        <f>IF(SUM(COUNTIFS('10_07_10_13'!E:E,'10_07_10_13 Acc Rate'!C20,'10_07_10_13'!P:P,"*E*"),COUNTIFS('10_07_10_13'!E:E,'10_07_10_13 Acc Rate'!C20,'10_07_10_13'!S:S,"*E*"))=0,"",SUM(COUNTIFS('10_07_10_13'!E:E,'10_07_10_13 Acc Rate'!C20,'10_07_10_13'!P:P,"*E*"),COUNTIFS('10_07_10_13'!E:E,'10_07_10_13 Acc Rate'!C20,'10_07_10_13'!S:S,"*E*")))</f>
        <v/>
      </c>
      <c r="U20" s="8" t="str">
        <f t="shared" si="1"/>
        <v/>
      </c>
    </row>
    <row r="21" spans="2:21" ht="15" customHeight="1" x14ac:dyDescent="0.25">
      <c r="B21" s="1" t="s">
        <v>580</v>
      </c>
      <c r="C21" s="1" t="s">
        <v>316</v>
      </c>
      <c r="D21" s="1" t="s">
        <v>581</v>
      </c>
      <c r="E21"/>
      <c r="F21" t="s">
        <v>565</v>
      </c>
      <c r="G21" t="s">
        <v>582</v>
      </c>
      <c r="H21" t="s">
        <v>583</v>
      </c>
      <c r="I21" t="s">
        <v>584</v>
      </c>
      <c r="J21" t="s">
        <v>585</v>
      </c>
      <c r="K21"/>
      <c r="L21"/>
      <c r="M21">
        <v>1</v>
      </c>
      <c r="N21"/>
      <c r="O21"/>
      <c r="P21"/>
      <c r="Q21" s="7"/>
      <c r="R21" s="27" t="str">
        <f t="shared" si="0"/>
        <v/>
      </c>
      <c r="S21" s="27" t="str">
        <f>IF(SUM(COUNTIFS('10_07_10_13'!E:E,'10_07_10_13 Acc Rate'!C21,'10_07_10_13'!O:O,"*M*"),COUNTIFS('10_07_10_13'!E:E,'10_07_10_13 Acc Rate'!C21,'10_07_10_13'!R:R,"*M*"))=0,"",SUM(COUNTIFS('10_07_10_13'!E:E,'10_07_10_13 Acc Rate'!C21,'10_07_10_13'!O:O,"*M*"),COUNTIFS('10_07_10_13'!E:E,'10_07_10_13 Acc Rate'!C21,'10_07_10_13'!R:R,"*M*")))</f>
        <v/>
      </c>
      <c r="T21" s="1" t="str">
        <f>IF(SUM(COUNTIFS('10_07_10_13'!E:E,'10_07_10_13 Acc Rate'!C21,'10_07_10_13'!P:P,"*E*"),COUNTIFS('10_07_10_13'!E:E,'10_07_10_13 Acc Rate'!C21,'10_07_10_13'!S:S,"*E*"))=0,"",SUM(COUNTIFS('10_07_10_13'!E:E,'10_07_10_13 Acc Rate'!C21,'10_07_10_13'!P:P,"*E*"),COUNTIFS('10_07_10_13'!E:E,'10_07_10_13 Acc Rate'!C21,'10_07_10_13'!S:S,"*E*")))</f>
        <v/>
      </c>
      <c r="U21" s="8" t="str">
        <f t="shared" si="1"/>
        <v/>
      </c>
    </row>
    <row r="22" spans="2:21" ht="15" customHeight="1" x14ac:dyDescent="0.25">
      <c r="B22" s="1" t="s">
        <v>586</v>
      </c>
      <c r="C22" s="1" t="s">
        <v>587</v>
      </c>
      <c r="D22" s="1" t="s">
        <v>588</v>
      </c>
      <c r="E22"/>
      <c r="F22" t="s">
        <v>589</v>
      </c>
      <c r="G22" t="s">
        <v>590</v>
      </c>
      <c r="H22" t="s">
        <v>583</v>
      </c>
      <c r="I22" t="s">
        <v>591</v>
      </c>
      <c r="J22" t="s">
        <v>592</v>
      </c>
      <c r="K22"/>
      <c r="L22"/>
      <c r="M22">
        <v>1</v>
      </c>
      <c r="N22"/>
      <c r="O22"/>
      <c r="P22"/>
      <c r="Q22" s="7"/>
      <c r="R22" s="27" t="str">
        <f t="shared" si="0"/>
        <v/>
      </c>
      <c r="S22" s="27" t="str">
        <f>IF(SUM(COUNTIFS('10_07_10_13'!E:E,'10_07_10_13 Acc Rate'!C22,'10_07_10_13'!O:O,"*M*"),COUNTIFS('10_07_10_13'!E:E,'10_07_10_13 Acc Rate'!C22,'10_07_10_13'!R:R,"*M*"))=0,"",SUM(COUNTIFS('10_07_10_13'!E:E,'10_07_10_13 Acc Rate'!C22,'10_07_10_13'!O:O,"*M*"),COUNTIFS('10_07_10_13'!E:E,'10_07_10_13 Acc Rate'!C22,'10_07_10_13'!R:R,"*M*")))</f>
        <v/>
      </c>
      <c r="T22" s="1" t="str">
        <f>IF(SUM(COUNTIFS('10_07_10_13'!E:E,'10_07_10_13 Acc Rate'!C22,'10_07_10_13'!P:P,"*E*"),COUNTIFS('10_07_10_13'!E:E,'10_07_10_13 Acc Rate'!C22,'10_07_10_13'!S:S,"*E*"))=0,"",SUM(COUNTIFS('10_07_10_13'!E:E,'10_07_10_13 Acc Rate'!C22,'10_07_10_13'!P:P,"*E*"),COUNTIFS('10_07_10_13'!E:E,'10_07_10_13 Acc Rate'!C22,'10_07_10_13'!S:S,"*E*")))</f>
        <v/>
      </c>
      <c r="U22" s="8" t="str">
        <f t="shared" si="1"/>
        <v/>
      </c>
    </row>
    <row r="23" spans="2:21" s="1" customFormat="1" ht="15" customHeight="1" x14ac:dyDescent="0.25">
      <c r="B23" s="1" t="s">
        <v>593</v>
      </c>
      <c r="C23" s="1" t="s">
        <v>169</v>
      </c>
      <c r="D23" s="1" t="s">
        <v>170</v>
      </c>
      <c r="E23"/>
      <c r="F23" t="s">
        <v>594</v>
      </c>
      <c r="G23" t="s">
        <v>595</v>
      </c>
      <c r="H23" t="s">
        <v>583</v>
      </c>
      <c r="I23" t="s">
        <v>596</v>
      </c>
      <c r="J23" t="s">
        <v>592</v>
      </c>
      <c r="K23"/>
      <c r="L23"/>
      <c r="M23">
        <v>1</v>
      </c>
      <c r="N23"/>
      <c r="O23"/>
      <c r="P23"/>
      <c r="Q23" s="7"/>
      <c r="R23" s="27" t="str">
        <f t="shared" si="0"/>
        <v/>
      </c>
      <c r="S23" s="27" t="str">
        <f>IF(SUM(COUNTIFS('10_07_10_13'!E:E,'10_07_10_13 Acc Rate'!C23,'10_07_10_13'!O:O,"*M*"),COUNTIFS('10_07_10_13'!E:E,'10_07_10_13 Acc Rate'!C23,'10_07_10_13'!R:R,"*M*"))=0,"",SUM(COUNTIFS('10_07_10_13'!E:E,'10_07_10_13 Acc Rate'!C23,'10_07_10_13'!O:O,"*M*"),COUNTIFS('10_07_10_13'!E:E,'10_07_10_13 Acc Rate'!C23,'10_07_10_13'!R:R,"*M*")))</f>
        <v/>
      </c>
      <c r="T23" s="1" t="str">
        <f>IF(SUM(COUNTIFS('10_07_10_13'!E:E,'10_07_10_13 Acc Rate'!C23,'10_07_10_13'!P:P,"*E*"),COUNTIFS('10_07_10_13'!E:E,'10_07_10_13 Acc Rate'!C23,'10_07_10_13'!S:S,"*E*"))=0,"",SUM(COUNTIFS('10_07_10_13'!E:E,'10_07_10_13 Acc Rate'!C23,'10_07_10_13'!P:P,"*E*"),COUNTIFS('10_07_10_13'!E:E,'10_07_10_13 Acc Rate'!C23,'10_07_10_13'!S:S,"*E*")))</f>
        <v/>
      </c>
      <c r="U23" s="9" t="str">
        <f t="shared" si="1"/>
        <v/>
      </c>
    </row>
    <row r="24" spans="2:21" s="1" customFormat="1" ht="15" customHeight="1" x14ac:dyDescent="0.25">
      <c r="B24" s="1" t="s">
        <v>597</v>
      </c>
      <c r="C24" s="1" t="s">
        <v>423</v>
      </c>
      <c r="D24" s="1" t="s">
        <v>424</v>
      </c>
      <c r="E24"/>
      <c r="F24" t="s">
        <v>598</v>
      </c>
      <c r="G24" t="s">
        <v>599</v>
      </c>
      <c r="H24" t="s">
        <v>583</v>
      </c>
      <c r="I24" t="s">
        <v>600</v>
      </c>
      <c r="J24" t="s">
        <v>601</v>
      </c>
      <c r="K24"/>
      <c r="L24"/>
      <c r="M24">
        <v>1</v>
      </c>
      <c r="N24"/>
      <c r="O24"/>
      <c r="P24"/>
      <c r="Q24" s="7"/>
      <c r="R24" s="27" t="str">
        <f t="shared" si="0"/>
        <v/>
      </c>
      <c r="S24" s="27" t="str">
        <f>IF(SUM(COUNTIFS('10_07_10_13'!E:E,'10_07_10_13 Acc Rate'!C24,'10_07_10_13'!O:O,"*M*"),COUNTIFS('10_07_10_13'!E:E,'10_07_10_13 Acc Rate'!C24,'10_07_10_13'!R:R,"*M*"))=0,"",SUM(COUNTIFS('10_07_10_13'!E:E,'10_07_10_13 Acc Rate'!C24,'10_07_10_13'!O:O,"*M*"),COUNTIFS('10_07_10_13'!E:E,'10_07_10_13 Acc Rate'!C24,'10_07_10_13'!R:R,"*M*")))</f>
        <v/>
      </c>
      <c r="T24" s="1" t="str">
        <f>IF(SUM(COUNTIFS('10_07_10_13'!E:E,'10_07_10_13 Acc Rate'!C24,'10_07_10_13'!P:P,"*E*"),COUNTIFS('10_07_10_13'!E:E,'10_07_10_13 Acc Rate'!C24,'10_07_10_13'!S:S,"*E*"))=0,"",SUM(COUNTIFS('10_07_10_13'!E:E,'10_07_10_13 Acc Rate'!C24,'10_07_10_13'!P:P,"*E*"),COUNTIFS('10_07_10_13'!E:E,'10_07_10_13 Acc Rate'!C24,'10_07_10_13'!S:S,"*E*")))</f>
        <v/>
      </c>
      <c r="U24" s="9" t="str">
        <f t="shared" si="1"/>
        <v/>
      </c>
    </row>
    <row r="25" spans="2:21" s="1" customFormat="1" ht="15" customHeight="1" x14ac:dyDescent="0.25">
      <c r="B25" s="1" t="s">
        <v>602</v>
      </c>
      <c r="C25" s="1" t="s">
        <v>603</v>
      </c>
      <c r="D25" s="1" t="s">
        <v>604</v>
      </c>
      <c r="E25"/>
      <c r="F25" t="s">
        <v>565</v>
      </c>
      <c r="G25" t="s">
        <v>605</v>
      </c>
      <c r="H25" t="s">
        <v>583</v>
      </c>
      <c r="I25" t="s">
        <v>606</v>
      </c>
      <c r="J25" t="s">
        <v>607</v>
      </c>
      <c r="K25"/>
      <c r="L25"/>
      <c r="M25">
        <v>1</v>
      </c>
      <c r="N25"/>
      <c r="O25"/>
      <c r="P25"/>
      <c r="Q25" s="7"/>
      <c r="R25" s="27" t="str">
        <f t="shared" si="0"/>
        <v/>
      </c>
      <c r="S25" s="27" t="str">
        <f>IF(SUM(COUNTIFS('10_07_10_13'!E:E,'10_07_10_13 Acc Rate'!C25,'10_07_10_13'!O:O,"*M*"),COUNTIFS('10_07_10_13'!E:E,'10_07_10_13 Acc Rate'!C25,'10_07_10_13'!R:R,"*M*"))=0,"",SUM(COUNTIFS('10_07_10_13'!E:E,'10_07_10_13 Acc Rate'!C25,'10_07_10_13'!O:O,"*M*"),COUNTIFS('10_07_10_13'!E:E,'10_07_10_13 Acc Rate'!C25,'10_07_10_13'!R:R,"*M*")))</f>
        <v/>
      </c>
      <c r="T25" s="1" t="str">
        <f>IF(SUM(COUNTIFS('10_07_10_13'!E:E,'10_07_10_13 Acc Rate'!C25,'10_07_10_13'!P:P,"*E*"),COUNTIFS('10_07_10_13'!E:E,'10_07_10_13 Acc Rate'!C25,'10_07_10_13'!S:S,"*E*"))=0,"",SUM(COUNTIFS('10_07_10_13'!E:E,'10_07_10_13 Acc Rate'!C25,'10_07_10_13'!P:P,"*E*"),COUNTIFS('10_07_10_13'!E:E,'10_07_10_13 Acc Rate'!C25,'10_07_10_13'!S:S,"*E*")))</f>
        <v/>
      </c>
      <c r="U25" s="9" t="str">
        <f t="shared" si="1"/>
        <v/>
      </c>
    </row>
    <row r="26" spans="2:21" s="1" customFormat="1" ht="15" customHeight="1" x14ac:dyDescent="0.25">
      <c r="B26" s="1" t="s">
        <v>608</v>
      </c>
      <c r="C26" s="1" t="s">
        <v>609</v>
      </c>
      <c r="D26" s="1" t="s">
        <v>610</v>
      </c>
      <c r="E26"/>
      <c r="F26" t="s">
        <v>611</v>
      </c>
      <c r="G26" t="s">
        <v>612</v>
      </c>
      <c r="H26" t="s">
        <v>583</v>
      </c>
      <c r="I26" t="s">
        <v>613</v>
      </c>
      <c r="J26" t="s">
        <v>614</v>
      </c>
      <c r="K26" t="s">
        <v>606</v>
      </c>
      <c r="L26"/>
      <c r="M26">
        <v>1</v>
      </c>
      <c r="N26"/>
      <c r="O26"/>
      <c r="P26"/>
      <c r="Q26" s="7"/>
      <c r="R26" s="27" t="str">
        <f t="shared" si="0"/>
        <v/>
      </c>
      <c r="S26" s="27" t="str">
        <f>IF(SUM(COUNTIFS('10_07_10_13'!E:E,'10_07_10_13 Acc Rate'!C26,'10_07_10_13'!O:O,"*M*"),COUNTIFS('10_07_10_13'!E:E,'10_07_10_13 Acc Rate'!C26,'10_07_10_13'!R:R,"*M*"))=0,"",SUM(COUNTIFS('10_07_10_13'!E:E,'10_07_10_13 Acc Rate'!C26,'10_07_10_13'!O:O,"*M*"),COUNTIFS('10_07_10_13'!E:E,'10_07_10_13 Acc Rate'!C26,'10_07_10_13'!R:R,"*M*")))</f>
        <v/>
      </c>
      <c r="T26" s="1" t="str">
        <f>IF(SUM(COUNTIFS('10_07_10_13'!E:E,'10_07_10_13 Acc Rate'!C26,'10_07_10_13'!P:P,"*E*"),COUNTIFS('10_07_10_13'!E:E,'10_07_10_13 Acc Rate'!C26,'10_07_10_13'!S:S,"*E*"))=0,"",SUM(COUNTIFS('10_07_10_13'!E:E,'10_07_10_13 Acc Rate'!C26,'10_07_10_13'!P:P,"*E*"),COUNTIFS('10_07_10_13'!E:E,'10_07_10_13 Acc Rate'!C26,'10_07_10_13'!S:S,"*E*")))</f>
        <v/>
      </c>
      <c r="U26" s="9" t="str">
        <f t="shared" si="1"/>
        <v/>
      </c>
    </row>
    <row r="27" spans="2:21" s="1" customFormat="1" ht="15" customHeight="1" x14ac:dyDescent="0.25">
      <c r="B27" s="1" t="s">
        <v>615</v>
      </c>
      <c r="C27" s="1" t="s">
        <v>616</v>
      </c>
      <c r="D27" s="1" t="s">
        <v>617</v>
      </c>
      <c r="E27"/>
      <c r="F27" t="s">
        <v>618</v>
      </c>
      <c r="G27" t="s">
        <v>619</v>
      </c>
      <c r="H27" t="s">
        <v>583</v>
      </c>
      <c r="I27" t="s">
        <v>620</v>
      </c>
      <c r="J27" t="s">
        <v>614</v>
      </c>
      <c r="K27" t="s">
        <v>606</v>
      </c>
      <c r="L27"/>
      <c r="M27">
        <v>1</v>
      </c>
      <c r="N27"/>
      <c r="O27"/>
      <c r="P27"/>
      <c r="Q27" s="7">
        <v>1</v>
      </c>
      <c r="R27" s="27">
        <f t="shared" si="0"/>
        <v>1</v>
      </c>
      <c r="S27" s="27" t="str">
        <f>IF(SUM(COUNTIFS('10_07_10_13'!E:E,'10_07_10_13 Acc Rate'!C27,'10_07_10_13'!O:O,"*M*"),COUNTIFS('10_07_10_13'!E:E,'10_07_10_13 Acc Rate'!C27,'10_07_10_13'!R:R,"*M*"))=0,"",SUM(COUNTIFS('10_07_10_13'!E:E,'10_07_10_13 Acc Rate'!C27,'10_07_10_13'!O:O,"*M*"),COUNTIFS('10_07_10_13'!E:E,'10_07_10_13 Acc Rate'!C27,'10_07_10_13'!R:R,"*M*")))</f>
        <v/>
      </c>
      <c r="T27" s="1" t="str">
        <f>IF(SUM(COUNTIFS('10_07_10_13'!E:E,'10_07_10_13 Acc Rate'!C27,'10_07_10_13'!P:P,"*E*"),COUNTIFS('10_07_10_13'!E:E,'10_07_10_13 Acc Rate'!C27,'10_07_10_13'!S:S,"*E*"))=0,"",SUM(COUNTIFS('10_07_10_13'!E:E,'10_07_10_13 Acc Rate'!C27,'10_07_10_13'!P:P,"*E*"),COUNTIFS('10_07_10_13'!E:E,'10_07_10_13 Acc Rate'!C27,'10_07_10_13'!S:S,"*E*")))</f>
        <v/>
      </c>
      <c r="U27" s="9">
        <f t="shared" si="1"/>
        <v>0</v>
      </c>
    </row>
    <row r="28" spans="2:21" s="1" customFormat="1" ht="15" customHeight="1" x14ac:dyDescent="0.25">
      <c r="B28" s="1" t="s">
        <v>621</v>
      </c>
      <c r="C28" s="1" t="s">
        <v>622</v>
      </c>
      <c r="D28" s="1" t="s">
        <v>267</v>
      </c>
      <c r="E28"/>
      <c r="F28" t="s">
        <v>623</v>
      </c>
      <c r="G28" t="s">
        <v>624</v>
      </c>
      <c r="H28" t="s">
        <v>583</v>
      </c>
      <c r="I28" t="s">
        <v>625</v>
      </c>
      <c r="J28" t="s">
        <v>614</v>
      </c>
      <c r="K28" t="s">
        <v>606</v>
      </c>
      <c r="L28"/>
      <c r="M28">
        <v>1</v>
      </c>
      <c r="N28"/>
      <c r="O28"/>
      <c r="P28"/>
      <c r="Q28" s="7"/>
      <c r="R28" s="27" t="str">
        <f t="shared" si="0"/>
        <v/>
      </c>
      <c r="S28" s="27" t="str">
        <f>IF(SUM(COUNTIFS('10_07_10_13'!E:E,'10_07_10_13 Acc Rate'!C28,'10_07_10_13'!O:O,"*M*"),COUNTIFS('10_07_10_13'!E:E,'10_07_10_13 Acc Rate'!C28,'10_07_10_13'!R:R,"*M*"))=0,"",SUM(COUNTIFS('10_07_10_13'!E:E,'10_07_10_13 Acc Rate'!C28,'10_07_10_13'!O:O,"*M*"),COUNTIFS('10_07_10_13'!E:E,'10_07_10_13 Acc Rate'!C28,'10_07_10_13'!R:R,"*M*")))</f>
        <v/>
      </c>
      <c r="T28" s="1" t="str">
        <f>IF(SUM(COUNTIFS('10_07_10_13'!E:E,'10_07_10_13 Acc Rate'!C28,'10_07_10_13'!P:P,"*E*"),COUNTIFS('10_07_10_13'!E:E,'10_07_10_13 Acc Rate'!C28,'10_07_10_13'!S:S,"*E*"))=0,"",SUM(COUNTIFS('10_07_10_13'!E:E,'10_07_10_13 Acc Rate'!C28,'10_07_10_13'!P:P,"*E*"),COUNTIFS('10_07_10_13'!E:E,'10_07_10_13 Acc Rate'!C28,'10_07_10_13'!S:S,"*E*")))</f>
        <v/>
      </c>
      <c r="U28" s="8" t="str">
        <f t="shared" si="1"/>
        <v/>
      </c>
    </row>
    <row r="29" spans="2:21" s="1" customFormat="1" ht="15" customHeight="1" x14ac:dyDescent="0.25">
      <c r="B29" s="1" t="s">
        <v>626</v>
      </c>
      <c r="C29" s="1" t="s">
        <v>362</v>
      </c>
      <c r="D29" s="1" t="s">
        <v>409</v>
      </c>
      <c r="E29"/>
      <c r="F29" t="s">
        <v>627</v>
      </c>
      <c r="G29" t="s">
        <v>628</v>
      </c>
      <c r="H29" t="s">
        <v>583</v>
      </c>
      <c r="I29" t="s">
        <v>629</v>
      </c>
      <c r="J29" t="s">
        <v>614</v>
      </c>
      <c r="K29" t="s">
        <v>606</v>
      </c>
      <c r="L29"/>
      <c r="M29">
        <v>1</v>
      </c>
      <c r="N29"/>
      <c r="O29"/>
      <c r="P29"/>
      <c r="Q29" s="7">
        <v>2</v>
      </c>
      <c r="R29" s="27">
        <f t="shared" si="0"/>
        <v>2</v>
      </c>
      <c r="S29" s="27" t="str">
        <f>IF(SUM(COUNTIFS('10_07_10_13'!E:E,'10_07_10_13 Acc Rate'!C29,'10_07_10_13'!O:O,"*M*"),COUNTIFS('10_07_10_13'!E:E,'10_07_10_13 Acc Rate'!C29,'10_07_10_13'!R:R,"*M*"))=0,"",SUM(COUNTIFS('10_07_10_13'!E:E,'10_07_10_13 Acc Rate'!C29,'10_07_10_13'!O:O,"*M*"),COUNTIFS('10_07_10_13'!E:E,'10_07_10_13 Acc Rate'!C29,'10_07_10_13'!R:R,"*M*")))</f>
        <v/>
      </c>
      <c r="T29" s="1" t="str">
        <f>IF(SUM(COUNTIFS('10_07_10_13'!E:E,'10_07_10_13 Acc Rate'!C29,'10_07_10_13'!P:P,"*E*"),COUNTIFS('10_07_10_13'!E:E,'10_07_10_13 Acc Rate'!C29,'10_07_10_13'!S:S,"*E*"))=0,"",SUM(COUNTIFS('10_07_10_13'!E:E,'10_07_10_13 Acc Rate'!C29,'10_07_10_13'!P:P,"*E*"),COUNTIFS('10_07_10_13'!E:E,'10_07_10_13 Acc Rate'!C29,'10_07_10_13'!S:S,"*E*")))</f>
        <v/>
      </c>
      <c r="U29" s="9">
        <f t="shared" si="1"/>
        <v>0</v>
      </c>
    </row>
    <row r="30" spans="2:21" s="1" customFormat="1" ht="15" customHeight="1" x14ac:dyDescent="0.25">
      <c r="B30" s="1" t="s">
        <v>630</v>
      </c>
      <c r="C30" s="1" t="s">
        <v>425</v>
      </c>
      <c r="D30" s="1" t="s">
        <v>426</v>
      </c>
      <c r="E30"/>
      <c r="F30" t="s">
        <v>631</v>
      </c>
      <c r="G30" t="s">
        <v>632</v>
      </c>
      <c r="H30" t="s">
        <v>583</v>
      </c>
      <c r="I30" t="s">
        <v>633</v>
      </c>
      <c r="J30" t="s">
        <v>614</v>
      </c>
      <c r="K30" t="s">
        <v>606</v>
      </c>
      <c r="L30"/>
      <c r="M30">
        <v>15</v>
      </c>
      <c r="N30"/>
      <c r="O30"/>
      <c r="P30"/>
      <c r="Q30" s="7">
        <v>6</v>
      </c>
      <c r="R30" s="27">
        <f t="shared" si="0"/>
        <v>6</v>
      </c>
      <c r="S30" s="27" t="str">
        <f>IF(SUM(COUNTIFS('10_07_10_13'!E:E,'10_07_10_13 Acc Rate'!C30,'10_07_10_13'!O:O,"*M*"),COUNTIFS('10_07_10_13'!E:E,'10_07_10_13 Acc Rate'!C30,'10_07_10_13'!R:R,"*M*"))=0,"",SUM(COUNTIFS('10_07_10_13'!E:E,'10_07_10_13 Acc Rate'!C30,'10_07_10_13'!O:O,"*M*"),COUNTIFS('10_07_10_13'!E:E,'10_07_10_13 Acc Rate'!C30,'10_07_10_13'!R:R,"*M*")))</f>
        <v/>
      </c>
      <c r="T30" s="1" t="str">
        <f>IF(SUM(COUNTIFS('10_07_10_13'!E:E,'10_07_10_13 Acc Rate'!C30,'10_07_10_13'!P:P,"*E*"),COUNTIFS('10_07_10_13'!E:E,'10_07_10_13 Acc Rate'!C30,'10_07_10_13'!S:S,"*E*"))=0,"",SUM(COUNTIFS('10_07_10_13'!E:E,'10_07_10_13 Acc Rate'!C30,'10_07_10_13'!P:P,"*E*"),COUNTIFS('10_07_10_13'!E:E,'10_07_10_13 Acc Rate'!C30,'10_07_10_13'!S:S,"*E*")))</f>
        <v/>
      </c>
      <c r="U30" s="9">
        <f t="shared" si="1"/>
        <v>0</v>
      </c>
    </row>
    <row r="31" spans="2:21" s="1" customFormat="1" ht="15" customHeight="1" x14ac:dyDescent="0.25">
      <c r="B31" s="1" t="s">
        <v>634</v>
      </c>
      <c r="C31" s="1" t="s">
        <v>635</v>
      </c>
      <c r="D31" s="1" t="s">
        <v>636</v>
      </c>
      <c r="E31"/>
      <c r="F31" t="s">
        <v>21</v>
      </c>
      <c r="G31" t="s">
        <v>637</v>
      </c>
      <c r="H31" t="s">
        <v>583</v>
      </c>
      <c r="I31" t="s">
        <v>638</v>
      </c>
      <c r="J31" t="s">
        <v>607</v>
      </c>
      <c r="K31"/>
      <c r="L31"/>
      <c r="M31">
        <v>1</v>
      </c>
      <c r="N31"/>
      <c r="O31"/>
      <c r="P31"/>
      <c r="Q31" s="7"/>
      <c r="R31" s="27" t="str">
        <f t="shared" si="0"/>
        <v/>
      </c>
      <c r="S31" s="27" t="str">
        <f>IF(SUM(COUNTIFS('10_07_10_13'!E:E,'10_07_10_13 Acc Rate'!C31,'10_07_10_13'!O:O,"*M*"),COUNTIFS('10_07_10_13'!E:E,'10_07_10_13 Acc Rate'!C31,'10_07_10_13'!R:R,"*M*"))=0,"",SUM(COUNTIFS('10_07_10_13'!E:E,'10_07_10_13 Acc Rate'!C31,'10_07_10_13'!O:O,"*M*"),COUNTIFS('10_07_10_13'!E:E,'10_07_10_13 Acc Rate'!C31,'10_07_10_13'!R:R,"*M*")))</f>
        <v/>
      </c>
      <c r="T31" s="1" t="str">
        <f>IF(SUM(COUNTIFS('10_07_10_13'!E:E,'10_07_10_13 Acc Rate'!C31,'10_07_10_13'!P:P,"*E*"),COUNTIFS('10_07_10_13'!E:E,'10_07_10_13 Acc Rate'!C31,'10_07_10_13'!S:S,"*E*"))=0,"",SUM(COUNTIFS('10_07_10_13'!E:E,'10_07_10_13 Acc Rate'!C31,'10_07_10_13'!P:P,"*E*"),COUNTIFS('10_07_10_13'!E:E,'10_07_10_13 Acc Rate'!C31,'10_07_10_13'!S:S,"*E*")))</f>
        <v/>
      </c>
      <c r="U31" s="9" t="str">
        <f t="shared" si="1"/>
        <v/>
      </c>
    </row>
    <row r="32" spans="2:21" ht="15" customHeight="1" x14ac:dyDescent="0.25">
      <c r="B32" s="1" t="s">
        <v>639</v>
      </c>
      <c r="C32" s="1" t="s">
        <v>635</v>
      </c>
      <c r="D32" s="1" t="s">
        <v>640</v>
      </c>
      <c r="E32"/>
      <c r="F32" t="s">
        <v>641</v>
      </c>
      <c r="G32" t="s">
        <v>642</v>
      </c>
      <c r="H32" t="s">
        <v>583</v>
      </c>
      <c r="I32" t="s">
        <v>643</v>
      </c>
      <c r="J32" t="s">
        <v>607</v>
      </c>
      <c r="K32"/>
      <c r="L32"/>
      <c r="M32">
        <v>1</v>
      </c>
      <c r="N32"/>
      <c r="O32"/>
      <c r="P32"/>
      <c r="Q32" s="7">
        <v>1</v>
      </c>
      <c r="R32" s="27">
        <f t="shared" si="0"/>
        <v>1</v>
      </c>
      <c r="S32" s="27" t="str">
        <f>IF(SUM(COUNTIFS('10_07_10_13'!E:E,'10_07_10_13 Acc Rate'!C32,'10_07_10_13'!O:O,"*M*"),COUNTIFS('10_07_10_13'!E:E,'10_07_10_13 Acc Rate'!C32,'10_07_10_13'!R:R,"*M*"))=0,"",SUM(COUNTIFS('10_07_10_13'!E:E,'10_07_10_13 Acc Rate'!C32,'10_07_10_13'!O:O,"*M*"),COUNTIFS('10_07_10_13'!E:E,'10_07_10_13 Acc Rate'!C32,'10_07_10_13'!R:R,"*M*")))</f>
        <v/>
      </c>
      <c r="T32" s="1" t="str">
        <f>IF(SUM(COUNTIFS('10_07_10_13'!E:E,'10_07_10_13 Acc Rate'!C32,'10_07_10_13'!P:P,"*E*"),COUNTIFS('10_07_10_13'!E:E,'10_07_10_13 Acc Rate'!C32,'10_07_10_13'!S:S,"*E*"))=0,"",SUM(COUNTIFS('10_07_10_13'!E:E,'10_07_10_13 Acc Rate'!C32,'10_07_10_13'!P:P,"*E*"),COUNTIFS('10_07_10_13'!E:E,'10_07_10_13 Acc Rate'!C32,'10_07_10_13'!S:S,"*E*")))</f>
        <v/>
      </c>
      <c r="U32" s="8">
        <f t="shared" si="1"/>
        <v>0</v>
      </c>
    </row>
    <row r="33" spans="2:21" ht="15" customHeight="1" x14ac:dyDescent="0.25">
      <c r="B33" s="1" t="s">
        <v>644</v>
      </c>
      <c r="C33" s="1" t="s">
        <v>162</v>
      </c>
      <c r="D33" s="1" t="s">
        <v>163</v>
      </c>
      <c r="E33"/>
      <c r="F33" t="s">
        <v>645</v>
      </c>
      <c r="G33" t="s">
        <v>646</v>
      </c>
      <c r="H33" t="s">
        <v>583</v>
      </c>
      <c r="I33" t="s">
        <v>647</v>
      </c>
      <c r="J33" t="s">
        <v>648</v>
      </c>
      <c r="K33" t="s">
        <v>643</v>
      </c>
      <c r="L33"/>
      <c r="M33">
        <v>1</v>
      </c>
      <c r="N33"/>
      <c r="O33"/>
      <c r="P33"/>
      <c r="Q33" s="7">
        <v>1</v>
      </c>
      <c r="R33" s="27">
        <f t="shared" si="0"/>
        <v>1</v>
      </c>
      <c r="S33" s="27" t="str">
        <f>IF(SUM(COUNTIFS('10_07_10_13'!E:E,'10_07_10_13 Acc Rate'!C33,'10_07_10_13'!O:O,"*M*"),COUNTIFS('10_07_10_13'!E:E,'10_07_10_13 Acc Rate'!C33,'10_07_10_13'!R:R,"*M*"))=0,"",SUM(COUNTIFS('10_07_10_13'!E:E,'10_07_10_13 Acc Rate'!C33,'10_07_10_13'!O:O,"*M*"),COUNTIFS('10_07_10_13'!E:E,'10_07_10_13 Acc Rate'!C33,'10_07_10_13'!R:R,"*M*")))</f>
        <v/>
      </c>
      <c r="T33" s="1" t="str">
        <f>IF(SUM(COUNTIFS('10_07_10_13'!E:E,'10_07_10_13 Acc Rate'!C33,'10_07_10_13'!P:P,"*E*"),COUNTIFS('10_07_10_13'!E:E,'10_07_10_13 Acc Rate'!C33,'10_07_10_13'!S:S,"*E*"))=0,"",SUM(COUNTIFS('10_07_10_13'!E:E,'10_07_10_13 Acc Rate'!C33,'10_07_10_13'!P:P,"*E*"),COUNTIFS('10_07_10_13'!E:E,'10_07_10_13 Acc Rate'!C33,'10_07_10_13'!S:S,"*E*")))</f>
        <v/>
      </c>
      <c r="U33" s="8">
        <f t="shared" si="1"/>
        <v>0</v>
      </c>
    </row>
    <row r="34" spans="2:21" ht="15" customHeight="1" x14ac:dyDescent="0.25">
      <c r="B34" s="1" t="s">
        <v>649</v>
      </c>
      <c r="C34" s="1" t="s">
        <v>264</v>
      </c>
      <c r="D34" s="1" t="s">
        <v>650</v>
      </c>
      <c r="E34"/>
      <c r="F34" t="s">
        <v>651</v>
      </c>
      <c r="G34" t="s">
        <v>652</v>
      </c>
      <c r="H34" t="s">
        <v>583</v>
      </c>
      <c r="I34" t="s">
        <v>653</v>
      </c>
      <c r="J34" t="s">
        <v>648</v>
      </c>
      <c r="K34" t="s">
        <v>643</v>
      </c>
      <c r="L34"/>
      <c r="M34">
        <v>1</v>
      </c>
      <c r="N34"/>
      <c r="O34"/>
      <c r="P34"/>
      <c r="Q34" s="7"/>
      <c r="R34" s="27" t="str">
        <f t="shared" si="0"/>
        <v/>
      </c>
      <c r="S34" s="27" t="str">
        <f>IF(SUM(COUNTIFS('10_07_10_13'!E:E,'10_07_10_13 Acc Rate'!C34,'10_07_10_13'!O:O,"*M*"),COUNTIFS('10_07_10_13'!E:E,'10_07_10_13 Acc Rate'!C34,'10_07_10_13'!R:R,"*M*"))=0,"",SUM(COUNTIFS('10_07_10_13'!E:E,'10_07_10_13 Acc Rate'!C34,'10_07_10_13'!O:O,"*M*"),COUNTIFS('10_07_10_13'!E:E,'10_07_10_13 Acc Rate'!C34,'10_07_10_13'!R:R,"*M*")))</f>
        <v/>
      </c>
      <c r="T34" s="1" t="str">
        <f>IF(SUM(COUNTIFS('10_07_10_13'!E:E,'10_07_10_13 Acc Rate'!C34,'10_07_10_13'!P:P,"*E*"),COUNTIFS('10_07_10_13'!E:E,'10_07_10_13 Acc Rate'!C34,'10_07_10_13'!S:S,"*E*"))=0,"",SUM(COUNTIFS('10_07_10_13'!E:E,'10_07_10_13 Acc Rate'!C34,'10_07_10_13'!P:P,"*E*"),COUNTIFS('10_07_10_13'!E:E,'10_07_10_13 Acc Rate'!C34,'10_07_10_13'!S:S,"*E*")))</f>
        <v/>
      </c>
      <c r="U34" s="8" t="str">
        <f t="shared" si="1"/>
        <v/>
      </c>
    </row>
    <row r="35" spans="2:21" ht="15" customHeight="1" x14ac:dyDescent="0.25">
      <c r="B35" s="1" t="s">
        <v>654</v>
      </c>
      <c r="C35" s="1" t="s">
        <v>417</v>
      </c>
      <c r="D35" s="1" t="s">
        <v>418</v>
      </c>
      <c r="E35"/>
      <c r="F35" t="s">
        <v>655</v>
      </c>
      <c r="G35" t="s">
        <v>656</v>
      </c>
      <c r="H35" t="s">
        <v>583</v>
      </c>
      <c r="I35" t="s">
        <v>657</v>
      </c>
      <c r="J35" t="s">
        <v>648</v>
      </c>
      <c r="K35" t="s">
        <v>643</v>
      </c>
      <c r="L35"/>
      <c r="M35">
        <v>1</v>
      </c>
      <c r="N35"/>
      <c r="O35"/>
      <c r="P35"/>
      <c r="Q35" s="7">
        <v>2</v>
      </c>
      <c r="R35" s="27">
        <f t="shared" si="0"/>
        <v>2</v>
      </c>
      <c r="S35" s="27" t="str">
        <f>IF(SUM(COUNTIFS('10_07_10_13'!E:E,'10_07_10_13 Acc Rate'!C35,'10_07_10_13'!O:O,"*M*"),COUNTIFS('10_07_10_13'!E:E,'10_07_10_13 Acc Rate'!C35,'10_07_10_13'!R:R,"*M*"))=0,"",SUM(COUNTIFS('10_07_10_13'!E:E,'10_07_10_13 Acc Rate'!C35,'10_07_10_13'!O:O,"*M*"),COUNTIFS('10_07_10_13'!E:E,'10_07_10_13 Acc Rate'!C35,'10_07_10_13'!R:R,"*M*")))</f>
        <v/>
      </c>
      <c r="T35" s="1" t="str">
        <f>IF(SUM(COUNTIFS('10_07_10_13'!E:E,'10_07_10_13 Acc Rate'!C35,'10_07_10_13'!P:P,"*E*"),COUNTIFS('10_07_10_13'!E:E,'10_07_10_13 Acc Rate'!C35,'10_07_10_13'!S:S,"*E*"))=0,"",SUM(COUNTIFS('10_07_10_13'!E:E,'10_07_10_13 Acc Rate'!C35,'10_07_10_13'!P:P,"*E*"),COUNTIFS('10_07_10_13'!E:E,'10_07_10_13 Acc Rate'!C35,'10_07_10_13'!S:S,"*E*")))</f>
        <v/>
      </c>
      <c r="U35" s="8">
        <f t="shared" si="1"/>
        <v>0</v>
      </c>
    </row>
    <row r="36" spans="2:21" ht="15" customHeight="1" x14ac:dyDescent="0.25">
      <c r="B36" s="1" t="s">
        <v>658</v>
      </c>
      <c r="C36" s="1" t="s">
        <v>659</v>
      </c>
      <c r="D36" s="1" t="s">
        <v>660</v>
      </c>
      <c r="E36"/>
      <c r="F36" t="s">
        <v>661</v>
      </c>
      <c r="G36" t="s">
        <v>662</v>
      </c>
      <c r="H36" t="s">
        <v>583</v>
      </c>
      <c r="I36" t="s">
        <v>663</v>
      </c>
      <c r="J36" t="s">
        <v>607</v>
      </c>
      <c r="K36"/>
      <c r="L36"/>
      <c r="M36">
        <v>1</v>
      </c>
      <c r="N36"/>
      <c r="O36"/>
      <c r="P36"/>
      <c r="Q36" s="7"/>
      <c r="R36" s="27" t="str">
        <f t="shared" si="0"/>
        <v/>
      </c>
      <c r="S36" s="27" t="str">
        <f>IF(SUM(COUNTIFS('10_07_10_13'!E:E,'10_07_10_13 Acc Rate'!C36,'10_07_10_13'!O:O,"*M*"),COUNTIFS('10_07_10_13'!E:E,'10_07_10_13 Acc Rate'!C36,'10_07_10_13'!R:R,"*M*"))=0,"",SUM(COUNTIFS('10_07_10_13'!E:E,'10_07_10_13 Acc Rate'!C36,'10_07_10_13'!O:O,"*M*"),COUNTIFS('10_07_10_13'!E:E,'10_07_10_13 Acc Rate'!C36,'10_07_10_13'!R:R,"*M*")))</f>
        <v/>
      </c>
      <c r="T36" s="1" t="str">
        <f>IF(SUM(COUNTIFS('10_07_10_13'!E:E,'10_07_10_13 Acc Rate'!C36,'10_07_10_13'!P:P,"*E*"),COUNTIFS('10_07_10_13'!E:E,'10_07_10_13 Acc Rate'!C36,'10_07_10_13'!S:S,"*E*"))=0,"",SUM(COUNTIFS('10_07_10_13'!E:E,'10_07_10_13 Acc Rate'!C36,'10_07_10_13'!P:P,"*E*"),COUNTIFS('10_07_10_13'!E:E,'10_07_10_13 Acc Rate'!C36,'10_07_10_13'!S:S,"*E*")))</f>
        <v/>
      </c>
      <c r="U36" s="8" t="str">
        <f t="shared" si="1"/>
        <v/>
      </c>
    </row>
    <row r="37" spans="2:21" ht="15" customHeight="1" x14ac:dyDescent="0.25">
      <c r="B37" s="1" t="s">
        <v>664</v>
      </c>
      <c r="C37" s="1" t="s">
        <v>155</v>
      </c>
      <c r="D37" s="1" t="s">
        <v>156</v>
      </c>
      <c r="E37"/>
      <c r="F37" t="s">
        <v>550</v>
      </c>
      <c r="G37" t="s">
        <v>665</v>
      </c>
      <c r="H37" t="s">
        <v>583</v>
      </c>
      <c r="I37" t="s">
        <v>666</v>
      </c>
      <c r="J37" t="s">
        <v>667</v>
      </c>
      <c r="K37" t="s">
        <v>663</v>
      </c>
      <c r="L37"/>
      <c r="M37">
        <v>1</v>
      </c>
      <c r="N37"/>
      <c r="O37"/>
      <c r="P37"/>
      <c r="Q37" s="7"/>
      <c r="R37" s="27" t="str">
        <f t="shared" si="0"/>
        <v/>
      </c>
      <c r="S37" s="27" t="str">
        <f>IF(SUM(COUNTIFS('10_07_10_13'!E:E,'10_07_10_13 Acc Rate'!C37,'10_07_10_13'!O:O,"*M*"),COUNTIFS('10_07_10_13'!E:E,'10_07_10_13 Acc Rate'!C37,'10_07_10_13'!R:R,"*M*"))=0,"",SUM(COUNTIFS('10_07_10_13'!E:E,'10_07_10_13 Acc Rate'!C37,'10_07_10_13'!O:O,"*M*"),COUNTIFS('10_07_10_13'!E:E,'10_07_10_13 Acc Rate'!C37,'10_07_10_13'!R:R,"*M*")))</f>
        <v/>
      </c>
      <c r="T37" s="1" t="str">
        <f>IF(SUM(COUNTIFS('10_07_10_13'!E:E,'10_07_10_13 Acc Rate'!C37,'10_07_10_13'!P:P,"*E*"),COUNTIFS('10_07_10_13'!E:E,'10_07_10_13 Acc Rate'!C37,'10_07_10_13'!S:S,"*E*"))=0,"",SUM(COUNTIFS('10_07_10_13'!E:E,'10_07_10_13 Acc Rate'!C37,'10_07_10_13'!P:P,"*E*"),COUNTIFS('10_07_10_13'!E:E,'10_07_10_13 Acc Rate'!C37,'10_07_10_13'!S:S,"*E*")))</f>
        <v/>
      </c>
      <c r="U37" s="8" t="str">
        <f t="shared" si="1"/>
        <v/>
      </c>
    </row>
    <row r="38" spans="2:21" ht="15" customHeight="1" x14ac:dyDescent="0.25">
      <c r="B38" s="1" t="s">
        <v>668</v>
      </c>
      <c r="C38" s="1" t="s">
        <v>669</v>
      </c>
      <c r="D38" s="1" t="s">
        <v>670</v>
      </c>
      <c r="E38"/>
      <c r="F38" t="s">
        <v>671</v>
      </c>
      <c r="G38" t="s">
        <v>672</v>
      </c>
      <c r="H38" t="s">
        <v>583</v>
      </c>
      <c r="I38" t="s">
        <v>673</v>
      </c>
      <c r="J38" t="s">
        <v>667</v>
      </c>
      <c r="K38" t="s">
        <v>663</v>
      </c>
      <c r="L38"/>
      <c r="M38">
        <v>1</v>
      </c>
      <c r="N38"/>
      <c r="O38"/>
      <c r="P38"/>
      <c r="Q38" s="7">
        <v>1</v>
      </c>
      <c r="R38" s="27">
        <f t="shared" si="0"/>
        <v>1</v>
      </c>
      <c r="S38" s="27" t="str">
        <f>IF(SUM(COUNTIFS('10_07_10_13'!E:E,'10_07_10_13 Acc Rate'!C38,'10_07_10_13'!O:O,"*M*"),COUNTIFS('10_07_10_13'!E:E,'10_07_10_13 Acc Rate'!C38,'10_07_10_13'!R:R,"*M*"))=0,"",SUM(COUNTIFS('10_07_10_13'!E:E,'10_07_10_13 Acc Rate'!C38,'10_07_10_13'!O:O,"*M*"),COUNTIFS('10_07_10_13'!E:E,'10_07_10_13 Acc Rate'!C38,'10_07_10_13'!R:R,"*M*")))</f>
        <v/>
      </c>
      <c r="T38" s="1" t="str">
        <f>IF(SUM(COUNTIFS('10_07_10_13'!E:E,'10_07_10_13 Acc Rate'!C38,'10_07_10_13'!P:P,"*E*"),COUNTIFS('10_07_10_13'!E:E,'10_07_10_13 Acc Rate'!C38,'10_07_10_13'!S:S,"*E*"))=0,"",SUM(COUNTIFS('10_07_10_13'!E:E,'10_07_10_13 Acc Rate'!C38,'10_07_10_13'!P:P,"*E*"),COUNTIFS('10_07_10_13'!E:E,'10_07_10_13 Acc Rate'!C38,'10_07_10_13'!S:S,"*E*")))</f>
        <v/>
      </c>
      <c r="U38" s="8">
        <f t="shared" si="1"/>
        <v>0</v>
      </c>
    </row>
    <row r="39" spans="2:21" ht="15" customHeight="1" x14ac:dyDescent="0.25">
      <c r="B39" s="1" t="s">
        <v>674</v>
      </c>
      <c r="C39" s="1" t="s">
        <v>411</v>
      </c>
      <c r="D39" s="1" t="s">
        <v>412</v>
      </c>
      <c r="E39"/>
      <c r="F39" t="s">
        <v>675</v>
      </c>
      <c r="G39" t="s">
        <v>676</v>
      </c>
      <c r="H39" t="s">
        <v>583</v>
      </c>
      <c r="I39" t="s">
        <v>677</v>
      </c>
      <c r="J39" t="s">
        <v>667</v>
      </c>
      <c r="K39" t="s">
        <v>663</v>
      </c>
      <c r="L39"/>
      <c r="M39">
        <v>1</v>
      </c>
      <c r="N39"/>
      <c r="O39"/>
      <c r="P39"/>
      <c r="Q39" s="7">
        <v>2</v>
      </c>
      <c r="R39" s="27">
        <f t="shared" si="0"/>
        <v>2</v>
      </c>
      <c r="S39" s="27" t="str">
        <f>IF(SUM(COUNTIFS('10_07_10_13'!E:E,'10_07_10_13 Acc Rate'!C39,'10_07_10_13'!O:O,"*M*"),COUNTIFS('10_07_10_13'!E:E,'10_07_10_13 Acc Rate'!C39,'10_07_10_13'!R:R,"*M*"))=0,"",SUM(COUNTIFS('10_07_10_13'!E:E,'10_07_10_13 Acc Rate'!C39,'10_07_10_13'!O:O,"*M*"),COUNTIFS('10_07_10_13'!E:E,'10_07_10_13 Acc Rate'!C39,'10_07_10_13'!R:R,"*M*")))</f>
        <v/>
      </c>
      <c r="T39" s="1" t="str">
        <f>IF(SUM(COUNTIFS('10_07_10_13'!E:E,'10_07_10_13 Acc Rate'!C39,'10_07_10_13'!P:P,"*E*"),COUNTIFS('10_07_10_13'!E:E,'10_07_10_13 Acc Rate'!C39,'10_07_10_13'!S:S,"*E*"))=0,"",SUM(COUNTIFS('10_07_10_13'!E:E,'10_07_10_13 Acc Rate'!C39,'10_07_10_13'!P:P,"*E*"),COUNTIFS('10_07_10_13'!E:E,'10_07_10_13 Acc Rate'!C39,'10_07_10_13'!S:S,"*E*")))</f>
        <v/>
      </c>
      <c r="U39" s="8">
        <f t="shared" si="1"/>
        <v>0</v>
      </c>
    </row>
    <row r="40" spans="2:21" ht="15" customHeight="1" x14ac:dyDescent="0.25">
      <c r="B40" s="1" t="s">
        <v>678</v>
      </c>
      <c r="C40" s="1" t="s">
        <v>679</v>
      </c>
      <c r="D40" s="1" t="s">
        <v>680</v>
      </c>
      <c r="E40"/>
      <c r="F40" t="s">
        <v>681</v>
      </c>
      <c r="G40" t="s">
        <v>682</v>
      </c>
      <c r="H40" t="s">
        <v>583</v>
      </c>
      <c r="I40" t="s">
        <v>683</v>
      </c>
      <c r="J40" t="s">
        <v>607</v>
      </c>
      <c r="K40"/>
      <c r="L40"/>
      <c r="M40">
        <v>1</v>
      </c>
      <c r="N40"/>
      <c r="O40"/>
      <c r="P40"/>
      <c r="Q40" s="7"/>
      <c r="R40" s="27" t="str">
        <f t="shared" si="0"/>
        <v/>
      </c>
      <c r="S40" s="27" t="str">
        <f>IF(SUM(COUNTIFS('10_07_10_13'!E:E,'10_07_10_13 Acc Rate'!C40,'10_07_10_13'!O:O,"*M*"),COUNTIFS('10_07_10_13'!E:E,'10_07_10_13 Acc Rate'!C40,'10_07_10_13'!R:R,"*M*"))=0,"",SUM(COUNTIFS('10_07_10_13'!E:E,'10_07_10_13 Acc Rate'!C40,'10_07_10_13'!O:O,"*M*"),COUNTIFS('10_07_10_13'!E:E,'10_07_10_13 Acc Rate'!C40,'10_07_10_13'!R:R,"*M*")))</f>
        <v/>
      </c>
      <c r="T40" s="1" t="str">
        <f>IF(SUM(COUNTIFS('10_07_10_13'!E:E,'10_07_10_13 Acc Rate'!C40,'10_07_10_13'!P:P,"*E*"),COUNTIFS('10_07_10_13'!E:E,'10_07_10_13 Acc Rate'!C40,'10_07_10_13'!S:S,"*E*"))=0,"",SUM(COUNTIFS('10_07_10_13'!E:E,'10_07_10_13 Acc Rate'!C40,'10_07_10_13'!P:P,"*E*"),COUNTIFS('10_07_10_13'!E:E,'10_07_10_13 Acc Rate'!C40,'10_07_10_13'!S:S,"*E*")))</f>
        <v/>
      </c>
      <c r="U40" s="8" t="str">
        <f t="shared" si="1"/>
        <v/>
      </c>
    </row>
    <row r="41" spans="2:21" ht="15" customHeight="1" x14ac:dyDescent="0.25">
      <c r="B41" s="1" t="s">
        <v>684</v>
      </c>
      <c r="C41" s="1" t="s">
        <v>84</v>
      </c>
      <c r="D41" s="1" t="s">
        <v>273</v>
      </c>
      <c r="E41"/>
      <c r="F41" t="s">
        <v>685</v>
      </c>
      <c r="G41" t="s">
        <v>686</v>
      </c>
      <c r="H41" t="s">
        <v>583</v>
      </c>
      <c r="I41" t="s">
        <v>687</v>
      </c>
      <c r="J41" t="s">
        <v>688</v>
      </c>
      <c r="K41" t="s">
        <v>683</v>
      </c>
      <c r="L41"/>
      <c r="M41">
        <v>1</v>
      </c>
      <c r="N41"/>
      <c r="O41"/>
      <c r="P41"/>
      <c r="Q41" s="7"/>
      <c r="R41" s="27" t="str">
        <f t="shared" si="0"/>
        <v/>
      </c>
      <c r="S41" s="27" t="str">
        <f>IF(SUM(COUNTIFS('10_07_10_13'!E:E,'10_07_10_13 Acc Rate'!C41,'10_07_10_13'!O:O,"*M*"),COUNTIFS('10_07_10_13'!E:E,'10_07_10_13 Acc Rate'!C41,'10_07_10_13'!R:R,"*M*"))=0,"",SUM(COUNTIFS('10_07_10_13'!E:E,'10_07_10_13 Acc Rate'!C41,'10_07_10_13'!O:O,"*M*"),COUNTIFS('10_07_10_13'!E:E,'10_07_10_13 Acc Rate'!C41,'10_07_10_13'!R:R,"*M*")))</f>
        <v/>
      </c>
      <c r="T41" s="1" t="str">
        <f>IF(SUM(COUNTIFS('10_07_10_13'!E:E,'10_07_10_13 Acc Rate'!C41,'10_07_10_13'!P:P,"*E*"),COUNTIFS('10_07_10_13'!E:E,'10_07_10_13 Acc Rate'!C41,'10_07_10_13'!S:S,"*E*"))=0,"",SUM(COUNTIFS('10_07_10_13'!E:E,'10_07_10_13 Acc Rate'!C41,'10_07_10_13'!P:P,"*E*"),COUNTIFS('10_07_10_13'!E:E,'10_07_10_13 Acc Rate'!C41,'10_07_10_13'!S:S,"*E*")))</f>
        <v/>
      </c>
      <c r="U41" s="8" t="str">
        <f t="shared" si="1"/>
        <v/>
      </c>
    </row>
    <row r="42" spans="2:21" ht="15" customHeight="1" x14ac:dyDescent="0.25">
      <c r="B42" s="1" t="s">
        <v>689</v>
      </c>
      <c r="C42" s="1" t="s">
        <v>690</v>
      </c>
      <c r="D42" s="1" t="s">
        <v>691</v>
      </c>
      <c r="E42"/>
      <c r="F42" t="s">
        <v>692</v>
      </c>
      <c r="G42" t="s">
        <v>693</v>
      </c>
      <c r="H42" t="s">
        <v>583</v>
      </c>
      <c r="I42" t="s">
        <v>694</v>
      </c>
      <c r="J42" t="s">
        <v>688</v>
      </c>
      <c r="K42" t="s">
        <v>683</v>
      </c>
      <c r="L42"/>
      <c r="M42">
        <v>1</v>
      </c>
      <c r="N42"/>
      <c r="O42"/>
      <c r="P42"/>
      <c r="Q42" s="7"/>
      <c r="R42" s="27" t="str">
        <f t="shared" si="0"/>
        <v/>
      </c>
      <c r="S42" s="27" t="str">
        <f>IF(SUM(COUNTIFS('10_07_10_13'!E:E,'10_07_10_13 Acc Rate'!C42,'10_07_10_13'!O:O,"*M*"),COUNTIFS('10_07_10_13'!E:E,'10_07_10_13 Acc Rate'!C42,'10_07_10_13'!R:R,"*M*"))=0,"",SUM(COUNTIFS('10_07_10_13'!E:E,'10_07_10_13 Acc Rate'!C42,'10_07_10_13'!O:O,"*M*"),COUNTIFS('10_07_10_13'!E:E,'10_07_10_13 Acc Rate'!C42,'10_07_10_13'!R:R,"*M*")))</f>
        <v/>
      </c>
      <c r="T42" s="1" t="str">
        <f>IF(SUM(COUNTIFS('10_07_10_13'!E:E,'10_07_10_13 Acc Rate'!C42,'10_07_10_13'!P:P,"*E*"),COUNTIFS('10_07_10_13'!E:E,'10_07_10_13 Acc Rate'!C42,'10_07_10_13'!S:S,"*E*"))=0,"",SUM(COUNTIFS('10_07_10_13'!E:E,'10_07_10_13 Acc Rate'!C42,'10_07_10_13'!P:P,"*E*"),COUNTIFS('10_07_10_13'!E:E,'10_07_10_13 Acc Rate'!C42,'10_07_10_13'!S:S,"*E*")))</f>
        <v/>
      </c>
      <c r="U42" s="8" t="str">
        <f t="shared" si="1"/>
        <v/>
      </c>
    </row>
    <row r="43" spans="2:21" ht="15" customHeight="1" x14ac:dyDescent="0.25">
      <c r="B43" s="1" t="s">
        <v>695</v>
      </c>
      <c r="C43" s="1" t="s">
        <v>696</v>
      </c>
      <c r="D43" s="1" t="s">
        <v>697</v>
      </c>
      <c r="E43"/>
      <c r="F43" t="s">
        <v>698</v>
      </c>
      <c r="G43" t="s">
        <v>699</v>
      </c>
      <c r="H43" t="s">
        <v>583</v>
      </c>
      <c r="I43" t="s">
        <v>700</v>
      </c>
      <c r="J43" t="s">
        <v>607</v>
      </c>
      <c r="K43"/>
      <c r="L43"/>
      <c r="M43">
        <v>1</v>
      </c>
      <c r="N43"/>
      <c r="O43"/>
      <c r="P43"/>
      <c r="Q43" s="7"/>
      <c r="R43" s="27" t="str">
        <f t="shared" si="0"/>
        <v/>
      </c>
      <c r="S43" s="27" t="str">
        <f>IF(SUM(COUNTIFS('10_07_10_13'!E:E,'10_07_10_13 Acc Rate'!C43,'10_07_10_13'!O:O,"*M*"),COUNTIFS('10_07_10_13'!E:E,'10_07_10_13 Acc Rate'!C43,'10_07_10_13'!R:R,"*M*"))=0,"",SUM(COUNTIFS('10_07_10_13'!E:E,'10_07_10_13 Acc Rate'!C43,'10_07_10_13'!O:O,"*M*"),COUNTIFS('10_07_10_13'!E:E,'10_07_10_13 Acc Rate'!C43,'10_07_10_13'!R:R,"*M*")))</f>
        <v/>
      </c>
      <c r="T43" s="1" t="str">
        <f>IF(SUM(COUNTIFS('10_07_10_13'!E:E,'10_07_10_13 Acc Rate'!C43,'10_07_10_13'!P:P,"*E*"),COUNTIFS('10_07_10_13'!E:E,'10_07_10_13 Acc Rate'!C43,'10_07_10_13'!S:S,"*E*"))=0,"",SUM(COUNTIFS('10_07_10_13'!E:E,'10_07_10_13 Acc Rate'!C43,'10_07_10_13'!P:P,"*E*"),COUNTIFS('10_07_10_13'!E:E,'10_07_10_13 Acc Rate'!C43,'10_07_10_13'!S:S,"*E*")))</f>
        <v/>
      </c>
      <c r="U43" s="8" t="str">
        <f t="shared" si="1"/>
        <v/>
      </c>
    </row>
    <row r="44" spans="2:21" ht="15" customHeight="1" x14ac:dyDescent="0.25">
      <c r="B44" s="1" t="s">
        <v>701</v>
      </c>
      <c r="C44" s="1" t="s">
        <v>696</v>
      </c>
      <c r="D44" s="1" t="s">
        <v>702</v>
      </c>
      <c r="E44"/>
      <c r="F44" t="s">
        <v>703</v>
      </c>
      <c r="G44" t="s">
        <v>704</v>
      </c>
      <c r="H44" t="s">
        <v>583</v>
      </c>
      <c r="I44" t="s">
        <v>705</v>
      </c>
      <c r="J44" t="s">
        <v>706</v>
      </c>
      <c r="K44" t="s">
        <v>700</v>
      </c>
      <c r="L44"/>
      <c r="M44">
        <v>1</v>
      </c>
      <c r="N44"/>
      <c r="O44"/>
      <c r="P44"/>
      <c r="Q44" s="7"/>
      <c r="R44" s="27" t="str">
        <f t="shared" si="0"/>
        <v/>
      </c>
      <c r="S44" s="27" t="str">
        <f>IF(SUM(COUNTIFS('10_07_10_13'!E:E,'10_07_10_13 Acc Rate'!C44,'10_07_10_13'!O:O,"*M*"),COUNTIFS('10_07_10_13'!E:E,'10_07_10_13 Acc Rate'!C44,'10_07_10_13'!R:R,"*M*"))=0,"",SUM(COUNTIFS('10_07_10_13'!E:E,'10_07_10_13 Acc Rate'!C44,'10_07_10_13'!O:O,"*M*"),COUNTIFS('10_07_10_13'!E:E,'10_07_10_13 Acc Rate'!C44,'10_07_10_13'!R:R,"*M*")))</f>
        <v/>
      </c>
      <c r="T44" s="1" t="str">
        <f>IF(SUM(COUNTIFS('10_07_10_13'!E:E,'10_07_10_13 Acc Rate'!C44,'10_07_10_13'!P:P,"*E*"),COUNTIFS('10_07_10_13'!E:E,'10_07_10_13 Acc Rate'!C44,'10_07_10_13'!S:S,"*E*"))=0,"",SUM(COUNTIFS('10_07_10_13'!E:E,'10_07_10_13 Acc Rate'!C44,'10_07_10_13'!P:P,"*E*"),COUNTIFS('10_07_10_13'!E:E,'10_07_10_13 Acc Rate'!C44,'10_07_10_13'!S:S,"*E*")))</f>
        <v/>
      </c>
      <c r="U44" s="8" t="str">
        <f t="shared" si="1"/>
        <v/>
      </c>
    </row>
    <row r="45" spans="2:21" ht="15" customHeight="1" x14ac:dyDescent="0.25">
      <c r="B45" s="1" t="s">
        <v>707</v>
      </c>
      <c r="C45" s="1" t="s">
        <v>708</v>
      </c>
      <c r="D45" s="1" t="s">
        <v>709</v>
      </c>
      <c r="E45"/>
      <c r="F45" t="s">
        <v>710</v>
      </c>
      <c r="G45" t="s">
        <v>711</v>
      </c>
      <c r="H45" t="s">
        <v>583</v>
      </c>
      <c r="I45" t="s">
        <v>712</v>
      </c>
      <c r="J45" t="s">
        <v>706</v>
      </c>
      <c r="K45" t="s">
        <v>700</v>
      </c>
      <c r="L45"/>
      <c r="M45">
        <v>1</v>
      </c>
      <c r="N45"/>
      <c r="O45"/>
      <c r="P45"/>
      <c r="Q45" s="7"/>
      <c r="R45" s="27" t="str">
        <f t="shared" si="0"/>
        <v/>
      </c>
      <c r="S45" s="27" t="str">
        <f>IF(SUM(COUNTIFS('10_07_10_13'!E:E,'10_07_10_13 Acc Rate'!C45,'10_07_10_13'!O:O,"*M*"),COUNTIFS('10_07_10_13'!E:E,'10_07_10_13 Acc Rate'!C45,'10_07_10_13'!R:R,"*M*"))=0,"",SUM(COUNTIFS('10_07_10_13'!E:E,'10_07_10_13 Acc Rate'!C45,'10_07_10_13'!O:O,"*M*"),COUNTIFS('10_07_10_13'!E:E,'10_07_10_13 Acc Rate'!C45,'10_07_10_13'!R:R,"*M*")))</f>
        <v/>
      </c>
      <c r="T45" s="1" t="str">
        <f>IF(SUM(COUNTIFS('10_07_10_13'!E:E,'10_07_10_13 Acc Rate'!C45,'10_07_10_13'!P:P,"*E*"),COUNTIFS('10_07_10_13'!E:E,'10_07_10_13 Acc Rate'!C45,'10_07_10_13'!S:S,"*E*"))=0,"",SUM(COUNTIFS('10_07_10_13'!E:E,'10_07_10_13 Acc Rate'!C45,'10_07_10_13'!P:P,"*E*"),COUNTIFS('10_07_10_13'!E:E,'10_07_10_13 Acc Rate'!C45,'10_07_10_13'!S:S,"*E*")))</f>
        <v/>
      </c>
      <c r="U45" s="8" t="str">
        <f t="shared" si="1"/>
        <v/>
      </c>
    </row>
    <row r="46" spans="2:21" ht="15" customHeight="1" x14ac:dyDescent="0.25">
      <c r="B46" s="1" t="s">
        <v>713</v>
      </c>
      <c r="C46" s="1" t="s">
        <v>714</v>
      </c>
      <c r="D46" s="1" t="s">
        <v>715</v>
      </c>
      <c r="E46"/>
      <c r="F46" t="s">
        <v>716</v>
      </c>
      <c r="G46" t="s">
        <v>717</v>
      </c>
      <c r="H46" t="s">
        <v>583</v>
      </c>
      <c r="I46" t="s">
        <v>718</v>
      </c>
      <c r="J46" t="s">
        <v>706</v>
      </c>
      <c r="K46" t="s">
        <v>700</v>
      </c>
      <c r="L46"/>
      <c r="M46">
        <v>1</v>
      </c>
      <c r="N46"/>
      <c r="O46"/>
      <c r="P46"/>
      <c r="Q46" s="7"/>
      <c r="R46" s="27" t="str">
        <f t="shared" si="0"/>
        <v/>
      </c>
      <c r="S46" s="27" t="str">
        <f>IF(SUM(COUNTIFS('10_07_10_13'!E:E,'10_07_10_13 Acc Rate'!C46,'10_07_10_13'!O:O,"*M*"),COUNTIFS('10_07_10_13'!E:E,'10_07_10_13 Acc Rate'!C46,'10_07_10_13'!R:R,"*M*"))=0,"",SUM(COUNTIFS('10_07_10_13'!E:E,'10_07_10_13 Acc Rate'!C46,'10_07_10_13'!O:O,"*M*"),COUNTIFS('10_07_10_13'!E:E,'10_07_10_13 Acc Rate'!C46,'10_07_10_13'!R:R,"*M*")))</f>
        <v/>
      </c>
      <c r="T46" s="1" t="str">
        <f>IF(SUM(COUNTIFS('10_07_10_13'!E:E,'10_07_10_13 Acc Rate'!C46,'10_07_10_13'!P:P,"*E*"),COUNTIFS('10_07_10_13'!E:E,'10_07_10_13 Acc Rate'!C46,'10_07_10_13'!S:S,"*E*"))=0,"",SUM(COUNTIFS('10_07_10_13'!E:E,'10_07_10_13 Acc Rate'!C46,'10_07_10_13'!P:P,"*E*"),COUNTIFS('10_07_10_13'!E:E,'10_07_10_13 Acc Rate'!C46,'10_07_10_13'!S:S,"*E*")))</f>
        <v/>
      </c>
      <c r="U46" s="8" t="str">
        <f t="shared" si="1"/>
        <v/>
      </c>
    </row>
    <row r="47" spans="2:21" ht="15" customHeight="1" x14ac:dyDescent="0.25">
      <c r="B47" s="1" t="s">
        <v>719</v>
      </c>
      <c r="C47" s="1" t="s">
        <v>556</v>
      </c>
      <c r="D47" s="1" t="s">
        <v>720</v>
      </c>
      <c r="E47"/>
      <c r="F47" t="s">
        <v>721</v>
      </c>
      <c r="G47" t="s">
        <v>722</v>
      </c>
      <c r="H47" t="s">
        <v>583</v>
      </c>
      <c r="I47" t="s">
        <v>723</v>
      </c>
      <c r="J47" t="s">
        <v>706</v>
      </c>
      <c r="K47" t="s">
        <v>700</v>
      </c>
      <c r="L47"/>
      <c r="M47">
        <v>1</v>
      </c>
      <c r="N47"/>
      <c r="O47"/>
      <c r="P47"/>
      <c r="Q47" s="7"/>
      <c r="R47" s="27" t="str">
        <f t="shared" si="0"/>
        <v/>
      </c>
      <c r="S47" s="27" t="str">
        <f>IF(SUM(COUNTIFS('10_07_10_13'!E:E,'10_07_10_13 Acc Rate'!C47,'10_07_10_13'!O:O,"*M*"),COUNTIFS('10_07_10_13'!E:E,'10_07_10_13 Acc Rate'!C47,'10_07_10_13'!R:R,"*M*"))=0,"",SUM(COUNTIFS('10_07_10_13'!E:E,'10_07_10_13 Acc Rate'!C47,'10_07_10_13'!O:O,"*M*"),COUNTIFS('10_07_10_13'!E:E,'10_07_10_13 Acc Rate'!C47,'10_07_10_13'!R:R,"*M*")))</f>
        <v/>
      </c>
      <c r="T47" s="1" t="str">
        <f>IF(SUM(COUNTIFS('10_07_10_13'!E:E,'10_07_10_13 Acc Rate'!C47,'10_07_10_13'!P:P,"*E*"),COUNTIFS('10_07_10_13'!E:E,'10_07_10_13 Acc Rate'!C47,'10_07_10_13'!S:S,"*E*"))=0,"",SUM(COUNTIFS('10_07_10_13'!E:E,'10_07_10_13 Acc Rate'!C47,'10_07_10_13'!P:P,"*E*"),COUNTIFS('10_07_10_13'!E:E,'10_07_10_13 Acc Rate'!C47,'10_07_10_13'!S:S,"*E*")))</f>
        <v/>
      </c>
      <c r="U47" s="8"/>
    </row>
    <row r="48" spans="2:21" x14ac:dyDescent="0.25">
      <c r="M48" s="1" t="s">
        <v>724</v>
      </c>
      <c r="Q48" s="1">
        <f>SUM(Q3:Q46)</f>
        <v>5027</v>
      </c>
      <c r="R48" s="27">
        <f>SUM(R3:R46)</f>
        <v>5022</v>
      </c>
      <c r="S48" s="27">
        <f>SUM(S3:S46)</f>
        <v>3</v>
      </c>
      <c r="T48" s="1">
        <f>SUM(T3:T46)</f>
        <v>2</v>
      </c>
      <c r="U48" s="2">
        <f>IFERROR(SUM(S47*8+T47*2)/Q47,0)</f>
        <v>0</v>
      </c>
    </row>
  </sheetData>
  <mergeCells count="3">
    <mergeCell ref="W3:X3"/>
    <mergeCell ref="W7:X7"/>
    <mergeCell ref="W8:X8"/>
  </mergeCells>
  <conditionalFormatting sqref="B1:P1048576">
    <cfRule type="expression" dxfId="206" priority="6">
      <formula>$H1="Service Center"</formula>
    </cfRule>
    <cfRule type="expression" dxfId="205" priority="7">
      <formula>$H1="COBRA"</formula>
    </cfRule>
    <cfRule type="expression" dxfId="204" priority="8">
      <formula>$H1="Claims"</formula>
    </cfRule>
  </conditionalFormatting>
  <conditionalFormatting sqref="B1:U1048576">
    <cfRule type="expression" dxfId="203" priority="4">
      <formula>NOT(ISBLANK($B1))</formula>
    </cfRule>
    <cfRule type="expression" dxfId="202" priority="5">
      <formula>AND($H1="Service Center",$M1=15)</formula>
    </cfRule>
    <cfRule type="expression" dxfId="201" priority="9">
      <formula>$B1="Full Name"</formula>
    </cfRule>
    <cfRule type="expression" dxfId="200" priority="10">
      <formula>$M1="Totals"</formula>
    </cfRule>
  </conditionalFormatting>
  <conditionalFormatting sqref="Q2">
    <cfRule type="expression" dxfId="199" priority="1">
      <formula>$H2="Service Center"</formula>
    </cfRule>
    <cfRule type="expression" dxfId="198" priority="2">
      <formula>$H2="COBRA"</formula>
    </cfRule>
    <cfRule type="expression" dxfId="197" priority="3">
      <formula>$H2="Claims"</formula>
    </cfRule>
  </conditionalFormatting>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1D3ABF-E53A-4D29-9767-E2047B94318D}">
  <sheetPr codeName="Sheet1"/>
  <dimension ref="A1:U199"/>
  <sheetViews>
    <sheetView topLeftCell="A52" zoomScale="90" zoomScaleNormal="90" workbookViewId="0">
      <selection activeCell="N72" sqref="N72"/>
    </sheetView>
  </sheetViews>
  <sheetFormatPr defaultRowHeight="15" x14ac:dyDescent="0.25"/>
  <cols>
    <col min="1" max="1" width="7.140625" customWidth="1"/>
    <col min="2" max="2" width="11.5703125" customWidth="1"/>
    <col min="3" max="4" width="7.140625" customWidth="1"/>
    <col min="5" max="6" width="15.7109375" customWidth="1"/>
    <col min="7" max="7" width="35.85546875" customWidth="1"/>
    <col min="8" max="9" width="15.7109375" customWidth="1"/>
    <col min="10" max="12" width="10.7109375" customWidth="1"/>
    <col min="13" max="13" width="13.7109375" style="21" customWidth="1"/>
    <col min="14" max="14" width="12.7109375" customWidth="1"/>
    <col min="15" max="16" width="10.7109375" customWidth="1"/>
    <col min="17" max="17" width="30.7109375" style="30" customWidth="1"/>
    <col min="18" max="19" width="17.7109375" customWidth="1"/>
    <col min="20" max="20" width="30.7109375" style="30" customWidth="1"/>
    <col min="21" max="21" width="8.7109375" customWidth="1"/>
  </cols>
  <sheetData>
    <row r="1" spans="1:21" ht="51" x14ac:dyDescent="0.25">
      <c r="A1" s="42" t="s">
        <v>0</v>
      </c>
      <c r="B1" s="42" t="s">
        <v>1</v>
      </c>
      <c r="C1" s="42" t="s">
        <v>2</v>
      </c>
      <c r="D1" s="42" t="s">
        <v>3</v>
      </c>
      <c r="E1" s="42" t="s">
        <v>4</v>
      </c>
      <c r="F1" s="42" t="s">
        <v>5</v>
      </c>
      <c r="G1" s="42" t="s">
        <v>6</v>
      </c>
      <c r="H1" s="42" t="s">
        <v>7</v>
      </c>
      <c r="I1" s="42" t="s">
        <v>8</v>
      </c>
      <c r="J1" s="42" t="s">
        <v>9</v>
      </c>
      <c r="K1" s="42" t="s">
        <v>10</v>
      </c>
      <c r="L1" s="42" t="s">
        <v>11</v>
      </c>
      <c r="M1" s="43" t="s">
        <v>12</v>
      </c>
      <c r="N1" s="42" t="s">
        <v>13</v>
      </c>
      <c r="O1" s="42" t="s">
        <v>14</v>
      </c>
      <c r="P1" s="42" t="s">
        <v>15</v>
      </c>
      <c r="Q1" s="42" t="s">
        <v>16</v>
      </c>
      <c r="R1" s="42" t="s">
        <v>17</v>
      </c>
      <c r="S1" s="42" t="s">
        <v>18</v>
      </c>
      <c r="T1" s="42" t="s">
        <v>16</v>
      </c>
      <c r="U1" s="44" t="s">
        <v>19</v>
      </c>
    </row>
    <row r="2" spans="1:21" ht="30" x14ac:dyDescent="0.25">
      <c r="A2" s="45" t="s">
        <v>756</v>
      </c>
      <c r="B2" s="46">
        <v>45632</v>
      </c>
      <c r="C2" s="45" t="s">
        <v>21</v>
      </c>
      <c r="D2" s="47"/>
      <c r="E2" s="45" t="s">
        <v>22</v>
      </c>
      <c r="F2" s="45" t="s">
        <v>23</v>
      </c>
      <c r="G2" s="45" t="s">
        <v>961</v>
      </c>
      <c r="H2" s="45" t="s">
        <v>962</v>
      </c>
      <c r="I2" s="45" t="s">
        <v>963</v>
      </c>
      <c r="J2" s="45">
        <v>506987397</v>
      </c>
      <c r="K2" s="45" t="s">
        <v>889</v>
      </c>
      <c r="L2" s="48">
        <v>903.32</v>
      </c>
      <c r="M2" s="49">
        <v>20240903598</v>
      </c>
      <c r="N2" s="50"/>
      <c r="O2" s="50" t="s">
        <v>124</v>
      </c>
      <c r="P2" s="50"/>
      <c r="Q2" s="51" t="s">
        <v>964</v>
      </c>
      <c r="R2" s="50"/>
      <c r="S2" s="50"/>
      <c r="T2" s="51"/>
      <c r="U2" s="50"/>
    </row>
    <row r="3" spans="1:21" x14ac:dyDescent="0.25">
      <c r="A3" s="45" t="s">
        <v>20</v>
      </c>
      <c r="B3" s="46">
        <v>45632</v>
      </c>
      <c r="C3" s="45" t="s">
        <v>21</v>
      </c>
      <c r="D3" s="47"/>
      <c r="E3" s="45" t="s">
        <v>22</v>
      </c>
      <c r="F3" s="45" t="s">
        <v>23</v>
      </c>
      <c r="G3" s="45" t="s">
        <v>178</v>
      </c>
      <c r="H3" s="45" t="s">
        <v>935</v>
      </c>
      <c r="I3" s="45" t="s">
        <v>965</v>
      </c>
      <c r="J3" s="45">
        <v>528831745</v>
      </c>
      <c r="K3" s="45" t="s">
        <v>966</v>
      </c>
      <c r="L3" s="48">
        <v>3000</v>
      </c>
      <c r="M3" s="49">
        <v>20241015714</v>
      </c>
      <c r="N3" s="50" t="s">
        <v>28</v>
      </c>
      <c r="O3" s="50"/>
      <c r="P3" s="50"/>
      <c r="Q3" s="51"/>
      <c r="R3" s="50"/>
      <c r="S3" s="50"/>
      <c r="T3" s="51"/>
      <c r="U3" s="50"/>
    </row>
    <row r="4" spans="1:21" x14ac:dyDescent="0.25">
      <c r="A4" s="45" t="s">
        <v>20</v>
      </c>
      <c r="B4" s="46">
        <v>45622</v>
      </c>
      <c r="C4" s="45" t="s">
        <v>244</v>
      </c>
      <c r="D4" s="47"/>
      <c r="E4" s="45" t="s">
        <v>22</v>
      </c>
      <c r="F4" s="45" t="s">
        <v>23</v>
      </c>
      <c r="G4" s="45" t="s">
        <v>178</v>
      </c>
      <c r="H4" s="45" t="s">
        <v>935</v>
      </c>
      <c r="I4" s="45" t="s">
        <v>965</v>
      </c>
      <c r="J4" s="45">
        <v>528831745</v>
      </c>
      <c r="K4" s="45" t="s">
        <v>112</v>
      </c>
      <c r="L4" s="48">
        <v>3000</v>
      </c>
      <c r="M4" s="49">
        <v>20241008631</v>
      </c>
      <c r="N4" s="50" t="s">
        <v>28</v>
      </c>
      <c r="O4" s="50"/>
      <c r="P4" s="50"/>
      <c r="Q4" s="51"/>
      <c r="R4" s="50"/>
      <c r="S4" s="50"/>
      <c r="T4" s="51"/>
      <c r="U4" s="50"/>
    </row>
    <row r="5" spans="1:21" x14ac:dyDescent="0.25">
      <c r="A5" s="45" t="s">
        <v>20</v>
      </c>
      <c r="B5" s="46">
        <v>45622</v>
      </c>
      <c r="C5" s="45" t="s">
        <v>244</v>
      </c>
      <c r="D5" s="47"/>
      <c r="E5" s="45" t="s">
        <v>22</v>
      </c>
      <c r="F5" s="45" t="s">
        <v>23</v>
      </c>
      <c r="G5" s="45" t="s">
        <v>178</v>
      </c>
      <c r="H5" s="45" t="s">
        <v>935</v>
      </c>
      <c r="I5" s="45" t="s">
        <v>965</v>
      </c>
      <c r="J5" s="45">
        <v>528831745</v>
      </c>
      <c r="K5" s="45" t="s">
        <v>966</v>
      </c>
      <c r="L5" s="48">
        <v>3000</v>
      </c>
      <c r="M5" s="49">
        <v>20241008631</v>
      </c>
      <c r="N5" s="50" t="s">
        <v>28</v>
      </c>
      <c r="O5" s="50"/>
      <c r="P5" s="50"/>
      <c r="Q5" s="51"/>
      <c r="R5" s="50"/>
      <c r="S5" s="50"/>
      <c r="T5" s="51"/>
      <c r="U5" s="50"/>
    </row>
    <row r="6" spans="1:21" x14ac:dyDescent="0.25">
      <c r="A6" s="45" t="s">
        <v>20</v>
      </c>
      <c r="B6" s="46">
        <v>45622</v>
      </c>
      <c r="C6" s="45" t="s">
        <v>244</v>
      </c>
      <c r="D6" s="47"/>
      <c r="E6" s="45" t="s">
        <v>22</v>
      </c>
      <c r="F6" s="45" t="s">
        <v>23</v>
      </c>
      <c r="G6" s="45" t="s">
        <v>967</v>
      </c>
      <c r="H6" s="45" t="s">
        <v>968</v>
      </c>
      <c r="I6" s="45" t="s">
        <v>969</v>
      </c>
      <c r="J6" s="45">
        <v>529770280</v>
      </c>
      <c r="K6" s="45" t="s">
        <v>970</v>
      </c>
      <c r="L6" s="48">
        <v>664.72</v>
      </c>
      <c r="M6" s="49">
        <v>20241015678</v>
      </c>
      <c r="N6" s="50" t="s">
        <v>28</v>
      </c>
      <c r="O6" s="50"/>
      <c r="P6" s="50"/>
      <c r="Q6" s="51"/>
      <c r="R6" s="50"/>
      <c r="S6" s="50"/>
      <c r="T6" s="51"/>
      <c r="U6" s="50"/>
    </row>
    <row r="7" spans="1:21" x14ac:dyDescent="0.25">
      <c r="A7" s="45" t="s">
        <v>70</v>
      </c>
      <c r="B7" s="46">
        <v>45622</v>
      </c>
      <c r="C7" s="45" t="s">
        <v>244</v>
      </c>
      <c r="D7" s="47"/>
      <c r="E7" s="45" t="s">
        <v>22</v>
      </c>
      <c r="F7" s="45" t="s">
        <v>23</v>
      </c>
      <c r="G7" s="45" t="s">
        <v>71</v>
      </c>
      <c r="H7" s="45" t="s">
        <v>971</v>
      </c>
      <c r="I7" s="45" t="s">
        <v>753</v>
      </c>
      <c r="J7" s="45">
        <v>531442382</v>
      </c>
      <c r="K7" s="45" t="s">
        <v>144</v>
      </c>
      <c r="L7" s="48">
        <v>300</v>
      </c>
      <c r="M7" s="49">
        <v>20241014901</v>
      </c>
      <c r="N7" s="50" t="s">
        <v>28</v>
      </c>
      <c r="O7" s="50"/>
      <c r="P7" s="50"/>
      <c r="Q7" s="51"/>
      <c r="R7" s="50"/>
      <c r="S7" s="50"/>
      <c r="T7" s="51"/>
      <c r="U7" s="50"/>
    </row>
    <row r="8" spans="1:21" x14ac:dyDescent="0.25">
      <c r="A8" s="45" t="s">
        <v>70</v>
      </c>
      <c r="B8" s="46">
        <v>45622</v>
      </c>
      <c r="C8" s="45" t="s">
        <v>244</v>
      </c>
      <c r="D8" s="47"/>
      <c r="E8" s="45" t="s">
        <v>22</v>
      </c>
      <c r="F8" s="45" t="s">
        <v>23</v>
      </c>
      <c r="G8" s="45" t="s">
        <v>71</v>
      </c>
      <c r="H8" s="45" t="s">
        <v>971</v>
      </c>
      <c r="I8" s="45" t="s">
        <v>753</v>
      </c>
      <c r="J8" s="45">
        <v>531442382</v>
      </c>
      <c r="K8" s="45" t="s">
        <v>144</v>
      </c>
      <c r="L8" s="48">
        <v>300</v>
      </c>
      <c r="M8" s="49">
        <v>20241014894</v>
      </c>
      <c r="N8" s="50" t="s">
        <v>28</v>
      </c>
      <c r="O8" s="50"/>
      <c r="P8" s="50"/>
      <c r="Q8" s="51"/>
      <c r="R8" s="50"/>
      <c r="S8" s="50"/>
      <c r="T8" s="51"/>
      <c r="U8" s="50"/>
    </row>
    <row r="9" spans="1:21" x14ac:dyDescent="0.25">
      <c r="A9" s="45" t="s">
        <v>70</v>
      </c>
      <c r="B9" s="46">
        <v>45622</v>
      </c>
      <c r="C9" s="45" t="s">
        <v>244</v>
      </c>
      <c r="D9" s="47"/>
      <c r="E9" s="45" t="s">
        <v>22</v>
      </c>
      <c r="F9" s="45" t="s">
        <v>23</v>
      </c>
      <c r="G9" s="45" t="s">
        <v>71</v>
      </c>
      <c r="H9" s="45" t="s">
        <v>971</v>
      </c>
      <c r="I9" s="45" t="s">
        <v>753</v>
      </c>
      <c r="J9" s="45">
        <v>531442382</v>
      </c>
      <c r="K9" s="45" t="s">
        <v>237</v>
      </c>
      <c r="L9" s="48">
        <v>300</v>
      </c>
      <c r="M9" s="49">
        <v>20241014895</v>
      </c>
      <c r="N9" s="50" t="s">
        <v>28</v>
      </c>
      <c r="O9" s="50"/>
      <c r="P9" s="50"/>
      <c r="Q9" s="51"/>
      <c r="R9" s="50"/>
      <c r="S9" s="50"/>
      <c r="T9" s="51"/>
      <c r="U9" s="50"/>
    </row>
    <row r="10" spans="1:21" x14ac:dyDescent="0.25">
      <c r="A10" s="45" t="s">
        <v>70</v>
      </c>
      <c r="B10" s="46">
        <v>45622</v>
      </c>
      <c r="C10" s="45" t="s">
        <v>244</v>
      </c>
      <c r="D10" s="47"/>
      <c r="E10" s="45" t="s">
        <v>22</v>
      </c>
      <c r="F10" s="45" t="s">
        <v>23</v>
      </c>
      <c r="G10" s="45" t="s">
        <v>71</v>
      </c>
      <c r="H10" s="45" t="s">
        <v>971</v>
      </c>
      <c r="I10" s="45" t="s">
        <v>753</v>
      </c>
      <c r="J10" s="45">
        <v>531442382</v>
      </c>
      <c r="K10" s="45" t="s">
        <v>972</v>
      </c>
      <c r="L10" s="48">
        <v>264</v>
      </c>
      <c r="M10" s="49">
        <v>20241014896</v>
      </c>
      <c r="N10" s="50" t="s">
        <v>28</v>
      </c>
      <c r="O10" s="50"/>
      <c r="P10" s="50"/>
      <c r="Q10" s="51"/>
      <c r="R10" s="50"/>
      <c r="S10" s="50"/>
      <c r="T10" s="51"/>
      <c r="U10" s="50"/>
    </row>
    <row r="11" spans="1:21" x14ac:dyDescent="0.25">
      <c r="A11" s="45" t="s">
        <v>20</v>
      </c>
      <c r="B11" s="46">
        <v>45622</v>
      </c>
      <c r="C11" s="45" t="s">
        <v>244</v>
      </c>
      <c r="D11" s="47"/>
      <c r="E11" s="45" t="s">
        <v>22</v>
      </c>
      <c r="F11" s="45" t="s">
        <v>23</v>
      </c>
      <c r="G11" s="45" t="s">
        <v>109</v>
      </c>
      <c r="H11" s="45" t="s">
        <v>973</v>
      </c>
      <c r="I11" s="45" t="s">
        <v>974</v>
      </c>
      <c r="J11" s="45">
        <v>534337501</v>
      </c>
      <c r="K11" s="45" t="s">
        <v>76</v>
      </c>
      <c r="L11" s="48">
        <v>31.4</v>
      </c>
      <c r="M11" s="49">
        <v>2024101475</v>
      </c>
      <c r="N11" s="50" t="s">
        <v>28</v>
      </c>
      <c r="O11" s="50"/>
      <c r="P11" s="50"/>
      <c r="Q11" s="51"/>
      <c r="R11" s="50"/>
      <c r="S11" s="50"/>
      <c r="T11" s="51"/>
      <c r="U11" s="50"/>
    </row>
    <row r="12" spans="1:21" x14ac:dyDescent="0.25">
      <c r="A12" s="45" t="s">
        <v>29</v>
      </c>
      <c r="B12" s="46">
        <v>45622</v>
      </c>
      <c r="C12" s="45" t="s">
        <v>244</v>
      </c>
      <c r="D12" s="47"/>
      <c r="E12" s="45" t="s">
        <v>22</v>
      </c>
      <c r="F12" s="45" t="s">
        <v>23</v>
      </c>
      <c r="G12" s="45" t="s">
        <v>975</v>
      </c>
      <c r="H12" s="45" t="s">
        <v>976</v>
      </c>
      <c r="I12" s="45" t="s">
        <v>977</v>
      </c>
      <c r="J12" s="45">
        <v>534651906</v>
      </c>
      <c r="K12" s="45" t="s">
        <v>978</v>
      </c>
      <c r="L12" s="48">
        <v>25</v>
      </c>
      <c r="M12" s="49">
        <v>20241015723</v>
      </c>
      <c r="N12" s="50" t="s">
        <v>28</v>
      </c>
      <c r="O12" s="50"/>
      <c r="P12" s="50"/>
      <c r="Q12" s="51"/>
      <c r="R12" s="50"/>
      <c r="S12" s="50"/>
      <c r="T12" s="51"/>
      <c r="U12" s="50"/>
    </row>
    <row r="13" spans="1:21" x14ac:dyDescent="0.25">
      <c r="A13" s="45" t="s">
        <v>20</v>
      </c>
      <c r="B13" s="46">
        <v>45622</v>
      </c>
      <c r="C13" s="45" t="s">
        <v>244</v>
      </c>
      <c r="D13" s="47"/>
      <c r="E13" s="45" t="s">
        <v>22</v>
      </c>
      <c r="F13" s="45" t="s">
        <v>23</v>
      </c>
      <c r="G13" s="45" t="s">
        <v>191</v>
      </c>
      <c r="H13" s="45" t="s">
        <v>979</v>
      </c>
      <c r="I13" s="45" t="s">
        <v>980</v>
      </c>
      <c r="J13" s="45">
        <v>559617334</v>
      </c>
      <c r="K13" s="45" t="s">
        <v>336</v>
      </c>
      <c r="L13" s="48">
        <v>10</v>
      </c>
      <c r="M13" s="49">
        <v>20241016743</v>
      </c>
      <c r="N13" s="50" t="s">
        <v>28</v>
      </c>
      <c r="O13" s="50"/>
      <c r="P13" s="50"/>
      <c r="Q13" s="51"/>
      <c r="R13" s="50"/>
      <c r="S13" s="50"/>
      <c r="T13" s="51"/>
      <c r="U13" s="50"/>
    </row>
    <row r="14" spans="1:21" x14ac:dyDescent="0.25">
      <c r="A14" s="45" t="s">
        <v>20</v>
      </c>
      <c r="B14" s="46">
        <v>45622</v>
      </c>
      <c r="C14" s="45" t="s">
        <v>244</v>
      </c>
      <c r="D14" s="47"/>
      <c r="E14" s="45" t="s">
        <v>22</v>
      </c>
      <c r="F14" s="45" t="s">
        <v>23</v>
      </c>
      <c r="G14" s="45" t="s">
        <v>191</v>
      </c>
      <c r="H14" s="45" t="s">
        <v>979</v>
      </c>
      <c r="I14" s="45" t="s">
        <v>980</v>
      </c>
      <c r="J14" s="45">
        <v>559617334</v>
      </c>
      <c r="K14" s="45" t="s">
        <v>160</v>
      </c>
      <c r="L14" s="48">
        <v>5.05</v>
      </c>
      <c r="M14" s="49">
        <v>20241016744</v>
      </c>
      <c r="N14" s="50" t="s">
        <v>28</v>
      </c>
      <c r="O14" s="50"/>
      <c r="P14" s="50"/>
      <c r="Q14" s="51"/>
      <c r="R14" s="50"/>
      <c r="S14" s="50"/>
      <c r="T14" s="51"/>
      <c r="U14" s="50"/>
    </row>
    <row r="15" spans="1:21" x14ac:dyDescent="0.25">
      <c r="A15" s="45" t="s">
        <v>20</v>
      </c>
      <c r="B15" s="46">
        <v>45622</v>
      </c>
      <c r="C15" s="45" t="s">
        <v>244</v>
      </c>
      <c r="D15" s="47"/>
      <c r="E15" s="45" t="s">
        <v>22</v>
      </c>
      <c r="F15" s="45" t="s">
        <v>23</v>
      </c>
      <c r="G15" s="45" t="s">
        <v>191</v>
      </c>
      <c r="H15" s="45" t="s">
        <v>979</v>
      </c>
      <c r="I15" s="45" t="s">
        <v>980</v>
      </c>
      <c r="J15" s="45">
        <v>559617334</v>
      </c>
      <c r="K15" s="45" t="s">
        <v>389</v>
      </c>
      <c r="L15" s="48">
        <v>3.74</v>
      </c>
      <c r="M15" s="49">
        <v>20241016745</v>
      </c>
      <c r="N15" s="50" t="s">
        <v>28</v>
      </c>
      <c r="O15" s="50"/>
      <c r="P15" s="50"/>
      <c r="Q15" s="51"/>
      <c r="R15" s="50"/>
      <c r="S15" s="50"/>
      <c r="T15" s="51"/>
      <c r="U15" s="50"/>
    </row>
    <row r="16" spans="1:21" x14ac:dyDescent="0.25">
      <c r="A16" s="45" t="s">
        <v>20</v>
      </c>
      <c r="B16" s="46">
        <v>45622</v>
      </c>
      <c r="C16" s="45" t="s">
        <v>244</v>
      </c>
      <c r="D16" s="47"/>
      <c r="E16" s="45" t="s">
        <v>22</v>
      </c>
      <c r="F16" s="45" t="s">
        <v>23</v>
      </c>
      <c r="G16" s="45" t="s">
        <v>191</v>
      </c>
      <c r="H16" s="45" t="s">
        <v>979</v>
      </c>
      <c r="I16" s="45" t="s">
        <v>980</v>
      </c>
      <c r="J16" s="45">
        <v>559617334</v>
      </c>
      <c r="K16" s="45" t="s">
        <v>406</v>
      </c>
      <c r="L16" s="48">
        <v>10</v>
      </c>
      <c r="M16" s="49">
        <v>20241016746</v>
      </c>
      <c r="N16" s="50" t="s">
        <v>28</v>
      </c>
      <c r="O16" s="50"/>
      <c r="P16" s="50"/>
      <c r="Q16" s="51"/>
      <c r="R16" s="50"/>
      <c r="S16" s="50"/>
      <c r="T16" s="51"/>
      <c r="U16" s="50"/>
    </row>
    <row r="17" spans="1:21" x14ac:dyDescent="0.25">
      <c r="A17" s="45" t="s">
        <v>20</v>
      </c>
      <c r="B17" s="46">
        <v>45622</v>
      </c>
      <c r="C17" s="45" t="s">
        <v>244</v>
      </c>
      <c r="D17" s="47"/>
      <c r="E17" s="45" t="s">
        <v>64</v>
      </c>
      <c r="F17" s="45" t="s">
        <v>65</v>
      </c>
      <c r="G17" s="45" t="s">
        <v>981</v>
      </c>
      <c r="H17" s="45" t="s">
        <v>982</v>
      </c>
      <c r="I17" s="45" t="s">
        <v>983</v>
      </c>
      <c r="J17" s="45">
        <v>569419018</v>
      </c>
      <c r="K17" s="45" t="s">
        <v>790</v>
      </c>
      <c r="L17" s="48">
        <v>26.56</v>
      </c>
      <c r="M17" s="49">
        <v>20241014626</v>
      </c>
      <c r="N17" s="50" t="s">
        <v>28</v>
      </c>
      <c r="O17" s="50"/>
      <c r="P17" s="50"/>
      <c r="Q17" s="51"/>
      <c r="R17" s="50"/>
      <c r="S17" s="50"/>
      <c r="T17" s="51"/>
      <c r="U17" s="50"/>
    </row>
    <row r="18" spans="1:21" x14ac:dyDescent="0.25">
      <c r="A18" s="45" t="s">
        <v>20</v>
      </c>
      <c r="B18" s="46">
        <v>45622</v>
      </c>
      <c r="C18" s="45" t="s">
        <v>244</v>
      </c>
      <c r="D18" s="47"/>
      <c r="E18" s="45" t="s">
        <v>64</v>
      </c>
      <c r="F18" s="45" t="s">
        <v>65</v>
      </c>
      <c r="G18" s="45" t="s">
        <v>981</v>
      </c>
      <c r="H18" s="45" t="s">
        <v>982</v>
      </c>
      <c r="I18" s="45" t="s">
        <v>983</v>
      </c>
      <c r="J18" s="45">
        <v>569419018</v>
      </c>
      <c r="K18" s="45" t="s">
        <v>984</v>
      </c>
      <c r="L18" s="48">
        <v>10.47</v>
      </c>
      <c r="M18" s="49">
        <v>20241014627</v>
      </c>
      <c r="N18" s="50" t="s">
        <v>28</v>
      </c>
      <c r="O18" s="50"/>
      <c r="P18" s="50"/>
      <c r="Q18" s="51"/>
      <c r="R18" s="50"/>
      <c r="S18" s="50"/>
      <c r="T18" s="51"/>
      <c r="U18" s="50"/>
    </row>
    <row r="19" spans="1:21" x14ac:dyDescent="0.25">
      <c r="A19" s="45" t="s">
        <v>20</v>
      </c>
      <c r="B19" s="46">
        <v>45595</v>
      </c>
      <c r="C19" s="45" t="s">
        <v>294</v>
      </c>
      <c r="D19" s="47"/>
      <c r="E19" s="45" t="s">
        <v>64</v>
      </c>
      <c r="F19" s="45" t="s">
        <v>65</v>
      </c>
      <c r="G19" s="45" t="s">
        <v>981</v>
      </c>
      <c r="H19" s="45" t="s">
        <v>982</v>
      </c>
      <c r="I19" s="45" t="s">
        <v>983</v>
      </c>
      <c r="J19" s="45">
        <v>569419018</v>
      </c>
      <c r="K19" s="45" t="s">
        <v>891</v>
      </c>
      <c r="L19" s="48">
        <v>20.39</v>
      </c>
      <c r="M19" s="49">
        <v>20241014629</v>
      </c>
      <c r="N19" s="50" t="s">
        <v>28</v>
      </c>
      <c r="O19" s="50"/>
      <c r="P19" s="50"/>
      <c r="Q19" s="51"/>
      <c r="R19" s="50"/>
      <c r="S19" s="50"/>
      <c r="T19" s="51"/>
      <c r="U19" s="50"/>
    </row>
    <row r="20" spans="1:21" x14ac:dyDescent="0.25">
      <c r="A20" s="45" t="s">
        <v>20</v>
      </c>
      <c r="B20" s="46">
        <v>45595</v>
      </c>
      <c r="C20" s="45" t="s">
        <v>294</v>
      </c>
      <c r="D20" s="47"/>
      <c r="E20" s="45" t="s">
        <v>64</v>
      </c>
      <c r="F20" s="45" t="s">
        <v>65</v>
      </c>
      <c r="G20" s="45" t="s">
        <v>981</v>
      </c>
      <c r="H20" s="45" t="s">
        <v>982</v>
      </c>
      <c r="I20" s="45" t="s">
        <v>983</v>
      </c>
      <c r="J20" s="45">
        <v>569419018</v>
      </c>
      <c r="K20" s="45" t="s">
        <v>985</v>
      </c>
      <c r="L20" s="48">
        <v>1.07</v>
      </c>
      <c r="M20" s="49">
        <v>20241014383</v>
      </c>
      <c r="N20" s="50" t="s">
        <v>28</v>
      </c>
      <c r="O20" s="50"/>
      <c r="P20" s="50"/>
      <c r="Q20" s="51"/>
      <c r="R20" s="50"/>
      <c r="S20" s="50"/>
      <c r="T20" s="51"/>
      <c r="U20" s="50"/>
    </row>
    <row r="21" spans="1:21" x14ac:dyDescent="0.25">
      <c r="A21" s="45" t="s">
        <v>20</v>
      </c>
      <c r="B21" s="46">
        <v>45595</v>
      </c>
      <c r="C21" s="45" t="s">
        <v>294</v>
      </c>
      <c r="D21" s="47"/>
      <c r="E21" s="45" t="s">
        <v>64</v>
      </c>
      <c r="F21" s="45" t="s">
        <v>65</v>
      </c>
      <c r="G21" s="45" t="s">
        <v>981</v>
      </c>
      <c r="H21" s="45" t="s">
        <v>982</v>
      </c>
      <c r="I21" s="45" t="s">
        <v>983</v>
      </c>
      <c r="J21" s="45">
        <v>569419018</v>
      </c>
      <c r="K21" s="45" t="s">
        <v>187</v>
      </c>
      <c r="L21" s="48">
        <v>0.9</v>
      </c>
      <c r="M21" s="49">
        <v>20241014387</v>
      </c>
      <c r="N21" s="50" t="s">
        <v>28</v>
      </c>
      <c r="O21" s="50"/>
      <c r="P21" s="50"/>
      <c r="Q21" s="51"/>
      <c r="R21" s="50"/>
      <c r="S21" s="50"/>
      <c r="T21" s="51"/>
      <c r="U21" s="50"/>
    </row>
    <row r="22" spans="1:21" x14ac:dyDescent="0.25">
      <c r="A22" s="45" t="s">
        <v>20</v>
      </c>
      <c r="B22" s="46">
        <v>45595</v>
      </c>
      <c r="C22" s="45" t="s">
        <v>294</v>
      </c>
      <c r="D22" s="47"/>
      <c r="E22" s="45" t="s">
        <v>64</v>
      </c>
      <c r="F22" s="45" t="s">
        <v>65</v>
      </c>
      <c r="G22" s="45" t="s">
        <v>981</v>
      </c>
      <c r="H22" s="45" t="s">
        <v>982</v>
      </c>
      <c r="I22" s="45" t="s">
        <v>983</v>
      </c>
      <c r="J22" s="45">
        <v>569419018</v>
      </c>
      <c r="K22" s="45" t="s">
        <v>986</v>
      </c>
      <c r="L22" s="48">
        <v>18.43</v>
      </c>
      <c r="M22" s="49">
        <v>20241014390</v>
      </c>
      <c r="N22" s="50" t="s">
        <v>28</v>
      </c>
      <c r="O22" s="50"/>
      <c r="P22" s="50"/>
      <c r="Q22" s="51"/>
      <c r="R22" s="50"/>
      <c r="S22" s="50"/>
      <c r="T22" s="51"/>
      <c r="U22" s="50"/>
    </row>
    <row r="23" spans="1:21" x14ac:dyDescent="0.25">
      <c r="A23" s="45" t="s">
        <v>20</v>
      </c>
      <c r="B23" s="46">
        <v>45595</v>
      </c>
      <c r="C23" s="45" t="s">
        <v>294</v>
      </c>
      <c r="D23" s="47"/>
      <c r="E23" s="45" t="s">
        <v>64</v>
      </c>
      <c r="F23" s="45" t="s">
        <v>65</v>
      </c>
      <c r="G23" s="45" t="s">
        <v>981</v>
      </c>
      <c r="H23" s="45" t="s">
        <v>982</v>
      </c>
      <c r="I23" s="45" t="s">
        <v>983</v>
      </c>
      <c r="J23" s="45">
        <v>569419018</v>
      </c>
      <c r="K23" s="45" t="s">
        <v>45</v>
      </c>
      <c r="L23" s="48">
        <v>41.66</v>
      </c>
      <c r="M23" s="49">
        <v>20241014392</v>
      </c>
      <c r="N23" s="50" t="s">
        <v>28</v>
      </c>
      <c r="O23" s="50"/>
      <c r="P23" s="50"/>
      <c r="Q23" s="51"/>
      <c r="R23" s="50"/>
      <c r="S23" s="50"/>
      <c r="T23" s="51"/>
      <c r="U23" s="50"/>
    </row>
    <row r="24" spans="1:21" x14ac:dyDescent="0.25">
      <c r="A24" s="45" t="s">
        <v>20</v>
      </c>
      <c r="B24" s="46">
        <v>45595</v>
      </c>
      <c r="C24" s="45" t="s">
        <v>294</v>
      </c>
      <c r="D24" s="47"/>
      <c r="E24" s="45" t="s">
        <v>64</v>
      </c>
      <c r="F24" s="45" t="s">
        <v>65</v>
      </c>
      <c r="G24" s="45" t="s">
        <v>981</v>
      </c>
      <c r="H24" s="45" t="s">
        <v>982</v>
      </c>
      <c r="I24" s="45" t="s">
        <v>983</v>
      </c>
      <c r="J24" s="45">
        <v>569419018</v>
      </c>
      <c r="K24" s="45" t="s">
        <v>987</v>
      </c>
      <c r="L24" s="48">
        <v>9.42</v>
      </c>
      <c r="M24" s="49">
        <v>20241014491</v>
      </c>
      <c r="N24" s="50" t="s">
        <v>28</v>
      </c>
      <c r="O24" s="50"/>
      <c r="P24" s="50"/>
      <c r="Q24" s="51"/>
      <c r="R24" s="50"/>
      <c r="S24" s="50"/>
      <c r="T24" s="51"/>
      <c r="U24" s="50"/>
    </row>
    <row r="25" spans="1:21" x14ac:dyDescent="0.25">
      <c r="A25" s="45" t="s">
        <v>20</v>
      </c>
      <c r="B25" s="46">
        <v>45595</v>
      </c>
      <c r="C25" s="45" t="s">
        <v>294</v>
      </c>
      <c r="D25" s="47"/>
      <c r="E25" s="45" t="s">
        <v>64</v>
      </c>
      <c r="F25" s="45" t="s">
        <v>65</v>
      </c>
      <c r="G25" s="45" t="s">
        <v>981</v>
      </c>
      <c r="H25" s="45" t="s">
        <v>982</v>
      </c>
      <c r="I25" s="45" t="s">
        <v>983</v>
      </c>
      <c r="J25" s="45">
        <v>569419018</v>
      </c>
      <c r="K25" s="45" t="s">
        <v>126</v>
      </c>
      <c r="L25" s="48">
        <v>9.4700000000000006</v>
      </c>
      <c r="M25" s="49">
        <v>20241014538</v>
      </c>
      <c r="N25" s="50" t="s">
        <v>28</v>
      </c>
      <c r="O25" s="50"/>
      <c r="P25" s="50"/>
      <c r="Q25" s="51"/>
      <c r="R25" s="50"/>
      <c r="S25" s="50"/>
      <c r="T25" s="51"/>
      <c r="U25" s="50"/>
    </row>
    <row r="26" spans="1:21" x14ac:dyDescent="0.25">
      <c r="A26" s="45" t="s">
        <v>20</v>
      </c>
      <c r="B26" s="46">
        <v>45595</v>
      </c>
      <c r="C26" s="45" t="s">
        <v>294</v>
      </c>
      <c r="D26" s="47"/>
      <c r="E26" s="45" t="s">
        <v>64</v>
      </c>
      <c r="F26" s="45" t="s">
        <v>65</v>
      </c>
      <c r="G26" s="45" t="s">
        <v>981</v>
      </c>
      <c r="H26" s="45" t="s">
        <v>982</v>
      </c>
      <c r="I26" s="45" t="s">
        <v>983</v>
      </c>
      <c r="J26" s="45">
        <v>569419018</v>
      </c>
      <c r="K26" s="45" t="s">
        <v>45</v>
      </c>
      <c r="L26" s="48">
        <v>18.71</v>
      </c>
      <c r="M26" s="49">
        <v>20241014534</v>
      </c>
      <c r="N26" s="50" t="s">
        <v>28</v>
      </c>
      <c r="O26" s="50"/>
      <c r="P26" s="50"/>
      <c r="Q26" s="51"/>
      <c r="R26" s="50"/>
      <c r="S26" s="50"/>
      <c r="T26" s="51"/>
      <c r="U26" s="50"/>
    </row>
    <row r="27" spans="1:21" x14ac:dyDescent="0.25">
      <c r="A27" s="45" t="s">
        <v>20</v>
      </c>
      <c r="B27" s="46">
        <v>45595</v>
      </c>
      <c r="C27" s="45" t="s">
        <v>294</v>
      </c>
      <c r="D27" s="47"/>
      <c r="E27" s="45" t="s">
        <v>64</v>
      </c>
      <c r="F27" s="45" t="s">
        <v>65</v>
      </c>
      <c r="G27" s="45" t="s">
        <v>981</v>
      </c>
      <c r="H27" s="45" t="s">
        <v>982</v>
      </c>
      <c r="I27" s="45" t="s">
        <v>983</v>
      </c>
      <c r="J27" s="45">
        <v>569419018</v>
      </c>
      <c r="K27" s="45" t="s">
        <v>988</v>
      </c>
      <c r="L27" s="48">
        <v>37.64</v>
      </c>
      <c r="M27" s="49">
        <v>20241014519</v>
      </c>
      <c r="N27" s="50" t="s">
        <v>28</v>
      </c>
      <c r="O27" s="50"/>
      <c r="P27" s="50"/>
      <c r="Q27" s="51"/>
      <c r="R27" s="50"/>
      <c r="S27" s="50"/>
      <c r="T27" s="51"/>
      <c r="U27" s="50"/>
    </row>
    <row r="28" spans="1:21" x14ac:dyDescent="0.25">
      <c r="A28" s="45" t="s">
        <v>20</v>
      </c>
      <c r="B28" s="46">
        <v>45595</v>
      </c>
      <c r="C28" s="45" t="s">
        <v>294</v>
      </c>
      <c r="D28" s="47"/>
      <c r="E28" s="45" t="s">
        <v>64</v>
      </c>
      <c r="F28" s="45" t="s">
        <v>65</v>
      </c>
      <c r="G28" s="45" t="s">
        <v>981</v>
      </c>
      <c r="H28" s="45" t="s">
        <v>982</v>
      </c>
      <c r="I28" s="45" t="s">
        <v>983</v>
      </c>
      <c r="J28" s="45">
        <v>569419018</v>
      </c>
      <c r="K28" s="45" t="s">
        <v>989</v>
      </c>
      <c r="L28" s="48">
        <v>6.64</v>
      </c>
      <c r="M28" s="49">
        <v>20241014479</v>
      </c>
      <c r="N28" s="50" t="s">
        <v>28</v>
      </c>
      <c r="O28" s="50"/>
      <c r="P28" s="50"/>
      <c r="Q28" s="51"/>
      <c r="R28" s="50"/>
      <c r="S28" s="50"/>
      <c r="T28" s="51"/>
      <c r="U28" s="50"/>
    </row>
    <row r="29" spans="1:21" x14ac:dyDescent="0.25">
      <c r="A29" s="45" t="s">
        <v>20</v>
      </c>
      <c r="B29" s="46">
        <v>45595</v>
      </c>
      <c r="C29" s="45" t="s">
        <v>294</v>
      </c>
      <c r="D29" s="47"/>
      <c r="E29" s="45" t="s">
        <v>64</v>
      </c>
      <c r="F29" s="45" t="s">
        <v>65</v>
      </c>
      <c r="G29" s="45" t="s">
        <v>981</v>
      </c>
      <c r="H29" s="45" t="s">
        <v>982</v>
      </c>
      <c r="I29" s="45" t="s">
        <v>983</v>
      </c>
      <c r="J29" s="45">
        <v>569419018</v>
      </c>
      <c r="K29" s="45" t="s">
        <v>985</v>
      </c>
      <c r="L29" s="48">
        <v>6.64</v>
      </c>
      <c r="M29" s="49">
        <v>20241014395</v>
      </c>
      <c r="N29" s="50" t="s">
        <v>28</v>
      </c>
      <c r="O29" s="50"/>
      <c r="P29" s="50"/>
      <c r="Q29" s="51"/>
      <c r="R29" s="50"/>
      <c r="S29" s="50"/>
      <c r="T29" s="51"/>
      <c r="U29" s="50"/>
    </row>
    <row r="30" spans="1:21" x14ac:dyDescent="0.25">
      <c r="A30" s="45" t="s">
        <v>20</v>
      </c>
      <c r="B30" s="46">
        <v>45595</v>
      </c>
      <c r="C30" s="45" t="s">
        <v>294</v>
      </c>
      <c r="D30" s="47"/>
      <c r="E30" s="45" t="s">
        <v>64</v>
      </c>
      <c r="F30" s="45" t="s">
        <v>65</v>
      </c>
      <c r="G30" s="45" t="s">
        <v>981</v>
      </c>
      <c r="H30" s="45" t="s">
        <v>982</v>
      </c>
      <c r="I30" s="45" t="s">
        <v>983</v>
      </c>
      <c r="J30" s="45">
        <v>569419018</v>
      </c>
      <c r="K30" s="45" t="s">
        <v>990</v>
      </c>
      <c r="L30" s="48">
        <v>15.74</v>
      </c>
      <c r="M30" s="49">
        <v>20241014396</v>
      </c>
      <c r="N30" s="50" t="s">
        <v>28</v>
      </c>
      <c r="O30" s="50"/>
      <c r="P30" s="50"/>
      <c r="Q30" s="51"/>
      <c r="R30" s="50"/>
      <c r="S30" s="50"/>
      <c r="T30" s="51"/>
      <c r="U30" s="50"/>
    </row>
    <row r="31" spans="1:21" x14ac:dyDescent="0.25">
      <c r="A31" s="45" t="s">
        <v>20</v>
      </c>
      <c r="B31" s="46">
        <v>45595</v>
      </c>
      <c r="C31" s="45" t="s">
        <v>294</v>
      </c>
      <c r="D31" s="47"/>
      <c r="E31" s="45" t="s">
        <v>64</v>
      </c>
      <c r="F31" s="45" t="s">
        <v>65</v>
      </c>
      <c r="G31" s="45" t="s">
        <v>981</v>
      </c>
      <c r="H31" s="45" t="s">
        <v>982</v>
      </c>
      <c r="I31" s="45" t="s">
        <v>983</v>
      </c>
      <c r="J31" s="45">
        <v>569419018</v>
      </c>
      <c r="K31" s="45" t="s">
        <v>991</v>
      </c>
      <c r="L31" s="48">
        <v>3</v>
      </c>
      <c r="M31" s="49">
        <v>20241014487</v>
      </c>
      <c r="N31" s="50" t="s">
        <v>28</v>
      </c>
      <c r="O31" s="50"/>
      <c r="P31" s="50"/>
      <c r="Q31" s="51"/>
      <c r="R31" s="50"/>
      <c r="S31" s="50"/>
      <c r="T31" s="51"/>
      <c r="U31" s="50"/>
    </row>
    <row r="32" spans="1:21" x14ac:dyDescent="0.25">
      <c r="A32" s="45" t="s">
        <v>20</v>
      </c>
      <c r="B32" s="46">
        <v>45595</v>
      </c>
      <c r="C32" s="45" t="s">
        <v>294</v>
      </c>
      <c r="D32" s="47"/>
      <c r="E32" s="45" t="s">
        <v>609</v>
      </c>
      <c r="F32" s="45" t="s">
        <v>610</v>
      </c>
      <c r="G32" s="45" t="s">
        <v>992</v>
      </c>
      <c r="H32" s="45" t="s">
        <v>993</v>
      </c>
      <c r="I32" s="45" t="s">
        <v>994</v>
      </c>
      <c r="J32" s="45">
        <v>575872909</v>
      </c>
      <c r="K32" s="45" t="s">
        <v>856</v>
      </c>
      <c r="L32" s="48">
        <v>58</v>
      </c>
      <c r="M32" s="49">
        <v>20241014677</v>
      </c>
      <c r="N32" s="50" t="s">
        <v>28</v>
      </c>
      <c r="O32" s="50"/>
      <c r="P32" s="50"/>
      <c r="Q32" s="51"/>
      <c r="R32" s="50"/>
      <c r="S32" s="50"/>
      <c r="T32" s="51"/>
      <c r="U32" s="50"/>
    </row>
    <row r="33" spans="1:21" x14ac:dyDescent="0.25">
      <c r="A33" s="45" t="s">
        <v>29</v>
      </c>
      <c r="B33" s="46">
        <v>45595</v>
      </c>
      <c r="C33" s="45" t="s">
        <v>294</v>
      </c>
      <c r="D33" s="47"/>
      <c r="E33" s="45" t="s">
        <v>107</v>
      </c>
      <c r="F33" s="45" t="s">
        <v>108</v>
      </c>
      <c r="G33" s="45" t="s">
        <v>995</v>
      </c>
      <c r="H33" s="45" t="s">
        <v>54</v>
      </c>
      <c r="I33" s="45" t="s">
        <v>996</v>
      </c>
      <c r="J33" s="45">
        <v>459756554</v>
      </c>
      <c r="K33" s="45" t="s">
        <v>759</v>
      </c>
      <c r="L33" s="48">
        <v>75</v>
      </c>
      <c r="M33" s="49">
        <v>20241016517</v>
      </c>
      <c r="N33" s="50" t="s">
        <v>28</v>
      </c>
      <c r="O33" s="50"/>
      <c r="P33" s="50"/>
      <c r="Q33" s="51"/>
      <c r="R33" s="50"/>
      <c r="S33" s="50"/>
      <c r="T33" s="51"/>
      <c r="U33" s="50"/>
    </row>
    <row r="34" spans="1:21" x14ac:dyDescent="0.25">
      <c r="A34" s="45" t="s">
        <v>20</v>
      </c>
      <c r="B34" s="46">
        <v>45595</v>
      </c>
      <c r="C34" s="45" t="s">
        <v>294</v>
      </c>
      <c r="D34" s="47"/>
      <c r="E34" s="45" t="s">
        <v>107</v>
      </c>
      <c r="F34" s="45" t="s">
        <v>108</v>
      </c>
      <c r="G34" s="45" t="s">
        <v>171</v>
      </c>
      <c r="H34" s="45" t="s">
        <v>997</v>
      </c>
      <c r="I34" s="45" t="s">
        <v>998</v>
      </c>
      <c r="J34" s="45">
        <v>460773685</v>
      </c>
      <c r="K34" s="45" t="s">
        <v>999</v>
      </c>
      <c r="L34" s="48">
        <v>48.48</v>
      </c>
      <c r="M34" s="49">
        <v>20241017161</v>
      </c>
      <c r="N34" s="50" t="s">
        <v>28</v>
      </c>
      <c r="O34" s="50"/>
      <c r="P34" s="50"/>
      <c r="Q34" s="51"/>
      <c r="R34" s="50"/>
      <c r="S34" s="50"/>
      <c r="T34" s="51"/>
      <c r="U34" s="50"/>
    </row>
    <row r="35" spans="1:21" x14ac:dyDescent="0.25">
      <c r="A35" s="45" t="s">
        <v>20</v>
      </c>
      <c r="B35" s="46">
        <v>45595</v>
      </c>
      <c r="C35" s="45" t="s">
        <v>294</v>
      </c>
      <c r="D35" s="47"/>
      <c r="E35" s="45" t="s">
        <v>107</v>
      </c>
      <c r="F35" s="45" t="s">
        <v>108</v>
      </c>
      <c r="G35" s="45" t="s">
        <v>1000</v>
      </c>
      <c r="H35" s="45" t="s">
        <v>959</v>
      </c>
      <c r="I35" s="45" t="s">
        <v>1001</v>
      </c>
      <c r="J35" s="45">
        <v>461517212</v>
      </c>
      <c r="K35" s="45" t="s">
        <v>223</v>
      </c>
      <c r="L35" s="48">
        <v>4.97</v>
      </c>
      <c r="M35" s="49">
        <v>20240920561</v>
      </c>
      <c r="N35" s="50" t="s">
        <v>28</v>
      </c>
      <c r="O35" s="50"/>
      <c r="P35" s="50"/>
      <c r="Q35" s="51"/>
      <c r="R35" s="50"/>
      <c r="S35" s="50"/>
      <c r="T35" s="51"/>
      <c r="U35" s="50"/>
    </row>
    <row r="36" spans="1:21" x14ac:dyDescent="0.25">
      <c r="A36" s="45" t="s">
        <v>29</v>
      </c>
      <c r="B36" s="46">
        <v>45595</v>
      </c>
      <c r="C36" s="45" t="s">
        <v>294</v>
      </c>
      <c r="D36" s="47"/>
      <c r="E36" s="45" t="s">
        <v>107</v>
      </c>
      <c r="F36" s="45" t="s">
        <v>108</v>
      </c>
      <c r="G36" s="45" t="s">
        <v>1002</v>
      </c>
      <c r="H36" s="45" t="s">
        <v>1003</v>
      </c>
      <c r="I36" s="45" t="s">
        <v>1004</v>
      </c>
      <c r="J36" s="45">
        <v>461571912</v>
      </c>
      <c r="K36" s="45" t="s">
        <v>1005</v>
      </c>
      <c r="L36" s="48">
        <v>105</v>
      </c>
      <c r="M36" s="49">
        <v>20241014454</v>
      </c>
      <c r="N36" s="50" t="s">
        <v>28</v>
      </c>
      <c r="O36" s="50"/>
      <c r="P36" s="50"/>
      <c r="Q36" s="51"/>
      <c r="R36" s="50"/>
      <c r="S36" s="50"/>
      <c r="T36" s="51"/>
      <c r="U36" s="50"/>
    </row>
    <row r="37" spans="1:21" x14ac:dyDescent="0.25">
      <c r="A37" s="45" t="s">
        <v>29</v>
      </c>
      <c r="B37" s="46">
        <v>45595</v>
      </c>
      <c r="C37" s="45" t="s">
        <v>294</v>
      </c>
      <c r="D37" s="47"/>
      <c r="E37" s="45" t="s">
        <v>107</v>
      </c>
      <c r="F37" s="45" t="s">
        <v>108</v>
      </c>
      <c r="G37" s="45" t="s">
        <v>1002</v>
      </c>
      <c r="H37" s="45" t="s">
        <v>1003</v>
      </c>
      <c r="I37" s="45" t="s">
        <v>1004</v>
      </c>
      <c r="J37" s="45">
        <v>461571912</v>
      </c>
      <c r="K37" s="45" t="s">
        <v>759</v>
      </c>
      <c r="L37" s="48">
        <v>105</v>
      </c>
      <c r="M37" s="49">
        <v>20241017176</v>
      </c>
      <c r="N37" s="50" t="s">
        <v>28</v>
      </c>
      <c r="O37" s="50"/>
      <c r="P37" s="50"/>
      <c r="Q37" s="51"/>
      <c r="R37" s="50"/>
      <c r="S37" s="50"/>
      <c r="T37" s="51"/>
      <c r="U37" s="50"/>
    </row>
    <row r="38" spans="1:21" x14ac:dyDescent="0.25">
      <c r="A38" s="45" t="s">
        <v>20</v>
      </c>
      <c r="B38" s="46">
        <v>45595</v>
      </c>
      <c r="C38" s="45" t="s">
        <v>294</v>
      </c>
      <c r="D38" s="47"/>
      <c r="E38" s="45" t="s">
        <v>107</v>
      </c>
      <c r="F38" s="45" t="s">
        <v>108</v>
      </c>
      <c r="G38" s="45" t="s">
        <v>368</v>
      </c>
      <c r="H38" s="45" t="s">
        <v>64</v>
      </c>
      <c r="I38" s="45" t="s">
        <v>217</v>
      </c>
      <c r="J38" s="45">
        <v>461612251</v>
      </c>
      <c r="K38" s="45" t="s">
        <v>840</v>
      </c>
      <c r="L38" s="48">
        <v>19.96</v>
      </c>
      <c r="M38" s="49">
        <v>20241017384</v>
      </c>
      <c r="N38" s="50" t="s">
        <v>28</v>
      </c>
      <c r="O38" s="50"/>
      <c r="P38" s="50"/>
      <c r="Q38" s="51"/>
      <c r="R38" s="50"/>
      <c r="S38" s="50"/>
      <c r="T38" s="51"/>
      <c r="U38" s="50"/>
    </row>
    <row r="39" spans="1:21" x14ac:dyDescent="0.25">
      <c r="A39" s="45" t="s">
        <v>20</v>
      </c>
      <c r="B39" s="46">
        <v>45595</v>
      </c>
      <c r="C39" s="45" t="s">
        <v>294</v>
      </c>
      <c r="D39" s="47"/>
      <c r="E39" s="45" t="s">
        <v>107</v>
      </c>
      <c r="F39" s="45" t="s">
        <v>108</v>
      </c>
      <c r="G39" s="45" t="s">
        <v>368</v>
      </c>
      <c r="H39" s="45" t="s">
        <v>64</v>
      </c>
      <c r="I39" s="45" t="s">
        <v>217</v>
      </c>
      <c r="J39" s="45">
        <v>461612251</v>
      </c>
      <c r="K39" s="45" t="s">
        <v>840</v>
      </c>
      <c r="L39" s="48">
        <v>19.96</v>
      </c>
      <c r="M39" s="49">
        <v>20241017264</v>
      </c>
      <c r="N39" s="50" t="s">
        <v>28</v>
      </c>
      <c r="O39" s="50"/>
      <c r="P39" s="50"/>
      <c r="Q39" s="51"/>
      <c r="R39" s="50"/>
      <c r="S39" s="50"/>
      <c r="T39" s="51"/>
      <c r="U39" s="50"/>
    </row>
    <row r="40" spans="1:21" x14ac:dyDescent="0.25">
      <c r="A40" s="45" t="s">
        <v>20</v>
      </c>
      <c r="B40" s="46">
        <v>45595</v>
      </c>
      <c r="C40" s="45" t="s">
        <v>294</v>
      </c>
      <c r="D40" s="47"/>
      <c r="E40" s="45" t="s">
        <v>107</v>
      </c>
      <c r="F40" s="45" t="s">
        <v>108</v>
      </c>
      <c r="G40" s="45" t="s">
        <v>171</v>
      </c>
      <c r="H40" s="45" t="s">
        <v>1006</v>
      </c>
      <c r="I40" s="45" t="s">
        <v>1007</v>
      </c>
      <c r="J40" s="45">
        <v>461870360</v>
      </c>
      <c r="K40" s="45" t="s">
        <v>336</v>
      </c>
      <c r="L40" s="48">
        <v>20</v>
      </c>
      <c r="M40" s="49">
        <v>20241014420</v>
      </c>
      <c r="N40" s="50" t="s">
        <v>28</v>
      </c>
      <c r="O40" s="50"/>
      <c r="P40" s="50"/>
      <c r="Q40" s="51"/>
      <c r="R40" s="50"/>
      <c r="S40" s="50"/>
      <c r="T40" s="51"/>
      <c r="U40" s="50"/>
    </row>
    <row r="41" spans="1:21" x14ac:dyDescent="0.25">
      <c r="A41" s="45" t="s">
        <v>20</v>
      </c>
      <c r="B41" s="46">
        <v>45595</v>
      </c>
      <c r="C41" s="45" t="s">
        <v>294</v>
      </c>
      <c r="D41" s="47"/>
      <c r="E41" s="45" t="s">
        <v>107</v>
      </c>
      <c r="F41" s="45" t="s">
        <v>108</v>
      </c>
      <c r="G41" s="45" t="s">
        <v>171</v>
      </c>
      <c r="H41" s="45" t="s">
        <v>1006</v>
      </c>
      <c r="I41" s="45" t="s">
        <v>1007</v>
      </c>
      <c r="J41" s="45">
        <v>461870360</v>
      </c>
      <c r="K41" s="45" t="s">
        <v>76</v>
      </c>
      <c r="L41" s="48">
        <v>20</v>
      </c>
      <c r="M41" s="49">
        <v>20241014421</v>
      </c>
      <c r="N41" s="50" t="s">
        <v>28</v>
      </c>
      <c r="O41" s="50"/>
      <c r="P41" s="50"/>
      <c r="Q41" s="51"/>
      <c r="R41" s="50"/>
      <c r="S41" s="50"/>
      <c r="T41" s="51"/>
      <c r="U41" s="50"/>
    </row>
    <row r="42" spans="1:21" x14ac:dyDescent="0.25">
      <c r="A42" s="45" t="s">
        <v>20</v>
      </c>
      <c r="B42" s="46">
        <v>45609</v>
      </c>
      <c r="C42" s="45" t="s">
        <v>34</v>
      </c>
      <c r="D42" s="47"/>
      <c r="E42" s="45" t="s">
        <v>107</v>
      </c>
      <c r="F42" s="45" t="s">
        <v>108</v>
      </c>
      <c r="G42" s="45" t="s">
        <v>171</v>
      </c>
      <c r="H42" s="45" t="s">
        <v>1006</v>
      </c>
      <c r="I42" s="45" t="s">
        <v>1007</v>
      </c>
      <c r="J42" s="45">
        <v>461870360</v>
      </c>
      <c r="K42" s="45" t="s">
        <v>336</v>
      </c>
      <c r="L42" s="48">
        <v>20</v>
      </c>
      <c r="M42" s="49">
        <v>20241014418</v>
      </c>
      <c r="N42" s="50" t="s">
        <v>28</v>
      </c>
      <c r="O42" s="50"/>
      <c r="P42" s="50"/>
      <c r="Q42" s="51"/>
      <c r="R42" s="50"/>
      <c r="S42" s="50"/>
      <c r="T42" s="51"/>
      <c r="U42" s="50"/>
    </row>
    <row r="43" spans="1:21" x14ac:dyDescent="0.25">
      <c r="A43" s="45" t="s">
        <v>20</v>
      </c>
      <c r="B43" s="46">
        <v>45609</v>
      </c>
      <c r="C43" s="45" t="s">
        <v>34</v>
      </c>
      <c r="D43" s="47"/>
      <c r="E43" s="45" t="s">
        <v>107</v>
      </c>
      <c r="F43" s="45" t="s">
        <v>108</v>
      </c>
      <c r="G43" s="45" t="s">
        <v>178</v>
      </c>
      <c r="H43" s="45" t="s">
        <v>1008</v>
      </c>
      <c r="I43" s="45" t="s">
        <v>1009</v>
      </c>
      <c r="J43" s="45">
        <v>462476459</v>
      </c>
      <c r="K43" s="45" t="s">
        <v>856</v>
      </c>
      <c r="L43" s="48">
        <v>12.99</v>
      </c>
      <c r="M43" s="49">
        <v>20241017203</v>
      </c>
      <c r="N43" s="50"/>
      <c r="O43" s="50"/>
      <c r="P43" s="50" t="s">
        <v>304</v>
      </c>
      <c r="Q43" s="51" t="s">
        <v>1010</v>
      </c>
      <c r="R43" s="50"/>
      <c r="S43" s="50"/>
      <c r="T43" s="51"/>
      <c r="U43" s="50"/>
    </row>
    <row r="44" spans="1:21" ht="25.5" x14ac:dyDescent="0.25">
      <c r="A44" s="45" t="s">
        <v>20</v>
      </c>
      <c r="B44" s="46">
        <v>45609</v>
      </c>
      <c r="C44" s="45" t="s">
        <v>34</v>
      </c>
      <c r="D44" s="47"/>
      <c r="E44" s="45" t="s">
        <v>107</v>
      </c>
      <c r="F44" s="45" t="s">
        <v>108</v>
      </c>
      <c r="G44" s="45" t="s">
        <v>1011</v>
      </c>
      <c r="H44" s="45" t="s">
        <v>1012</v>
      </c>
      <c r="I44" s="45" t="s">
        <v>1013</v>
      </c>
      <c r="J44" s="45">
        <v>462654654</v>
      </c>
      <c r="K44" s="45" t="s">
        <v>62</v>
      </c>
      <c r="L44" s="48">
        <v>30</v>
      </c>
      <c r="M44" s="49">
        <v>20241015526</v>
      </c>
      <c r="N44" s="50" t="s">
        <v>28</v>
      </c>
      <c r="O44" s="50"/>
      <c r="P44" s="50"/>
      <c r="Q44" s="51"/>
      <c r="R44" s="50"/>
      <c r="S44" s="50"/>
      <c r="T44" s="51"/>
      <c r="U44" s="50"/>
    </row>
    <row r="45" spans="1:21" x14ac:dyDescent="0.25">
      <c r="A45" s="45" t="s">
        <v>20</v>
      </c>
      <c r="B45" s="46">
        <v>45609</v>
      </c>
      <c r="C45" s="45" t="s">
        <v>34</v>
      </c>
      <c r="D45" s="47"/>
      <c r="E45" s="45" t="s">
        <v>107</v>
      </c>
      <c r="F45" s="45" t="s">
        <v>108</v>
      </c>
      <c r="G45" s="45" t="s">
        <v>1014</v>
      </c>
      <c r="H45" s="45" t="s">
        <v>1015</v>
      </c>
      <c r="I45" s="45" t="s">
        <v>1016</v>
      </c>
      <c r="J45" s="45">
        <v>462891734</v>
      </c>
      <c r="K45" s="45" t="s">
        <v>932</v>
      </c>
      <c r="L45" s="48">
        <v>368</v>
      </c>
      <c r="M45" s="49">
        <v>20241018531</v>
      </c>
      <c r="N45" s="50" t="s">
        <v>28</v>
      </c>
      <c r="O45" s="50"/>
      <c r="P45" s="50"/>
      <c r="Q45" s="51"/>
      <c r="R45" s="50"/>
      <c r="S45" s="50"/>
      <c r="T45" s="51"/>
      <c r="U45" s="50"/>
    </row>
    <row r="46" spans="1:21" x14ac:dyDescent="0.25">
      <c r="A46" s="45" t="s">
        <v>20</v>
      </c>
      <c r="B46" s="46">
        <v>45609</v>
      </c>
      <c r="C46" s="45" t="s">
        <v>34</v>
      </c>
      <c r="D46" s="47"/>
      <c r="E46" s="45" t="s">
        <v>107</v>
      </c>
      <c r="F46" s="45" t="s">
        <v>108</v>
      </c>
      <c r="G46" s="45" t="s">
        <v>1017</v>
      </c>
      <c r="H46" s="45" t="s">
        <v>137</v>
      </c>
      <c r="I46" s="45" t="s">
        <v>1018</v>
      </c>
      <c r="J46" s="45">
        <v>462933189</v>
      </c>
      <c r="K46" s="45" t="s">
        <v>1019</v>
      </c>
      <c r="L46" s="48">
        <v>99</v>
      </c>
      <c r="M46" s="49">
        <v>20241016545</v>
      </c>
      <c r="N46" s="50" t="s">
        <v>28</v>
      </c>
      <c r="O46" s="50"/>
      <c r="P46" s="50"/>
      <c r="Q46" s="51"/>
      <c r="R46" s="50"/>
      <c r="S46" s="50"/>
      <c r="T46" s="51"/>
      <c r="U46" s="50"/>
    </row>
    <row r="47" spans="1:21" x14ac:dyDescent="0.25">
      <c r="A47" s="45" t="s">
        <v>20</v>
      </c>
      <c r="B47" s="46">
        <v>45609</v>
      </c>
      <c r="C47" s="45" t="s">
        <v>34</v>
      </c>
      <c r="D47" s="47"/>
      <c r="E47" s="45" t="s">
        <v>107</v>
      </c>
      <c r="F47" s="45" t="s">
        <v>108</v>
      </c>
      <c r="G47" s="45" t="s">
        <v>812</v>
      </c>
      <c r="H47" s="45" t="s">
        <v>1020</v>
      </c>
      <c r="I47" s="45" t="s">
        <v>1021</v>
      </c>
      <c r="J47" s="45">
        <v>463499966</v>
      </c>
      <c r="K47" s="45" t="s">
        <v>147</v>
      </c>
      <c r="L47" s="48">
        <v>2.21</v>
      </c>
      <c r="M47" s="49">
        <v>20241014380</v>
      </c>
      <c r="N47" s="50" t="s">
        <v>28</v>
      </c>
      <c r="O47" s="50"/>
      <c r="P47" s="50"/>
      <c r="Q47" s="51"/>
      <c r="R47" s="50"/>
      <c r="S47" s="50"/>
      <c r="T47" s="51"/>
      <c r="U47" s="50"/>
    </row>
    <row r="48" spans="1:21" x14ac:dyDescent="0.25">
      <c r="A48" s="45" t="s">
        <v>20</v>
      </c>
      <c r="B48" s="46">
        <v>45609</v>
      </c>
      <c r="C48" s="45" t="s">
        <v>34</v>
      </c>
      <c r="D48" s="47"/>
      <c r="E48" s="45" t="s">
        <v>162</v>
      </c>
      <c r="F48" s="45" t="s">
        <v>163</v>
      </c>
      <c r="G48" s="45" t="s">
        <v>263</v>
      </c>
      <c r="H48" s="45" t="s">
        <v>1008</v>
      </c>
      <c r="I48" s="45" t="s">
        <v>1022</v>
      </c>
      <c r="J48" s="45">
        <v>530067437</v>
      </c>
      <c r="K48" s="45" t="s">
        <v>856</v>
      </c>
      <c r="L48" s="48">
        <v>232.64</v>
      </c>
      <c r="M48" s="49">
        <v>20241011472</v>
      </c>
      <c r="N48" s="50" t="s">
        <v>28</v>
      </c>
      <c r="O48" s="50"/>
      <c r="P48" s="50"/>
      <c r="Q48" s="51"/>
      <c r="R48" s="50"/>
      <c r="S48" s="50"/>
      <c r="T48" s="51"/>
      <c r="U48" s="50"/>
    </row>
    <row r="49" spans="1:21" ht="25.5" x14ac:dyDescent="0.25">
      <c r="A49" s="45" t="s">
        <v>20</v>
      </c>
      <c r="B49" s="46">
        <v>45701</v>
      </c>
      <c r="C49" s="45" t="s">
        <v>34</v>
      </c>
      <c r="D49" s="47"/>
      <c r="E49" s="45" t="s">
        <v>176</v>
      </c>
      <c r="F49" s="45" t="s">
        <v>177</v>
      </c>
      <c r="G49" s="45" t="s">
        <v>298</v>
      </c>
      <c r="H49" s="45" t="s">
        <v>1023</v>
      </c>
      <c r="I49" s="45" t="s">
        <v>1024</v>
      </c>
      <c r="J49" s="45">
        <v>56222</v>
      </c>
      <c r="K49" s="45" t="s">
        <v>1025</v>
      </c>
      <c r="L49" s="48">
        <v>436.81</v>
      </c>
      <c r="M49" s="49">
        <v>20241014998</v>
      </c>
      <c r="N49" s="50" t="s">
        <v>28</v>
      </c>
      <c r="O49" s="50"/>
      <c r="P49" s="50"/>
      <c r="Q49" s="51"/>
      <c r="R49" s="50"/>
      <c r="S49" s="50"/>
      <c r="T49" s="51"/>
      <c r="U49" s="50"/>
    </row>
    <row r="50" spans="1:21" ht="25.5" x14ac:dyDescent="0.25">
      <c r="A50" s="45" t="s">
        <v>20</v>
      </c>
      <c r="B50" s="46">
        <v>45701</v>
      </c>
      <c r="C50" s="45" t="s">
        <v>34</v>
      </c>
      <c r="D50" s="47"/>
      <c r="E50" s="45" t="s">
        <v>176</v>
      </c>
      <c r="F50" s="45" t="s">
        <v>177</v>
      </c>
      <c r="G50" s="45" t="s">
        <v>298</v>
      </c>
      <c r="H50" s="45" t="s">
        <v>1023</v>
      </c>
      <c r="I50" s="45" t="s">
        <v>1024</v>
      </c>
      <c r="J50" s="45">
        <v>56222</v>
      </c>
      <c r="K50" s="45" t="s">
        <v>406</v>
      </c>
      <c r="L50" s="48">
        <v>22.43</v>
      </c>
      <c r="M50" s="49">
        <v>202410141000</v>
      </c>
      <c r="N50" s="50" t="s">
        <v>28</v>
      </c>
      <c r="O50" s="50"/>
      <c r="P50" s="50"/>
      <c r="Q50" s="51"/>
      <c r="R50" s="50"/>
      <c r="S50" s="50"/>
      <c r="T50" s="51"/>
      <c r="U50" s="50"/>
    </row>
    <row r="51" spans="1:21" x14ac:dyDescent="0.25">
      <c r="A51" s="45" t="s">
        <v>29</v>
      </c>
      <c r="B51" s="46">
        <v>45701</v>
      </c>
      <c r="C51" s="45" t="s">
        <v>34</v>
      </c>
      <c r="D51" s="47"/>
      <c r="E51" s="45" t="s">
        <v>176</v>
      </c>
      <c r="F51" s="45" t="s">
        <v>177</v>
      </c>
      <c r="G51" s="45" t="s">
        <v>164</v>
      </c>
      <c r="H51" s="45" t="s">
        <v>1026</v>
      </c>
      <c r="I51" s="45" t="s">
        <v>1027</v>
      </c>
      <c r="J51" s="45">
        <v>56277</v>
      </c>
      <c r="K51" s="45" t="s">
        <v>52</v>
      </c>
      <c r="L51" s="48">
        <v>1185</v>
      </c>
      <c r="M51" s="49">
        <v>202410141018</v>
      </c>
      <c r="N51" s="50" t="s">
        <v>28</v>
      </c>
      <c r="O51" s="50"/>
      <c r="P51" s="50"/>
      <c r="Q51" s="51"/>
      <c r="R51" s="50"/>
      <c r="S51" s="50"/>
      <c r="T51" s="51"/>
      <c r="U51" s="50"/>
    </row>
    <row r="52" spans="1:21" x14ac:dyDescent="0.25">
      <c r="A52" s="45" t="s">
        <v>20</v>
      </c>
      <c r="B52" s="46">
        <v>45701</v>
      </c>
      <c r="C52" s="45" t="s">
        <v>34</v>
      </c>
      <c r="D52" s="47"/>
      <c r="E52" s="45" t="s">
        <v>176</v>
      </c>
      <c r="F52" s="45" t="s">
        <v>177</v>
      </c>
      <c r="G52" s="45" t="s">
        <v>164</v>
      </c>
      <c r="H52" s="45" t="s">
        <v>137</v>
      </c>
      <c r="I52" s="45" t="s">
        <v>1028</v>
      </c>
      <c r="J52" s="45">
        <v>67724</v>
      </c>
      <c r="K52" s="45" t="s">
        <v>270</v>
      </c>
      <c r="L52" s="48">
        <v>125</v>
      </c>
      <c r="M52" s="49">
        <v>202410141017</v>
      </c>
      <c r="N52" s="50" t="s">
        <v>28</v>
      </c>
      <c r="O52" s="50"/>
      <c r="P52" s="50"/>
      <c r="Q52" s="51"/>
      <c r="R52" s="50"/>
      <c r="S52" s="50"/>
      <c r="T52" s="51"/>
      <c r="U52" s="50"/>
    </row>
    <row r="53" spans="1:21" x14ac:dyDescent="0.25">
      <c r="A53" s="45" t="s">
        <v>29</v>
      </c>
      <c r="B53" s="46">
        <v>45701</v>
      </c>
      <c r="C53" s="45" t="s">
        <v>34</v>
      </c>
      <c r="D53" s="47"/>
      <c r="E53" s="45" t="s">
        <v>176</v>
      </c>
      <c r="F53" s="45" t="s">
        <v>177</v>
      </c>
      <c r="G53" s="45" t="s">
        <v>164</v>
      </c>
      <c r="H53" s="45" t="s">
        <v>1029</v>
      </c>
      <c r="I53" s="45" t="s">
        <v>1030</v>
      </c>
      <c r="J53" s="45">
        <v>69174</v>
      </c>
      <c r="K53" s="45" t="s">
        <v>382</v>
      </c>
      <c r="L53" s="48">
        <v>1004.46</v>
      </c>
      <c r="M53" s="49">
        <v>20241016468</v>
      </c>
      <c r="N53" s="50" t="s">
        <v>28</v>
      </c>
      <c r="O53" s="50"/>
      <c r="P53" s="50"/>
      <c r="Q53" s="51"/>
      <c r="R53" s="50"/>
      <c r="S53" s="50"/>
      <c r="T53" s="51"/>
      <c r="U53" s="50"/>
    </row>
    <row r="54" spans="1:21" x14ac:dyDescent="0.25">
      <c r="A54" s="45" t="s">
        <v>20</v>
      </c>
      <c r="B54" s="46">
        <v>45701</v>
      </c>
      <c r="C54" s="45" t="s">
        <v>34</v>
      </c>
      <c r="D54" s="47"/>
      <c r="E54" s="45" t="s">
        <v>176</v>
      </c>
      <c r="F54" s="45" t="s">
        <v>177</v>
      </c>
      <c r="G54" s="45" t="s">
        <v>164</v>
      </c>
      <c r="H54" s="45" t="s">
        <v>1031</v>
      </c>
      <c r="I54" s="45" t="s">
        <v>1032</v>
      </c>
      <c r="J54" s="45">
        <v>73521</v>
      </c>
      <c r="K54" s="45" t="s">
        <v>1033</v>
      </c>
      <c r="L54" s="48">
        <v>30</v>
      </c>
      <c r="M54" s="49">
        <v>20241015736</v>
      </c>
      <c r="N54" s="50" t="s">
        <v>28</v>
      </c>
      <c r="O54" s="50"/>
      <c r="P54" s="50"/>
      <c r="Q54" s="51"/>
      <c r="R54" s="50"/>
      <c r="S54" s="50"/>
      <c r="T54" s="51"/>
      <c r="U54" s="50"/>
    </row>
    <row r="55" spans="1:21" x14ac:dyDescent="0.25">
      <c r="A55" s="45" t="s">
        <v>70</v>
      </c>
      <c r="B55" s="46">
        <v>45701</v>
      </c>
      <c r="C55" s="45" t="s">
        <v>34</v>
      </c>
      <c r="D55" s="47"/>
      <c r="E55" s="45" t="s">
        <v>176</v>
      </c>
      <c r="F55" s="45" t="s">
        <v>177</v>
      </c>
      <c r="G55" s="45" t="s">
        <v>298</v>
      </c>
      <c r="H55" s="45" t="s">
        <v>307</v>
      </c>
      <c r="I55" s="45" t="s">
        <v>308</v>
      </c>
      <c r="J55" s="45">
        <v>73791</v>
      </c>
      <c r="K55" s="45" t="s">
        <v>271</v>
      </c>
      <c r="L55" s="48">
        <v>31</v>
      </c>
      <c r="M55" s="49">
        <v>20241015730</v>
      </c>
      <c r="N55" s="50" t="s">
        <v>28</v>
      </c>
      <c r="O55" s="50"/>
      <c r="P55" s="50"/>
      <c r="Q55" s="51"/>
      <c r="R55" s="50"/>
      <c r="S55" s="50"/>
      <c r="T55" s="51"/>
      <c r="U55" s="50"/>
    </row>
    <row r="56" spans="1:21" x14ac:dyDescent="0.25">
      <c r="A56" s="45" t="s">
        <v>70</v>
      </c>
      <c r="B56" s="46">
        <v>45701</v>
      </c>
      <c r="C56" s="45" t="s">
        <v>34</v>
      </c>
      <c r="D56" s="47"/>
      <c r="E56" s="45" t="s">
        <v>176</v>
      </c>
      <c r="F56" s="45" t="s">
        <v>177</v>
      </c>
      <c r="G56" s="45" t="s">
        <v>298</v>
      </c>
      <c r="H56" s="45" t="s">
        <v>307</v>
      </c>
      <c r="I56" s="45" t="s">
        <v>308</v>
      </c>
      <c r="J56" s="45">
        <v>73791</v>
      </c>
      <c r="K56" s="45" t="s">
        <v>213</v>
      </c>
      <c r="L56" s="48">
        <v>31</v>
      </c>
      <c r="M56" s="49">
        <v>20241015731</v>
      </c>
      <c r="N56" s="50" t="s">
        <v>28</v>
      </c>
      <c r="O56" s="50"/>
      <c r="P56" s="50"/>
      <c r="Q56" s="51"/>
      <c r="R56" s="50"/>
      <c r="S56" s="50"/>
      <c r="T56" s="51"/>
      <c r="U56" s="50"/>
    </row>
    <row r="57" spans="1:21" x14ac:dyDescent="0.25">
      <c r="A57" s="45" t="s">
        <v>70</v>
      </c>
      <c r="B57" s="46">
        <v>45701</v>
      </c>
      <c r="C57" s="45" t="s">
        <v>34</v>
      </c>
      <c r="D57" s="47"/>
      <c r="E57" s="45" t="s">
        <v>176</v>
      </c>
      <c r="F57" s="45" t="s">
        <v>177</v>
      </c>
      <c r="G57" s="45" t="s">
        <v>298</v>
      </c>
      <c r="H57" s="45" t="s">
        <v>307</v>
      </c>
      <c r="I57" s="45" t="s">
        <v>308</v>
      </c>
      <c r="J57" s="45">
        <v>73791</v>
      </c>
      <c r="K57" s="45" t="s">
        <v>105</v>
      </c>
      <c r="L57" s="48">
        <v>3</v>
      </c>
      <c r="M57" s="49">
        <v>20241015734</v>
      </c>
      <c r="N57" s="50" t="s">
        <v>28</v>
      </c>
      <c r="O57" s="50"/>
      <c r="P57" s="50"/>
      <c r="Q57" s="51"/>
      <c r="R57" s="50"/>
      <c r="S57" s="50"/>
      <c r="T57" s="51"/>
      <c r="U57" s="50"/>
    </row>
    <row r="58" spans="1:21" x14ac:dyDescent="0.25">
      <c r="A58" s="45" t="s">
        <v>20</v>
      </c>
      <c r="B58" s="46">
        <v>45701</v>
      </c>
      <c r="C58" s="45" t="s">
        <v>34</v>
      </c>
      <c r="D58" s="47"/>
      <c r="E58" s="45" t="s">
        <v>176</v>
      </c>
      <c r="F58" s="45" t="s">
        <v>177</v>
      </c>
      <c r="G58" s="45" t="s">
        <v>298</v>
      </c>
      <c r="H58" s="45" t="s">
        <v>1034</v>
      </c>
      <c r="I58" s="45" t="s">
        <v>1035</v>
      </c>
      <c r="J58" s="45">
        <v>74857</v>
      </c>
      <c r="K58" s="45" t="s">
        <v>1036</v>
      </c>
      <c r="L58" s="48">
        <v>118.52</v>
      </c>
      <c r="M58" s="49">
        <v>20241014997</v>
      </c>
      <c r="N58" s="50" t="s">
        <v>28</v>
      </c>
      <c r="O58" s="50"/>
      <c r="P58" s="50"/>
      <c r="Q58" s="51"/>
      <c r="R58" s="50"/>
      <c r="S58" s="50"/>
      <c r="T58" s="51"/>
      <c r="U58" s="50"/>
    </row>
    <row r="59" spans="1:21" x14ac:dyDescent="0.25">
      <c r="A59" s="45" t="s">
        <v>70</v>
      </c>
      <c r="B59" s="46">
        <v>45701</v>
      </c>
      <c r="C59" s="45" t="s">
        <v>34</v>
      </c>
      <c r="D59" s="47"/>
      <c r="E59" s="45" t="s">
        <v>176</v>
      </c>
      <c r="F59" s="45" t="s">
        <v>177</v>
      </c>
      <c r="G59" s="45" t="s">
        <v>298</v>
      </c>
      <c r="H59" s="45" t="s">
        <v>1037</v>
      </c>
      <c r="I59" s="45" t="s">
        <v>1038</v>
      </c>
      <c r="J59" s="45">
        <v>75844</v>
      </c>
      <c r="K59" s="45" t="s">
        <v>48</v>
      </c>
      <c r="L59" s="48">
        <v>250</v>
      </c>
      <c r="M59" s="49">
        <v>20241017590</v>
      </c>
      <c r="N59" s="50" t="s">
        <v>28</v>
      </c>
      <c r="O59" s="50"/>
      <c r="P59" s="50"/>
      <c r="Q59" s="51"/>
      <c r="R59" s="50"/>
      <c r="S59" s="50"/>
      <c r="T59" s="51"/>
      <c r="U59" s="50"/>
    </row>
    <row r="60" spans="1:21" x14ac:dyDescent="0.25">
      <c r="A60" s="45" t="s">
        <v>70</v>
      </c>
      <c r="B60" s="46">
        <v>45701</v>
      </c>
      <c r="C60" s="45" t="s">
        <v>34</v>
      </c>
      <c r="D60" s="47"/>
      <c r="E60" s="45" t="s">
        <v>176</v>
      </c>
      <c r="F60" s="45" t="s">
        <v>177</v>
      </c>
      <c r="G60" s="45" t="s">
        <v>298</v>
      </c>
      <c r="H60" s="45" t="s">
        <v>1037</v>
      </c>
      <c r="I60" s="45" t="s">
        <v>1038</v>
      </c>
      <c r="J60" s="45">
        <v>75844</v>
      </c>
      <c r="K60" s="45" t="s">
        <v>184</v>
      </c>
      <c r="L60" s="48">
        <v>250</v>
      </c>
      <c r="M60" s="49">
        <v>20241017591</v>
      </c>
      <c r="N60" s="50" t="s">
        <v>28</v>
      </c>
      <c r="O60" s="50"/>
      <c r="P60" s="50"/>
      <c r="Q60" s="51"/>
      <c r="R60" s="50"/>
      <c r="S60" s="50"/>
      <c r="T60" s="51"/>
      <c r="U60" s="50"/>
    </row>
    <row r="61" spans="1:21" x14ac:dyDescent="0.25">
      <c r="A61" s="45" t="s">
        <v>29</v>
      </c>
      <c r="B61" s="46">
        <v>45701</v>
      </c>
      <c r="C61" s="45" t="s">
        <v>34</v>
      </c>
      <c r="D61" s="47"/>
      <c r="E61" s="45" t="s">
        <v>176</v>
      </c>
      <c r="F61" s="45" t="s">
        <v>177</v>
      </c>
      <c r="G61" s="45" t="s">
        <v>1039</v>
      </c>
      <c r="H61" s="45" t="s">
        <v>345</v>
      </c>
      <c r="I61" s="45" t="s">
        <v>1040</v>
      </c>
      <c r="J61" s="45">
        <v>2045201</v>
      </c>
      <c r="K61" s="45" t="s">
        <v>1041</v>
      </c>
      <c r="L61" s="48">
        <v>250</v>
      </c>
      <c r="M61" s="49">
        <v>20241014201</v>
      </c>
      <c r="N61" s="50" t="s">
        <v>28</v>
      </c>
      <c r="O61" s="50"/>
      <c r="P61" s="50"/>
      <c r="Q61" s="51"/>
      <c r="R61" s="50"/>
      <c r="S61" s="50"/>
      <c r="T61" s="51"/>
      <c r="U61" s="50"/>
    </row>
    <row r="62" spans="1:21" x14ac:dyDescent="0.25">
      <c r="A62" s="45" t="s">
        <v>29</v>
      </c>
      <c r="B62" s="46">
        <v>45701</v>
      </c>
      <c r="C62" s="45" t="s">
        <v>34</v>
      </c>
      <c r="D62" s="47"/>
      <c r="E62" s="45" t="s">
        <v>176</v>
      </c>
      <c r="F62" s="45" t="s">
        <v>177</v>
      </c>
      <c r="G62" s="45" t="s">
        <v>1039</v>
      </c>
      <c r="H62" s="45" t="s">
        <v>345</v>
      </c>
      <c r="I62" s="45" t="s">
        <v>1040</v>
      </c>
      <c r="J62" s="45">
        <v>2045201</v>
      </c>
      <c r="K62" s="45" t="s">
        <v>228</v>
      </c>
      <c r="L62" s="48">
        <v>250</v>
      </c>
      <c r="M62" s="49">
        <v>20241014198</v>
      </c>
      <c r="N62" s="50" t="s">
        <v>28</v>
      </c>
      <c r="O62" s="50"/>
      <c r="P62" s="50"/>
      <c r="Q62" s="51"/>
      <c r="R62" s="50"/>
      <c r="S62" s="50"/>
      <c r="T62" s="51"/>
      <c r="U62" s="50"/>
    </row>
    <row r="63" spans="1:21" x14ac:dyDescent="0.25">
      <c r="A63" s="45" t="s">
        <v>29</v>
      </c>
      <c r="B63" s="46">
        <v>45701</v>
      </c>
      <c r="C63" s="45" t="s">
        <v>34</v>
      </c>
      <c r="D63" s="47"/>
      <c r="E63" s="45" t="s">
        <v>176</v>
      </c>
      <c r="F63" s="45" t="s">
        <v>177</v>
      </c>
      <c r="G63" s="45" t="s">
        <v>1039</v>
      </c>
      <c r="H63" s="45" t="s">
        <v>345</v>
      </c>
      <c r="I63" s="45" t="s">
        <v>1040</v>
      </c>
      <c r="J63" s="45">
        <v>2045201</v>
      </c>
      <c r="K63" s="45" t="s">
        <v>1041</v>
      </c>
      <c r="L63" s="48">
        <v>250</v>
      </c>
      <c r="M63" s="49">
        <v>20241014201</v>
      </c>
      <c r="N63" s="50" t="s">
        <v>28</v>
      </c>
      <c r="O63" s="50"/>
      <c r="P63" s="50"/>
      <c r="Q63" s="51"/>
      <c r="R63" s="50"/>
      <c r="S63" s="50"/>
      <c r="T63" s="51"/>
      <c r="U63" s="50"/>
    </row>
    <row r="64" spans="1:21" x14ac:dyDescent="0.25">
      <c r="A64" s="45" t="s">
        <v>314</v>
      </c>
      <c r="B64" s="46">
        <v>45701</v>
      </c>
      <c r="C64" s="45" t="s">
        <v>34</v>
      </c>
      <c r="D64" s="47"/>
      <c r="E64" s="45" t="s">
        <v>208</v>
      </c>
      <c r="F64" s="45" t="s">
        <v>209</v>
      </c>
      <c r="G64" s="45" t="s">
        <v>178</v>
      </c>
      <c r="H64" s="45" t="s">
        <v>1042</v>
      </c>
      <c r="I64" s="45" t="s">
        <v>1043</v>
      </c>
      <c r="J64" s="45">
        <v>121803585</v>
      </c>
      <c r="K64" s="45" t="s">
        <v>269</v>
      </c>
      <c r="L64" s="48">
        <v>216</v>
      </c>
      <c r="M64" s="49">
        <v>20241014339</v>
      </c>
      <c r="N64" s="50" t="s">
        <v>28</v>
      </c>
      <c r="O64" s="50"/>
      <c r="P64" s="50"/>
      <c r="Q64" s="51"/>
      <c r="R64" s="50"/>
      <c r="S64" s="50"/>
      <c r="T64" s="51"/>
      <c r="U64" s="50"/>
    </row>
    <row r="65" spans="1:21" x14ac:dyDescent="0.25">
      <c r="A65" s="45" t="s">
        <v>20</v>
      </c>
      <c r="B65" s="46">
        <v>45701</v>
      </c>
      <c r="C65" s="45" t="s">
        <v>34</v>
      </c>
      <c r="D65" s="47"/>
      <c r="E65" s="45" t="s">
        <v>208</v>
      </c>
      <c r="F65" s="45" t="s">
        <v>209</v>
      </c>
      <c r="G65" s="45" t="s">
        <v>178</v>
      </c>
      <c r="H65" s="45" t="s">
        <v>1044</v>
      </c>
      <c r="I65" s="45" t="s">
        <v>1045</v>
      </c>
      <c r="J65" s="45">
        <v>140624361</v>
      </c>
      <c r="K65" s="45" t="s">
        <v>83</v>
      </c>
      <c r="L65" s="48">
        <v>200</v>
      </c>
      <c r="M65" s="49">
        <v>20241014244</v>
      </c>
      <c r="N65" s="50" t="s">
        <v>28</v>
      </c>
      <c r="O65" s="50"/>
      <c r="P65" s="50"/>
      <c r="Q65" s="51"/>
      <c r="R65" s="50"/>
      <c r="S65" s="50"/>
      <c r="T65" s="51"/>
      <c r="U65" s="50"/>
    </row>
    <row r="66" spans="1:21" x14ac:dyDescent="0.25">
      <c r="A66" s="45" t="s">
        <v>233</v>
      </c>
      <c r="B66" s="46">
        <v>45701</v>
      </c>
      <c r="C66" s="45" t="s">
        <v>34</v>
      </c>
      <c r="D66" s="47"/>
      <c r="E66" s="45" t="s">
        <v>208</v>
      </c>
      <c r="F66" s="45" t="s">
        <v>209</v>
      </c>
      <c r="G66" s="45" t="s">
        <v>1046</v>
      </c>
      <c r="H66" s="45" t="s">
        <v>1047</v>
      </c>
      <c r="I66" s="45" t="s">
        <v>1048</v>
      </c>
      <c r="J66" s="45">
        <v>167422366</v>
      </c>
      <c r="K66" s="45" t="s">
        <v>56</v>
      </c>
      <c r="L66" s="48">
        <v>57</v>
      </c>
      <c r="M66" s="49">
        <v>20241016360</v>
      </c>
      <c r="N66" s="50" t="s">
        <v>28</v>
      </c>
      <c r="O66" s="50"/>
      <c r="P66" s="50"/>
      <c r="Q66" s="51"/>
      <c r="R66" s="50"/>
      <c r="S66" s="50"/>
      <c r="T66" s="51"/>
      <c r="U66" s="50"/>
    </row>
    <row r="67" spans="1:21" x14ac:dyDescent="0.25">
      <c r="A67" s="45" t="s">
        <v>20</v>
      </c>
      <c r="B67" s="46">
        <v>45701</v>
      </c>
      <c r="C67" s="45" t="s">
        <v>34</v>
      </c>
      <c r="D67" s="47"/>
      <c r="E67" s="45" t="s">
        <v>208</v>
      </c>
      <c r="F67" s="45" t="s">
        <v>209</v>
      </c>
      <c r="G67" s="45" t="s">
        <v>178</v>
      </c>
      <c r="H67" s="45" t="s">
        <v>84</v>
      </c>
      <c r="I67" s="45" t="s">
        <v>1049</v>
      </c>
      <c r="J67" s="45">
        <v>213063518</v>
      </c>
      <c r="K67" s="45" t="s">
        <v>59</v>
      </c>
      <c r="L67" s="48">
        <v>125.25</v>
      </c>
      <c r="M67" s="49">
        <v>20241014306</v>
      </c>
      <c r="N67" s="50" t="s">
        <v>28</v>
      </c>
      <c r="O67" s="50"/>
      <c r="P67" s="50"/>
      <c r="Q67" s="51"/>
      <c r="R67" s="50"/>
      <c r="S67" s="50"/>
      <c r="T67" s="51"/>
      <c r="U67" s="50"/>
    </row>
    <row r="68" spans="1:21" x14ac:dyDescent="0.25">
      <c r="A68" s="45" t="s">
        <v>20</v>
      </c>
      <c r="B68" s="46">
        <v>45701</v>
      </c>
      <c r="C68" s="45" t="s">
        <v>34</v>
      </c>
      <c r="D68" s="47"/>
      <c r="E68" s="45" t="s">
        <v>208</v>
      </c>
      <c r="F68" s="45" t="s">
        <v>209</v>
      </c>
      <c r="G68" s="45" t="s">
        <v>178</v>
      </c>
      <c r="H68" s="45" t="s">
        <v>1050</v>
      </c>
      <c r="I68" s="45" t="s">
        <v>1051</v>
      </c>
      <c r="J68" s="45">
        <v>216908121</v>
      </c>
      <c r="K68" s="45" t="s">
        <v>76</v>
      </c>
      <c r="L68" s="48">
        <v>4860</v>
      </c>
      <c r="M68" s="49">
        <v>20241014353</v>
      </c>
      <c r="N68" s="50" t="s">
        <v>28</v>
      </c>
      <c r="O68" s="50"/>
      <c r="P68" s="50"/>
      <c r="Q68" s="51"/>
      <c r="R68" s="50"/>
      <c r="S68" s="50"/>
      <c r="T68" s="51"/>
      <c r="U68" s="50"/>
    </row>
    <row r="69" spans="1:21" x14ac:dyDescent="0.25">
      <c r="A69" s="45" t="s">
        <v>20</v>
      </c>
      <c r="B69" s="46">
        <v>45701</v>
      </c>
      <c r="C69" s="45" t="s">
        <v>34</v>
      </c>
      <c r="D69" s="47"/>
      <c r="E69" s="45" t="s">
        <v>208</v>
      </c>
      <c r="F69" s="45" t="s">
        <v>209</v>
      </c>
      <c r="G69" s="45" t="s">
        <v>178</v>
      </c>
      <c r="H69" s="45" t="s">
        <v>1050</v>
      </c>
      <c r="I69" s="45" t="s">
        <v>1051</v>
      </c>
      <c r="J69" s="45">
        <v>216908121</v>
      </c>
      <c r="K69" s="45" t="s">
        <v>123</v>
      </c>
      <c r="L69" s="48">
        <v>37.11</v>
      </c>
      <c r="M69" s="49">
        <v>20241014277</v>
      </c>
      <c r="N69" s="50" t="s">
        <v>28</v>
      </c>
      <c r="O69" s="50"/>
      <c r="P69" s="50"/>
      <c r="Q69" s="51"/>
      <c r="R69" s="50"/>
      <c r="S69" s="50"/>
      <c r="T69" s="51"/>
      <c r="U69" s="50"/>
    </row>
    <row r="70" spans="1:21" x14ac:dyDescent="0.25">
      <c r="A70" s="45" t="s">
        <v>20</v>
      </c>
      <c r="B70" s="46">
        <v>45701</v>
      </c>
      <c r="C70" s="45" t="s">
        <v>34</v>
      </c>
      <c r="D70" s="47"/>
      <c r="E70" s="45" t="s">
        <v>208</v>
      </c>
      <c r="F70" s="45" t="s">
        <v>209</v>
      </c>
      <c r="G70" s="45" t="s">
        <v>178</v>
      </c>
      <c r="H70" s="45" t="s">
        <v>1052</v>
      </c>
      <c r="I70" s="45" t="s">
        <v>1053</v>
      </c>
      <c r="J70" s="45">
        <v>218027319</v>
      </c>
      <c r="K70" s="45" t="s">
        <v>741</v>
      </c>
      <c r="L70" s="48">
        <v>300</v>
      </c>
      <c r="M70" s="49">
        <v>20241014332</v>
      </c>
      <c r="N70" s="50" t="s">
        <v>28</v>
      </c>
      <c r="O70" s="50"/>
      <c r="P70" s="50"/>
      <c r="Q70" s="51"/>
      <c r="R70" s="50"/>
      <c r="S70" s="50"/>
      <c r="T70" s="51"/>
      <c r="U70" s="50"/>
    </row>
    <row r="71" spans="1:21" x14ac:dyDescent="0.25">
      <c r="A71" s="45" t="s">
        <v>20</v>
      </c>
      <c r="B71" s="46">
        <v>45701</v>
      </c>
      <c r="C71" s="45" t="s">
        <v>34</v>
      </c>
      <c r="D71" s="47"/>
      <c r="E71" s="45" t="s">
        <v>208</v>
      </c>
      <c r="F71" s="45" t="s">
        <v>209</v>
      </c>
      <c r="G71" s="45" t="s">
        <v>178</v>
      </c>
      <c r="H71" s="45" t="s">
        <v>1052</v>
      </c>
      <c r="I71" s="45" t="s">
        <v>1053</v>
      </c>
      <c r="J71" s="45">
        <v>218027319</v>
      </c>
      <c r="K71" s="45" t="s">
        <v>933</v>
      </c>
      <c r="L71" s="48">
        <v>37</v>
      </c>
      <c r="M71" s="49">
        <v>20241014292</v>
      </c>
      <c r="N71" s="50" t="s">
        <v>28</v>
      </c>
      <c r="O71" s="50"/>
      <c r="P71" s="50"/>
      <c r="Q71" s="51"/>
      <c r="R71" s="50"/>
      <c r="S71" s="50"/>
      <c r="T71" s="51"/>
      <c r="U71" s="50"/>
    </row>
    <row r="72" spans="1:21" x14ac:dyDescent="0.25">
      <c r="A72" s="45" t="s">
        <v>29</v>
      </c>
      <c r="B72" s="46">
        <v>45701</v>
      </c>
      <c r="C72" s="45" t="s">
        <v>34</v>
      </c>
      <c r="D72" s="47"/>
      <c r="E72" s="45" t="s">
        <v>208</v>
      </c>
      <c r="F72" s="45" t="s">
        <v>209</v>
      </c>
      <c r="G72" s="45" t="s">
        <v>178</v>
      </c>
      <c r="H72" s="45" t="s">
        <v>341</v>
      </c>
      <c r="I72" s="45" t="s">
        <v>1054</v>
      </c>
      <c r="J72" s="45">
        <v>220705297</v>
      </c>
      <c r="K72" s="45" t="s">
        <v>104</v>
      </c>
      <c r="L72" s="48">
        <v>2425</v>
      </c>
      <c r="M72" s="49">
        <v>20241014266</v>
      </c>
      <c r="N72" s="50" t="s">
        <v>28</v>
      </c>
      <c r="O72" s="50"/>
      <c r="P72" s="50"/>
      <c r="Q72" s="51"/>
      <c r="R72" s="50"/>
      <c r="S72" s="50"/>
      <c r="T72" s="51"/>
      <c r="U72" s="50"/>
    </row>
    <row r="73" spans="1:21" x14ac:dyDescent="0.25">
      <c r="A73" s="45" t="s">
        <v>29</v>
      </c>
      <c r="B73" s="46">
        <v>45595</v>
      </c>
      <c r="C73" s="45" t="s">
        <v>175</v>
      </c>
      <c r="D73" s="47"/>
      <c r="E73" s="45" t="s">
        <v>208</v>
      </c>
      <c r="F73" s="45" t="s">
        <v>209</v>
      </c>
      <c r="G73" s="45" t="s">
        <v>178</v>
      </c>
      <c r="H73" s="45" t="s">
        <v>1055</v>
      </c>
      <c r="I73" s="45" t="s">
        <v>1056</v>
      </c>
      <c r="J73" s="45">
        <v>227335308</v>
      </c>
      <c r="K73" s="45" t="s">
        <v>232</v>
      </c>
      <c r="L73" s="48">
        <v>660</v>
      </c>
      <c r="M73" s="49">
        <v>20241014279</v>
      </c>
      <c r="N73" s="50" t="s">
        <v>28</v>
      </c>
      <c r="O73" s="50"/>
      <c r="P73" s="50"/>
      <c r="Q73" s="51"/>
      <c r="R73" s="50"/>
      <c r="S73" s="50"/>
      <c r="T73" s="51"/>
      <c r="U73" s="50"/>
    </row>
    <row r="74" spans="1:21" x14ac:dyDescent="0.25">
      <c r="A74" s="45" t="s">
        <v>29</v>
      </c>
      <c r="B74" s="46">
        <v>45595</v>
      </c>
      <c r="C74" s="45" t="s">
        <v>175</v>
      </c>
      <c r="D74" s="47"/>
      <c r="E74" s="45" t="s">
        <v>208</v>
      </c>
      <c r="F74" s="45" t="s">
        <v>209</v>
      </c>
      <c r="G74" s="45" t="s">
        <v>178</v>
      </c>
      <c r="H74" s="45" t="s">
        <v>350</v>
      </c>
      <c r="I74" s="45" t="s">
        <v>1057</v>
      </c>
      <c r="J74" s="45">
        <v>230373922</v>
      </c>
      <c r="K74" s="45" t="s">
        <v>406</v>
      </c>
      <c r="L74" s="48">
        <v>1046.53</v>
      </c>
      <c r="M74" s="49">
        <v>20241014285</v>
      </c>
      <c r="N74" s="50" t="s">
        <v>28</v>
      </c>
      <c r="O74" s="50"/>
      <c r="P74" s="50"/>
      <c r="Q74" s="51"/>
      <c r="R74" s="50"/>
      <c r="S74" s="50"/>
      <c r="T74" s="51"/>
      <c r="U74" s="50"/>
    </row>
    <row r="75" spans="1:21" x14ac:dyDescent="0.25">
      <c r="A75" s="45" t="s">
        <v>20</v>
      </c>
      <c r="B75" s="46">
        <v>45595</v>
      </c>
      <c r="C75" s="45" t="s">
        <v>175</v>
      </c>
      <c r="D75" s="47"/>
      <c r="E75" s="45" t="s">
        <v>208</v>
      </c>
      <c r="F75" s="45" t="s">
        <v>209</v>
      </c>
      <c r="G75" s="45" t="s">
        <v>178</v>
      </c>
      <c r="H75" s="45" t="s">
        <v>1058</v>
      </c>
      <c r="I75" s="45" t="s">
        <v>85</v>
      </c>
      <c r="J75" s="45">
        <v>353705909</v>
      </c>
      <c r="K75" s="45" t="s">
        <v>759</v>
      </c>
      <c r="L75" s="48">
        <v>19.989999999999998</v>
      </c>
      <c r="M75" s="49">
        <v>20241014313</v>
      </c>
      <c r="N75" s="50" t="s">
        <v>28</v>
      </c>
      <c r="O75" s="50"/>
      <c r="P75" s="50"/>
      <c r="Q75" s="51"/>
      <c r="R75" s="50"/>
      <c r="S75" s="50"/>
      <c r="T75" s="51"/>
      <c r="U75" s="50"/>
    </row>
    <row r="76" spans="1:21" x14ac:dyDescent="0.25">
      <c r="A76" s="45" t="s">
        <v>20</v>
      </c>
      <c r="B76" s="46">
        <v>45595</v>
      </c>
      <c r="C76" s="45" t="s">
        <v>175</v>
      </c>
      <c r="D76" s="47"/>
      <c r="E76" s="45" t="s">
        <v>208</v>
      </c>
      <c r="F76" s="45" t="s">
        <v>209</v>
      </c>
      <c r="G76" s="45" t="s">
        <v>178</v>
      </c>
      <c r="H76" s="45" t="s">
        <v>1058</v>
      </c>
      <c r="I76" s="45" t="s">
        <v>85</v>
      </c>
      <c r="J76" s="45">
        <v>353705909</v>
      </c>
      <c r="K76" s="45" t="s">
        <v>840</v>
      </c>
      <c r="L76" s="48">
        <v>26.72</v>
      </c>
      <c r="M76" s="49">
        <v>20241014361</v>
      </c>
      <c r="N76" s="50" t="s">
        <v>28</v>
      </c>
      <c r="O76" s="50"/>
      <c r="P76" s="50"/>
      <c r="Q76" s="51"/>
      <c r="R76" s="50"/>
      <c r="S76" s="50"/>
      <c r="T76" s="51"/>
      <c r="U76" s="50"/>
    </row>
    <row r="77" spans="1:21" x14ac:dyDescent="0.25">
      <c r="A77" s="45" t="s">
        <v>29</v>
      </c>
      <c r="B77" s="46">
        <v>45595</v>
      </c>
      <c r="C77" s="45" t="s">
        <v>175</v>
      </c>
      <c r="D77" s="47"/>
      <c r="E77" s="45" t="s">
        <v>208</v>
      </c>
      <c r="F77" s="45" t="s">
        <v>209</v>
      </c>
      <c r="G77" s="45" t="s">
        <v>1059</v>
      </c>
      <c r="H77" s="45" t="s">
        <v>371</v>
      </c>
      <c r="I77" s="45" t="s">
        <v>920</v>
      </c>
      <c r="J77" s="45">
        <v>439779938</v>
      </c>
      <c r="K77" s="45" t="s">
        <v>978</v>
      </c>
      <c r="L77" s="48">
        <v>416.66</v>
      </c>
      <c r="M77" s="49">
        <v>20241014742</v>
      </c>
      <c r="N77" s="50" t="s">
        <v>28</v>
      </c>
      <c r="O77" s="50"/>
      <c r="P77" s="50"/>
      <c r="Q77" s="51"/>
      <c r="R77" s="50"/>
      <c r="S77" s="50"/>
      <c r="T77" s="51"/>
      <c r="U77" s="50"/>
    </row>
    <row r="78" spans="1:21" x14ac:dyDescent="0.25">
      <c r="A78" s="45" t="s">
        <v>29</v>
      </c>
      <c r="B78" s="46">
        <v>45595</v>
      </c>
      <c r="C78" s="45" t="s">
        <v>175</v>
      </c>
      <c r="D78" s="47"/>
      <c r="E78" s="45" t="s">
        <v>208</v>
      </c>
      <c r="F78" s="45" t="s">
        <v>209</v>
      </c>
      <c r="G78" s="45" t="s">
        <v>1059</v>
      </c>
      <c r="H78" s="45" t="s">
        <v>371</v>
      </c>
      <c r="I78" s="45" t="s">
        <v>920</v>
      </c>
      <c r="J78" s="45">
        <v>439779938</v>
      </c>
      <c r="K78" s="45" t="s">
        <v>301</v>
      </c>
      <c r="L78" s="48">
        <v>416.66</v>
      </c>
      <c r="M78" s="49">
        <v>20241014743</v>
      </c>
      <c r="N78" s="50" t="s">
        <v>28</v>
      </c>
      <c r="O78" s="50"/>
      <c r="P78" s="50"/>
      <c r="Q78" s="51"/>
      <c r="R78" s="50"/>
      <c r="S78" s="50"/>
      <c r="T78" s="51"/>
      <c r="U78" s="50"/>
    </row>
    <row r="79" spans="1:21" x14ac:dyDescent="0.25">
      <c r="A79" s="45" t="s">
        <v>849</v>
      </c>
      <c r="B79" s="46">
        <v>45595</v>
      </c>
      <c r="C79" s="45" t="s">
        <v>175</v>
      </c>
      <c r="D79" s="47"/>
      <c r="E79" s="45" t="s">
        <v>245</v>
      </c>
      <c r="F79" s="45" t="s">
        <v>246</v>
      </c>
      <c r="G79" s="45" t="s">
        <v>1060</v>
      </c>
      <c r="H79" s="45" t="s">
        <v>1061</v>
      </c>
      <c r="I79" s="45" t="s">
        <v>1062</v>
      </c>
      <c r="J79" s="45">
        <v>258770340</v>
      </c>
      <c r="K79" s="45" t="s">
        <v>184</v>
      </c>
      <c r="L79" s="48">
        <v>45</v>
      </c>
      <c r="M79" s="49">
        <v>20241016323</v>
      </c>
      <c r="N79" s="50" t="s">
        <v>28</v>
      </c>
      <c r="O79" s="50"/>
      <c r="P79" s="50"/>
      <c r="Q79" s="51"/>
      <c r="R79" s="50"/>
      <c r="S79" s="50"/>
      <c r="T79" s="51"/>
      <c r="U79" s="50"/>
    </row>
    <row r="80" spans="1:21" x14ac:dyDescent="0.25">
      <c r="A80" s="45" t="s">
        <v>849</v>
      </c>
      <c r="B80" s="46">
        <v>45595</v>
      </c>
      <c r="C80" s="45" t="s">
        <v>175</v>
      </c>
      <c r="D80" s="47"/>
      <c r="E80" s="45" t="s">
        <v>245</v>
      </c>
      <c r="F80" s="45" t="s">
        <v>246</v>
      </c>
      <c r="G80" s="45" t="s">
        <v>1060</v>
      </c>
      <c r="H80" s="45" t="s">
        <v>1061</v>
      </c>
      <c r="I80" s="45" t="s">
        <v>1062</v>
      </c>
      <c r="J80" s="45">
        <v>258770340</v>
      </c>
      <c r="K80" s="45" t="s">
        <v>184</v>
      </c>
      <c r="L80" s="48">
        <v>45</v>
      </c>
      <c r="M80" s="49">
        <v>20241016323</v>
      </c>
      <c r="N80" s="50" t="s">
        <v>28</v>
      </c>
      <c r="O80" s="50"/>
      <c r="P80" s="50"/>
      <c r="Q80" s="51"/>
      <c r="R80" s="50"/>
      <c r="S80" s="50"/>
      <c r="T80" s="51"/>
      <c r="U80" s="50"/>
    </row>
    <row r="81" spans="1:21" x14ac:dyDescent="0.25">
      <c r="A81" s="45" t="s">
        <v>324</v>
      </c>
      <c r="B81" s="46">
        <v>45595</v>
      </c>
      <c r="C81" s="45" t="s">
        <v>175</v>
      </c>
      <c r="D81" s="47"/>
      <c r="E81" s="45" t="s">
        <v>245</v>
      </c>
      <c r="F81" s="45" t="s">
        <v>246</v>
      </c>
      <c r="G81" s="45" t="s">
        <v>1063</v>
      </c>
      <c r="H81" s="45" t="s">
        <v>1064</v>
      </c>
      <c r="I81" s="45" t="s">
        <v>1065</v>
      </c>
      <c r="J81" s="45">
        <v>288643403</v>
      </c>
      <c r="K81" s="45" t="s">
        <v>123</v>
      </c>
      <c r="L81" s="48">
        <v>25</v>
      </c>
      <c r="M81" s="49">
        <v>20241017535</v>
      </c>
      <c r="N81" s="50" t="s">
        <v>28</v>
      </c>
      <c r="O81" s="50"/>
      <c r="P81" s="50"/>
      <c r="Q81" s="51"/>
      <c r="R81" s="50"/>
      <c r="S81" s="50"/>
      <c r="T81" s="51"/>
      <c r="U81" s="50"/>
    </row>
    <row r="82" spans="1:21" x14ac:dyDescent="0.25">
      <c r="A82" s="45" t="s">
        <v>324</v>
      </c>
      <c r="B82" s="46">
        <v>45595</v>
      </c>
      <c r="C82" s="45" t="s">
        <v>175</v>
      </c>
      <c r="D82" s="47"/>
      <c r="E82" s="45" t="s">
        <v>245</v>
      </c>
      <c r="F82" s="45" t="s">
        <v>246</v>
      </c>
      <c r="G82" s="45" t="s">
        <v>1063</v>
      </c>
      <c r="H82" s="45" t="s">
        <v>1064</v>
      </c>
      <c r="I82" s="45" t="s">
        <v>1065</v>
      </c>
      <c r="J82" s="45">
        <v>288643403</v>
      </c>
      <c r="K82" s="45" t="s">
        <v>999</v>
      </c>
      <c r="L82" s="48">
        <v>25.98</v>
      </c>
      <c r="M82" s="49">
        <v>20241017536</v>
      </c>
      <c r="N82" s="50" t="s">
        <v>28</v>
      </c>
      <c r="O82" s="50"/>
      <c r="P82" s="50"/>
      <c r="Q82" s="51"/>
      <c r="R82" s="50"/>
      <c r="S82" s="50"/>
      <c r="T82" s="51"/>
      <c r="U82" s="50"/>
    </row>
    <row r="83" spans="1:21" x14ac:dyDescent="0.25">
      <c r="A83" s="45" t="s">
        <v>233</v>
      </c>
      <c r="B83" s="46">
        <v>45595</v>
      </c>
      <c r="C83" s="45" t="s">
        <v>175</v>
      </c>
      <c r="D83" s="47"/>
      <c r="E83" s="45" t="s">
        <v>245</v>
      </c>
      <c r="F83" s="45" t="s">
        <v>246</v>
      </c>
      <c r="G83" s="45" t="s">
        <v>841</v>
      </c>
      <c r="H83" s="45" t="s">
        <v>1066</v>
      </c>
      <c r="I83" s="45" t="s">
        <v>1067</v>
      </c>
      <c r="J83" s="45">
        <v>297741544</v>
      </c>
      <c r="K83" s="45" t="s">
        <v>856</v>
      </c>
      <c r="L83" s="48">
        <v>80</v>
      </c>
      <c r="M83" s="49">
        <v>20241016299</v>
      </c>
      <c r="N83" s="50" t="s">
        <v>28</v>
      </c>
      <c r="O83" s="50"/>
      <c r="P83" s="50"/>
      <c r="Q83" s="51"/>
      <c r="R83" s="50"/>
      <c r="S83" s="50"/>
      <c r="T83" s="51"/>
      <c r="U83" s="50"/>
    </row>
    <row r="84" spans="1:21" x14ac:dyDescent="0.25">
      <c r="A84" s="45" t="s">
        <v>233</v>
      </c>
      <c r="B84" s="46">
        <v>45595</v>
      </c>
      <c r="C84" s="45" t="s">
        <v>175</v>
      </c>
      <c r="D84" s="47"/>
      <c r="E84" s="45" t="s">
        <v>245</v>
      </c>
      <c r="F84" s="45" t="s">
        <v>246</v>
      </c>
      <c r="G84" s="45" t="s">
        <v>841</v>
      </c>
      <c r="H84" s="45" t="s">
        <v>1066</v>
      </c>
      <c r="I84" s="45" t="s">
        <v>1067</v>
      </c>
      <c r="J84" s="45">
        <v>297741544</v>
      </c>
      <c r="K84" s="45" t="s">
        <v>840</v>
      </c>
      <c r="L84" s="48">
        <v>74.14</v>
      </c>
      <c r="M84" s="49">
        <v>20241016297</v>
      </c>
      <c r="N84" s="50" t="s">
        <v>28</v>
      </c>
      <c r="O84" s="50"/>
      <c r="P84" s="50"/>
      <c r="Q84" s="51"/>
      <c r="R84" s="50"/>
      <c r="S84" s="50"/>
      <c r="T84" s="51"/>
      <c r="U84" s="50"/>
    </row>
    <row r="85" spans="1:21" x14ac:dyDescent="0.25">
      <c r="A85" s="45" t="s">
        <v>324</v>
      </c>
      <c r="B85" s="46">
        <v>45595</v>
      </c>
      <c r="C85" s="45" t="s">
        <v>175</v>
      </c>
      <c r="D85" s="47"/>
      <c r="E85" s="45" t="s">
        <v>245</v>
      </c>
      <c r="F85" s="45" t="s">
        <v>246</v>
      </c>
      <c r="G85" s="45" t="s">
        <v>1068</v>
      </c>
      <c r="H85" s="45" t="s">
        <v>1069</v>
      </c>
      <c r="I85" s="45" t="s">
        <v>1070</v>
      </c>
      <c r="J85" s="45">
        <v>367210555</v>
      </c>
      <c r="K85" s="45" t="s">
        <v>1071</v>
      </c>
      <c r="L85" s="48">
        <v>300.29000000000002</v>
      </c>
      <c r="M85" s="49">
        <v>20241018588</v>
      </c>
      <c r="N85" s="50" t="s">
        <v>28</v>
      </c>
      <c r="O85" s="50"/>
      <c r="P85" s="50"/>
      <c r="Q85" s="51"/>
      <c r="R85" s="50"/>
      <c r="S85" s="50"/>
      <c r="T85" s="51"/>
      <c r="U85" s="50"/>
    </row>
    <row r="86" spans="1:21" x14ac:dyDescent="0.25">
      <c r="A86" s="45" t="s">
        <v>375</v>
      </c>
      <c r="B86" s="46">
        <v>45595</v>
      </c>
      <c r="C86" s="45" t="s">
        <v>175</v>
      </c>
      <c r="D86" s="47"/>
      <c r="E86" s="45" t="s">
        <v>245</v>
      </c>
      <c r="F86" s="45" t="s">
        <v>246</v>
      </c>
      <c r="G86" s="45" t="s">
        <v>1072</v>
      </c>
      <c r="H86" s="45" t="s">
        <v>1008</v>
      </c>
      <c r="I86" s="45" t="s">
        <v>1073</v>
      </c>
      <c r="J86" s="45">
        <v>374905322</v>
      </c>
      <c r="K86" s="45" t="s">
        <v>1074</v>
      </c>
      <c r="L86" s="48">
        <v>373</v>
      </c>
      <c r="M86" s="49">
        <v>20241015732</v>
      </c>
      <c r="N86" s="50" t="s">
        <v>28</v>
      </c>
      <c r="O86" s="50"/>
      <c r="P86" s="50"/>
      <c r="Q86" s="51"/>
      <c r="R86" s="50"/>
      <c r="S86" s="50"/>
      <c r="T86" s="51"/>
      <c r="U86" s="50"/>
    </row>
    <row r="87" spans="1:21" x14ac:dyDescent="0.25">
      <c r="A87" s="45" t="s">
        <v>849</v>
      </c>
      <c r="B87" s="46">
        <v>45595</v>
      </c>
      <c r="C87" s="45" t="s">
        <v>175</v>
      </c>
      <c r="D87" s="47"/>
      <c r="E87" s="45" t="s">
        <v>245</v>
      </c>
      <c r="F87" s="45" t="s">
        <v>246</v>
      </c>
      <c r="G87" s="45" t="s">
        <v>1072</v>
      </c>
      <c r="H87" s="45" t="s">
        <v>1008</v>
      </c>
      <c r="I87" s="45" t="s">
        <v>1073</v>
      </c>
      <c r="J87" s="45">
        <v>374905322</v>
      </c>
      <c r="K87" s="45" t="s">
        <v>1075</v>
      </c>
      <c r="L87" s="48">
        <v>2086.6999999999998</v>
      </c>
      <c r="M87" s="49">
        <v>20241015434</v>
      </c>
      <c r="N87" s="50" t="s">
        <v>28</v>
      </c>
      <c r="O87" s="50"/>
      <c r="P87" s="50"/>
      <c r="Q87" s="51"/>
      <c r="R87" s="50"/>
      <c r="S87" s="50"/>
      <c r="T87" s="51"/>
      <c r="U87" s="50"/>
    </row>
    <row r="88" spans="1:21" x14ac:dyDescent="0.25">
      <c r="A88" s="45" t="s">
        <v>375</v>
      </c>
      <c r="B88" s="46">
        <v>45603</v>
      </c>
      <c r="C88" s="45" t="s">
        <v>352</v>
      </c>
      <c r="D88" s="47"/>
      <c r="E88" s="45" t="s">
        <v>245</v>
      </c>
      <c r="F88" s="45" t="s">
        <v>246</v>
      </c>
      <c r="G88" s="45" t="s">
        <v>1072</v>
      </c>
      <c r="H88" s="45" t="s">
        <v>1008</v>
      </c>
      <c r="I88" s="45" t="s">
        <v>1073</v>
      </c>
      <c r="J88" s="45">
        <v>374905322</v>
      </c>
      <c r="K88" s="45" t="s">
        <v>1074</v>
      </c>
      <c r="L88" s="48">
        <v>728</v>
      </c>
      <c r="M88" s="49">
        <v>20241015733</v>
      </c>
      <c r="N88" s="50" t="s">
        <v>28</v>
      </c>
      <c r="O88" s="50"/>
      <c r="P88" s="50"/>
      <c r="Q88" s="51"/>
      <c r="R88" s="50"/>
      <c r="S88" s="50"/>
      <c r="T88" s="51"/>
      <c r="U88" s="50"/>
    </row>
    <row r="89" spans="1:21" x14ac:dyDescent="0.25">
      <c r="A89" s="45" t="s">
        <v>375</v>
      </c>
      <c r="B89" s="46">
        <v>45603</v>
      </c>
      <c r="C89" s="45" t="s">
        <v>352</v>
      </c>
      <c r="D89" s="47"/>
      <c r="E89" s="45" t="s">
        <v>245</v>
      </c>
      <c r="F89" s="45" t="s">
        <v>246</v>
      </c>
      <c r="G89" s="45" t="s">
        <v>1072</v>
      </c>
      <c r="H89" s="45" t="s">
        <v>1008</v>
      </c>
      <c r="I89" s="45" t="s">
        <v>1073</v>
      </c>
      <c r="J89" s="45">
        <v>374905322</v>
      </c>
      <c r="K89" s="45" t="s">
        <v>1075</v>
      </c>
      <c r="L89" s="48">
        <v>2086.6999999999998</v>
      </c>
      <c r="M89" s="49">
        <v>20241015434</v>
      </c>
      <c r="N89" s="50" t="s">
        <v>28</v>
      </c>
      <c r="O89" s="50"/>
      <c r="P89" s="50"/>
      <c r="Q89" s="51"/>
      <c r="R89" s="50"/>
      <c r="S89" s="50"/>
      <c r="T89" s="51"/>
      <c r="U89" s="50"/>
    </row>
    <row r="90" spans="1:21" x14ac:dyDescent="0.25">
      <c r="A90" s="45" t="s">
        <v>29</v>
      </c>
      <c r="B90" s="46">
        <v>45603</v>
      </c>
      <c r="C90" s="45" t="s">
        <v>352</v>
      </c>
      <c r="D90" s="47"/>
      <c r="E90" s="45" t="s">
        <v>245</v>
      </c>
      <c r="F90" s="45" t="s">
        <v>246</v>
      </c>
      <c r="G90" s="45" t="s">
        <v>1076</v>
      </c>
      <c r="H90" s="45" t="s">
        <v>1077</v>
      </c>
      <c r="I90" s="45" t="s">
        <v>1078</v>
      </c>
      <c r="J90" s="45">
        <v>392153645</v>
      </c>
      <c r="K90" s="45" t="s">
        <v>160</v>
      </c>
      <c r="L90" s="48">
        <v>205</v>
      </c>
      <c r="M90" s="49">
        <v>20240913563</v>
      </c>
      <c r="N90" s="50" t="s">
        <v>28</v>
      </c>
      <c r="O90" s="50"/>
      <c r="P90" s="50"/>
      <c r="Q90" s="51"/>
      <c r="R90" s="50"/>
      <c r="S90" s="50"/>
      <c r="T90" s="51"/>
      <c r="U90" s="50"/>
    </row>
    <row r="91" spans="1:21" ht="25.5" x14ac:dyDescent="0.25">
      <c r="A91" s="45" t="s">
        <v>233</v>
      </c>
      <c r="B91" s="46">
        <v>45603</v>
      </c>
      <c r="C91" s="45" t="s">
        <v>352</v>
      </c>
      <c r="D91" s="47"/>
      <c r="E91" s="45" t="s">
        <v>245</v>
      </c>
      <c r="F91" s="45" t="s">
        <v>246</v>
      </c>
      <c r="G91" s="45" t="s">
        <v>1079</v>
      </c>
      <c r="H91" s="45" t="s">
        <v>838</v>
      </c>
      <c r="I91" s="45" t="s">
        <v>1080</v>
      </c>
      <c r="J91" s="45">
        <v>392921777</v>
      </c>
      <c r="K91" s="45" t="s">
        <v>268</v>
      </c>
      <c r="L91" s="48">
        <v>5.34</v>
      </c>
      <c r="M91" s="49">
        <v>20241016307</v>
      </c>
      <c r="N91" s="50" t="s">
        <v>28</v>
      </c>
      <c r="O91" s="50"/>
      <c r="P91" s="50"/>
      <c r="Q91" s="51"/>
      <c r="R91" s="50"/>
      <c r="S91" s="50"/>
      <c r="T91" s="51"/>
      <c r="U91" s="50"/>
    </row>
    <row r="92" spans="1:21" ht="25.5" x14ac:dyDescent="0.25">
      <c r="A92" s="45" t="s">
        <v>233</v>
      </c>
      <c r="B92" s="46">
        <v>45603</v>
      </c>
      <c r="C92" s="45" t="s">
        <v>352</v>
      </c>
      <c r="D92" s="47"/>
      <c r="E92" s="45" t="s">
        <v>245</v>
      </c>
      <c r="F92" s="45" t="s">
        <v>246</v>
      </c>
      <c r="G92" s="45" t="s">
        <v>1079</v>
      </c>
      <c r="H92" s="45" t="s">
        <v>838</v>
      </c>
      <c r="I92" s="45" t="s">
        <v>1080</v>
      </c>
      <c r="J92" s="45">
        <v>392921777</v>
      </c>
      <c r="K92" s="45" t="s">
        <v>195</v>
      </c>
      <c r="L92" s="48">
        <v>223.87</v>
      </c>
      <c r="M92" s="49">
        <v>20241016308</v>
      </c>
      <c r="N92" s="50" t="s">
        <v>28</v>
      </c>
      <c r="O92" s="50"/>
      <c r="P92" s="50"/>
      <c r="Q92" s="51"/>
      <c r="R92" s="50"/>
      <c r="S92" s="50"/>
      <c r="T92" s="51"/>
      <c r="U92" s="50"/>
    </row>
    <row r="93" spans="1:21" ht="25.5" x14ac:dyDescent="0.25">
      <c r="A93" s="45" t="s">
        <v>233</v>
      </c>
      <c r="B93" s="46">
        <v>45603</v>
      </c>
      <c r="C93" s="45" t="s">
        <v>352</v>
      </c>
      <c r="D93" s="47"/>
      <c r="E93" s="45" t="s">
        <v>245</v>
      </c>
      <c r="F93" s="45" t="s">
        <v>246</v>
      </c>
      <c r="G93" s="45" t="s">
        <v>1079</v>
      </c>
      <c r="H93" s="45" t="s">
        <v>838</v>
      </c>
      <c r="I93" s="45" t="s">
        <v>1080</v>
      </c>
      <c r="J93" s="45">
        <v>392921777</v>
      </c>
      <c r="K93" s="45" t="s">
        <v>268</v>
      </c>
      <c r="L93" s="48">
        <v>1.45</v>
      </c>
      <c r="M93" s="49">
        <v>20241016310</v>
      </c>
      <c r="N93" s="50" t="s">
        <v>28</v>
      </c>
      <c r="O93" s="50"/>
      <c r="P93" s="50"/>
      <c r="Q93" s="51"/>
      <c r="R93" s="50"/>
      <c r="S93" s="50"/>
      <c r="T93" s="51"/>
      <c r="U93" s="50"/>
    </row>
    <row r="94" spans="1:21" x14ac:dyDescent="0.25">
      <c r="A94" s="45" t="s">
        <v>20</v>
      </c>
      <c r="B94" s="46">
        <v>45603</v>
      </c>
      <c r="C94" s="45" t="s">
        <v>352</v>
      </c>
      <c r="D94" s="47"/>
      <c r="E94" s="45" t="s">
        <v>277</v>
      </c>
      <c r="F94" s="45" t="s">
        <v>278</v>
      </c>
      <c r="G94" s="45" t="s">
        <v>30</v>
      </c>
      <c r="H94" s="45" t="s">
        <v>728</v>
      </c>
      <c r="I94" s="45" t="s">
        <v>1081</v>
      </c>
      <c r="J94" s="45">
        <v>575060343</v>
      </c>
      <c r="K94" s="45" t="s">
        <v>119</v>
      </c>
      <c r="L94" s="48">
        <v>242.96</v>
      </c>
      <c r="M94" s="49">
        <v>20241014525</v>
      </c>
      <c r="N94" s="50" t="s">
        <v>28</v>
      </c>
      <c r="O94" s="50"/>
      <c r="P94" s="50"/>
      <c r="Q94" s="51"/>
      <c r="R94" s="50"/>
      <c r="S94" s="50"/>
      <c r="T94" s="51"/>
      <c r="U94" s="50"/>
    </row>
    <row r="95" spans="1:21" x14ac:dyDescent="0.25">
      <c r="A95" s="45" t="s">
        <v>20</v>
      </c>
      <c r="B95" s="46">
        <v>45603</v>
      </c>
      <c r="C95" s="45" t="s">
        <v>352</v>
      </c>
      <c r="D95" s="47"/>
      <c r="E95" s="45" t="s">
        <v>277</v>
      </c>
      <c r="F95" s="45" t="s">
        <v>278</v>
      </c>
      <c r="G95" s="45" t="s">
        <v>30</v>
      </c>
      <c r="H95" s="45" t="s">
        <v>1082</v>
      </c>
      <c r="I95" s="45" t="s">
        <v>1083</v>
      </c>
      <c r="J95" s="45">
        <v>575193663</v>
      </c>
      <c r="K95" s="45" t="s">
        <v>213</v>
      </c>
      <c r="L95" s="48">
        <v>25.55</v>
      </c>
      <c r="M95" s="49">
        <v>20241015566</v>
      </c>
      <c r="N95" s="50" t="s">
        <v>28</v>
      </c>
      <c r="O95" s="50"/>
      <c r="P95" s="50"/>
      <c r="Q95" s="51"/>
      <c r="R95" s="50"/>
      <c r="S95" s="50"/>
      <c r="T95" s="51"/>
      <c r="U95" s="50"/>
    </row>
    <row r="96" spans="1:21" x14ac:dyDescent="0.25">
      <c r="A96" s="45" t="s">
        <v>20</v>
      </c>
      <c r="B96" s="46">
        <v>45603</v>
      </c>
      <c r="C96" s="45" t="s">
        <v>352</v>
      </c>
      <c r="D96" s="47"/>
      <c r="E96" s="45" t="s">
        <v>277</v>
      </c>
      <c r="F96" s="45" t="s">
        <v>278</v>
      </c>
      <c r="G96" s="45" t="s">
        <v>30</v>
      </c>
      <c r="H96" s="45" t="s">
        <v>1082</v>
      </c>
      <c r="I96" s="45" t="s">
        <v>1083</v>
      </c>
      <c r="J96" s="45">
        <v>575193663</v>
      </c>
      <c r="K96" s="45" t="s">
        <v>365</v>
      </c>
      <c r="L96" s="48">
        <v>11.51</v>
      </c>
      <c r="M96" s="49">
        <v>20241015563</v>
      </c>
      <c r="N96" s="50" t="s">
        <v>28</v>
      </c>
      <c r="O96" s="50"/>
      <c r="P96" s="50"/>
      <c r="Q96" s="51"/>
      <c r="R96" s="50"/>
      <c r="S96" s="50"/>
      <c r="T96" s="51"/>
      <c r="U96" s="50"/>
    </row>
    <row r="97" spans="1:21" x14ac:dyDescent="0.25">
      <c r="A97" s="45" t="s">
        <v>20</v>
      </c>
      <c r="B97" s="46">
        <v>45603</v>
      </c>
      <c r="C97" s="45" t="s">
        <v>352</v>
      </c>
      <c r="D97" s="47"/>
      <c r="E97" s="45" t="s">
        <v>277</v>
      </c>
      <c r="F97" s="45" t="s">
        <v>278</v>
      </c>
      <c r="G97" s="45" t="s">
        <v>30</v>
      </c>
      <c r="H97" s="45" t="s">
        <v>1082</v>
      </c>
      <c r="I97" s="45" t="s">
        <v>1083</v>
      </c>
      <c r="J97" s="45">
        <v>575193663</v>
      </c>
      <c r="K97" s="45" t="s">
        <v>45</v>
      </c>
      <c r="L97" s="48">
        <v>5.75</v>
      </c>
      <c r="M97" s="49">
        <v>20241015564</v>
      </c>
      <c r="N97" s="50" t="s">
        <v>28</v>
      </c>
      <c r="O97" s="50"/>
      <c r="P97" s="50"/>
      <c r="Q97" s="51"/>
      <c r="R97" s="50"/>
      <c r="S97" s="50"/>
      <c r="T97" s="51"/>
      <c r="U97" s="50"/>
    </row>
    <row r="98" spans="1:21" x14ac:dyDescent="0.25">
      <c r="A98" s="45" t="s">
        <v>20</v>
      </c>
      <c r="B98" s="46">
        <v>45603</v>
      </c>
      <c r="C98" s="45" t="s">
        <v>352</v>
      </c>
      <c r="D98" s="47"/>
      <c r="E98" s="45" t="s">
        <v>277</v>
      </c>
      <c r="F98" s="45" t="s">
        <v>278</v>
      </c>
      <c r="G98" s="45" t="s">
        <v>30</v>
      </c>
      <c r="H98" s="45" t="s">
        <v>1082</v>
      </c>
      <c r="I98" s="45" t="s">
        <v>1083</v>
      </c>
      <c r="J98" s="45">
        <v>575193663</v>
      </c>
      <c r="K98" s="45" t="s">
        <v>364</v>
      </c>
      <c r="L98" s="48">
        <v>7</v>
      </c>
      <c r="M98" s="49">
        <v>20241015565</v>
      </c>
      <c r="N98" s="50" t="s">
        <v>28</v>
      </c>
      <c r="O98" s="50"/>
      <c r="P98" s="50"/>
      <c r="Q98" s="51"/>
      <c r="R98" s="50"/>
      <c r="S98" s="50"/>
      <c r="T98" s="51"/>
      <c r="U98" s="50"/>
    </row>
    <row r="99" spans="1:21" x14ac:dyDescent="0.25">
      <c r="A99" s="45" t="s">
        <v>20</v>
      </c>
      <c r="B99" s="46">
        <v>45603</v>
      </c>
      <c r="C99" s="45" t="s">
        <v>352</v>
      </c>
      <c r="D99" s="47"/>
      <c r="E99" s="45" t="s">
        <v>277</v>
      </c>
      <c r="F99" s="45" t="s">
        <v>278</v>
      </c>
      <c r="G99" s="45" t="s">
        <v>30</v>
      </c>
      <c r="H99" s="45" t="s">
        <v>1082</v>
      </c>
      <c r="I99" s="45" t="s">
        <v>1083</v>
      </c>
      <c r="J99" s="45">
        <v>575193663</v>
      </c>
      <c r="K99" s="45" t="s">
        <v>123</v>
      </c>
      <c r="L99" s="48">
        <v>15</v>
      </c>
      <c r="M99" s="49">
        <v>20241015567</v>
      </c>
      <c r="N99" s="50" t="s">
        <v>28</v>
      </c>
      <c r="O99" s="50"/>
      <c r="P99" s="50"/>
      <c r="Q99" s="51"/>
      <c r="R99" s="50"/>
      <c r="S99" s="50"/>
      <c r="T99" s="51"/>
      <c r="U99" s="50"/>
    </row>
    <row r="100" spans="1:21" x14ac:dyDescent="0.25">
      <c r="A100" s="45" t="s">
        <v>20</v>
      </c>
      <c r="B100" s="46">
        <v>45603</v>
      </c>
      <c r="C100" s="45" t="s">
        <v>352</v>
      </c>
      <c r="D100" s="47"/>
      <c r="E100" s="45" t="s">
        <v>277</v>
      </c>
      <c r="F100" s="45" t="s">
        <v>278</v>
      </c>
      <c r="G100" s="45" t="s">
        <v>30</v>
      </c>
      <c r="H100" s="45" t="s">
        <v>1082</v>
      </c>
      <c r="I100" s="45" t="s">
        <v>1083</v>
      </c>
      <c r="J100" s="45">
        <v>575193663</v>
      </c>
      <c r="K100" s="45" t="s">
        <v>59</v>
      </c>
      <c r="L100" s="48">
        <v>14.64</v>
      </c>
      <c r="M100" s="49">
        <v>20241015568</v>
      </c>
      <c r="N100" s="50" t="s">
        <v>28</v>
      </c>
      <c r="O100" s="50"/>
      <c r="P100" s="50"/>
      <c r="Q100" s="51"/>
      <c r="R100" s="50"/>
      <c r="S100" s="50"/>
      <c r="T100" s="51"/>
      <c r="U100" s="50"/>
    </row>
    <row r="101" spans="1:21" x14ac:dyDescent="0.25">
      <c r="A101" s="45" t="s">
        <v>20</v>
      </c>
      <c r="B101" s="46">
        <v>45603</v>
      </c>
      <c r="C101" s="45" t="s">
        <v>352</v>
      </c>
      <c r="D101" s="47"/>
      <c r="E101" s="45" t="s">
        <v>277</v>
      </c>
      <c r="F101" s="45" t="s">
        <v>278</v>
      </c>
      <c r="G101" s="45" t="s">
        <v>30</v>
      </c>
      <c r="H101" s="45" t="s">
        <v>1082</v>
      </c>
      <c r="I101" s="45" t="s">
        <v>1083</v>
      </c>
      <c r="J101" s="45">
        <v>575193663</v>
      </c>
      <c r="K101" s="45" t="s">
        <v>59</v>
      </c>
      <c r="L101" s="48">
        <v>7</v>
      </c>
      <c r="M101" s="49">
        <v>20241015569</v>
      </c>
      <c r="N101" s="50" t="s">
        <v>28</v>
      </c>
      <c r="O101" s="50"/>
      <c r="P101" s="50"/>
      <c r="Q101" s="51"/>
      <c r="R101" s="50"/>
      <c r="S101" s="50"/>
      <c r="T101" s="51"/>
      <c r="U101" s="50"/>
    </row>
    <row r="102" spans="1:21" x14ac:dyDescent="0.25">
      <c r="A102" s="45" t="s">
        <v>20</v>
      </c>
      <c r="B102" s="46">
        <v>45603</v>
      </c>
      <c r="C102" s="45" t="s">
        <v>352</v>
      </c>
      <c r="D102" s="47"/>
      <c r="E102" s="45" t="s">
        <v>277</v>
      </c>
      <c r="F102" s="45" t="s">
        <v>278</v>
      </c>
      <c r="G102" s="45" t="s">
        <v>30</v>
      </c>
      <c r="H102" s="45" t="s">
        <v>1082</v>
      </c>
      <c r="I102" s="45" t="s">
        <v>1083</v>
      </c>
      <c r="J102" s="45">
        <v>575193663</v>
      </c>
      <c r="K102" s="45" t="s">
        <v>59</v>
      </c>
      <c r="L102" s="48">
        <v>7</v>
      </c>
      <c r="M102" s="49">
        <v>20241015570</v>
      </c>
      <c r="N102" s="50" t="s">
        <v>28</v>
      </c>
      <c r="O102" s="50"/>
      <c r="P102" s="50"/>
      <c r="Q102" s="51"/>
      <c r="R102" s="50"/>
      <c r="S102" s="50"/>
      <c r="T102" s="51"/>
      <c r="U102" s="50"/>
    </row>
    <row r="103" spans="1:21" x14ac:dyDescent="0.25">
      <c r="A103" s="45" t="s">
        <v>20</v>
      </c>
      <c r="B103" s="46">
        <v>45603</v>
      </c>
      <c r="C103" s="45" t="s">
        <v>352</v>
      </c>
      <c r="D103" s="47"/>
      <c r="E103" s="45" t="s">
        <v>277</v>
      </c>
      <c r="F103" s="45" t="s">
        <v>278</v>
      </c>
      <c r="G103" s="45" t="s">
        <v>1084</v>
      </c>
      <c r="H103" s="45" t="s">
        <v>1085</v>
      </c>
      <c r="I103" s="45" t="s">
        <v>1086</v>
      </c>
      <c r="J103" s="45">
        <v>575312896</v>
      </c>
      <c r="K103" s="45" t="s">
        <v>408</v>
      </c>
      <c r="L103" s="48">
        <v>15</v>
      </c>
      <c r="M103" s="49">
        <v>20241016677</v>
      </c>
      <c r="N103" s="50" t="s">
        <v>28</v>
      </c>
      <c r="O103" s="50"/>
      <c r="P103" s="50"/>
      <c r="Q103" s="51"/>
      <c r="R103" s="50"/>
      <c r="S103" s="50"/>
      <c r="T103" s="51"/>
      <c r="U103" s="50"/>
    </row>
    <row r="104" spans="1:21" ht="30" x14ac:dyDescent="0.25">
      <c r="A104" s="45" t="s">
        <v>20</v>
      </c>
      <c r="B104" s="46">
        <v>45603</v>
      </c>
      <c r="C104" s="45" t="s">
        <v>352</v>
      </c>
      <c r="D104" s="47"/>
      <c r="E104" s="45" t="s">
        <v>277</v>
      </c>
      <c r="F104" s="45" t="s">
        <v>278</v>
      </c>
      <c r="G104" s="45" t="s">
        <v>1084</v>
      </c>
      <c r="H104" s="45" t="s">
        <v>1085</v>
      </c>
      <c r="I104" s="45" t="s">
        <v>1086</v>
      </c>
      <c r="J104" s="45">
        <v>575312896</v>
      </c>
      <c r="K104" s="45" t="s">
        <v>358</v>
      </c>
      <c r="L104" s="48">
        <v>15</v>
      </c>
      <c r="M104" s="49">
        <v>20241016678</v>
      </c>
      <c r="N104" s="50"/>
      <c r="O104" s="50" t="s">
        <v>124</v>
      </c>
      <c r="P104" s="50"/>
      <c r="Q104" s="51" t="s">
        <v>1087</v>
      </c>
      <c r="R104" s="50"/>
      <c r="S104" s="50"/>
      <c r="T104" s="51"/>
      <c r="U104" s="50"/>
    </row>
    <row r="105" spans="1:21" ht="30" x14ac:dyDescent="0.25">
      <c r="A105" s="45" t="s">
        <v>20</v>
      </c>
      <c r="B105" s="46">
        <v>45603</v>
      </c>
      <c r="C105" s="45" t="s">
        <v>352</v>
      </c>
      <c r="D105" s="47"/>
      <c r="E105" s="45" t="s">
        <v>277</v>
      </c>
      <c r="F105" s="45" t="s">
        <v>278</v>
      </c>
      <c r="G105" s="45" t="s">
        <v>1084</v>
      </c>
      <c r="H105" s="45" t="s">
        <v>1085</v>
      </c>
      <c r="I105" s="45" t="s">
        <v>1086</v>
      </c>
      <c r="J105" s="45">
        <v>575312896</v>
      </c>
      <c r="K105" s="45" t="s">
        <v>1088</v>
      </c>
      <c r="L105" s="48">
        <v>3.93</v>
      </c>
      <c r="M105" s="49">
        <v>20241016679</v>
      </c>
      <c r="N105" s="50"/>
      <c r="O105" s="50"/>
      <c r="P105" s="50"/>
      <c r="Q105" s="51" t="s">
        <v>1087</v>
      </c>
      <c r="R105" s="50"/>
      <c r="S105" s="50"/>
      <c r="T105" s="51"/>
      <c r="U105" s="50"/>
    </row>
    <row r="106" spans="1:21" ht="30" x14ac:dyDescent="0.25">
      <c r="A106" s="45" t="s">
        <v>20</v>
      </c>
      <c r="B106" s="46">
        <v>45603</v>
      </c>
      <c r="C106" s="45" t="s">
        <v>352</v>
      </c>
      <c r="D106" s="47"/>
      <c r="E106" s="45" t="s">
        <v>277</v>
      </c>
      <c r="F106" s="45" t="s">
        <v>278</v>
      </c>
      <c r="G106" s="45" t="s">
        <v>1084</v>
      </c>
      <c r="H106" s="45" t="s">
        <v>1085</v>
      </c>
      <c r="I106" s="45" t="s">
        <v>1086</v>
      </c>
      <c r="J106" s="45">
        <v>575312896</v>
      </c>
      <c r="K106" s="45" t="s">
        <v>1036</v>
      </c>
      <c r="L106" s="48">
        <v>8.74</v>
      </c>
      <c r="M106" s="49">
        <v>20241016680</v>
      </c>
      <c r="N106" s="50"/>
      <c r="O106" s="50"/>
      <c r="P106" s="50"/>
      <c r="Q106" s="51" t="s">
        <v>1087</v>
      </c>
      <c r="R106" s="50"/>
      <c r="S106" s="50"/>
      <c r="T106" s="51"/>
      <c r="U106" s="50"/>
    </row>
    <row r="107" spans="1:21" ht="30" x14ac:dyDescent="0.25">
      <c r="A107" s="45" t="s">
        <v>20</v>
      </c>
      <c r="B107" s="46">
        <v>45603</v>
      </c>
      <c r="C107" s="45" t="s">
        <v>352</v>
      </c>
      <c r="D107" s="47"/>
      <c r="E107" s="45" t="s">
        <v>277</v>
      </c>
      <c r="F107" s="45" t="s">
        <v>278</v>
      </c>
      <c r="G107" s="45" t="s">
        <v>1084</v>
      </c>
      <c r="H107" s="45" t="s">
        <v>1085</v>
      </c>
      <c r="I107" s="45" t="s">
        <v>1086</v>
      </c>
      <c r="J107" s="45">
        <v>575312896</v>
      </c>
      <c r="K107" s="45" t="s">
        <v>1089</v>
      </c>
      <c r="L107" s="48">
        <v>8.74</v>
      </c>
      <c r="M107" s="49">
        <v>20241016681</v>
      </c>
      <c r="N107" s="50"/>
      <c r="O107" s="50"/>
      <c r="P107" s="50"/>
      <c r="Q107" s="51" t="s">
        <v>1087</v>
      </c>
      <c r="R107" s="50"/>
      <c r="S107" s="50"/>
      <c r="T107" s="51"/>
      <c r="U107" s="50"/>
    </row>
    <row r="108" spans="1:21" ht="30" x14ac:dyDescent="0.25">
      <c r="A108" s="45" t="s">
        <v>20</v>
      </c>
      <c r="B108" s="46">
        <v>45603</v>
      </c>
      <c r="C108" s="45" t="s">
        <v>352</v>
      </c>
      <c r="D108" s="47"/>
      <c r="E108" s="45" t="s">
        <v>277</v>
      </c>
      <c r="F108" s="45" t="s">
        <v>278</v>
      </c>
      <c r="G108" s="45" t="s">
        <v>1084</v>
      </c>
      <c r="H108" s="45" t="s">
        <v>1085</v>
      </c>
      <c r="I108" s="45" t="s">
        <v>1086</v>
      </c>
      <c r="J108" s="45">
        <v>575312896</v>
      </c>
      <c r="K108" s="45" t="s">
        <v>1090</v>
      </c>
      <c r="L108" s="48">
        <v>21.38</v>
      </c>
      <c r="M108" s="49">
        <v>20241016682</v>
      </c>
      <c r="N108" s="50"/>
      <c r="O108" s="50"/>
      <c r="P108" s="50"/>
      <c r="Q108" s="51" t="s">
        <v>1087</v>
      </c>
      <c r="R108" s="50"/>
      <c r="S108" s="50"/>
      <c r="T108" s="51"/>
      <c r="U108" s="50"/>
    </row>
    <row r="109" spans="1:21" x14ac:dyDescent="0.25">
      <c r="A109" s="45" t="s">
        <v>29</v>
      </c>
      <c r="B109" s="46">
        <v>45603</v>
      </c>
      <c r="C109" s="45" t="s">
        <v>352</v>
      </c>
      <c r="D109" s="47"/>
      <c r="E109" s="45" t="s">
        <v>616</v>
      </c>
      <c r="F109" s="45" t="s">
        <v>617</v>
      </c>
      <c r="G109" s="45" t="s">
        <v>71</v>
      </c>
      <c r="H109" s="45" t="s">
        <v>1091</v>
      </c>
      <c r="I109" s="45" t="s">
        <v>1092</v>
      </c>
      <c r="J109" s="45">
        <v>576494941</v>
      </c>
      <c r="K109" s="45" t="s">
        <v>160</v>
      </c>
      <c r="L109" s="48">
        <v>400</v>
      </c>
      <c r="M109" s="49">
        <v>20241008698</v>
      </c>
      <c r="N109" s="50" t="s">
        <v>28</v>
      </c>
      <c r="O109" s="50"/>
      <c r="P109" s="50"/>
      <c r="Q109" s="51"/>
      <c r="R109" s="50"/>
      <c r="S109" s="50"/>
      <c r="T109" s="51"/>
      <c r="U109" s="50"/>
    </row>
    <row r="110" spans="1:21" x14ac:dyDescent="0.25">
      <c r="A110" s="45" t="s">
        <v>20</v>
      </c>
      <c r="B110" s="46">
        <v>45603</v>
      </c>
      <c r="C110" s="45" t="s">
        <v>352</v>
      </c>
      <c r="D110" s="47"/>
      <c r="E110" s="45" t="s">
        <v>296</v>
      </c>
      <c r="F110" s="45" t="s">
        <v>297</v>
      </c>
      <c r="G110" s="45" t="s">
        <v>1093</v>
      </c>
      <c r="H110" s="45" t="s">
        <v>1094</v>
      </c>
      <c r="I110" s="45" t="s">
        <v>1095</v>
      </c>
      <c r="J110" s="45">
        <v>225494627</v>
      </c>
      <c r="K110" s="45" t="s">
        <v>190</v>
      </c>
      <c r="L110" s="48">
        <v>160</v>
      </c>
      <c r="M110" s="49">
        <v>20241016661</v>
      </c>
      <c r="N110" s="50" t="s">
        <v>28</v>
      </c>
      <c r="O110" s="50"/>
      <c r="P110" s="50"/>
      <c r="Q110" s="51"/>
      <c r="R110" s="50"/>
      <c r="S110" s="50"/>
      <c r="T110" s="51"/>
      <c r="U110" s="50"/>
    </row>
    <row r="111" spans="1:21" x14ac:dyDescent="0.25">
      <c r="A111" s="45" t="s">
        <v>29</v>
      </c>
      <c r="B111" s="46">
        <v>45603</v>
      </c>
      <c r="C111" s="45" t="s">
        <v>352</v>
      </c>
      <c r="D111" s="47"/>
      <c r="E111" s="45" t="s">
        <v>296</v>
      </c>
      <c r="F111" s="45" t="s">
        <v>297</v>
      </c>
      <c r="G111" s="45" t="s">
        <v>178</v>
      </c>
      <c r="H111" s="45" t="s">
        <v>142</v>
      </c>
      <c r="I111" s="45" t="s">
        <v>969</v>
      </c>
      <c r="J111" s="45">
        <v>231492329</v>
      </c>
      <c r="K111" s="45" t="s">
        <v>301</v>
      </c>
      <c r="L111" s="48">
        <v>639</v>
      </c>
      <c r="M111" s="49">
        <v>20240812332</v>
      </c>
      <c r="N111" s="50" t="s">
        <v>28</v>
      </c>
      <c r="O111" s="50"/>
      <c r="P111" s="50"/>
      <c r="Q111" s="51"/>
      <c r="R111" s="50"/>
      <c r="S111" s="50"/>
      <c r="T111" s="51"/>
      <c r="U111" s="50"/>
    </row>
    <row r="112" spans="1:21" x14ac:dyDescent="0.25">
      <c r="A112" s="45" t="s">
        <v>20</v>
      </c>
      <c r="B112" s="46">
        <v>45603</v>
      </c>
      <c r="C112" s="45" t="s">
        <v>352</v>
      </c>
      <c r="D112" s="47"/>
      <c r="E112" s="45" t="s">
        <v>296</v>
      </c>
      <c r="F112" s="45" t="s">
        <v>297</v>
      </c>
      <c r="G112" s="45" t="s">
        <v>202</v>
      </c>
      <c r="H112" s="45" t="s">
        <v>1096</v>
      </c>
      <c r="I112" s="45" t="s">
        <v>1097</v>
      </c>
      <c r="J112" s="45">
        <v>236319004</v>
      </c>
      <c r="K112" s="45" t="s">
        <v>1098</v>
      </c>
      <c r="L112" s="48">
        <v>1799.65</v>
      </c>
      <c r="M112" s="49">
        <v>20241015644</v>
      </c>
      <c r="N112" s="50" t="s">
        <v>28</v>
      </c>
      <c r="O112" s="50"/>
      <c r="P112" s="50"/>
      <c r="Q112" s="51"/>
      <c r="R112" s="50"/>
      <c r="S112" s="50"/>
      <c r="T112" s="51"/>
      <c r="U112" s="50"/>
    </row>
    <row r="113" spans="1:21" x14ac:dyDescent="0.25">
      <c r="A113" s="45" t="s">
        <v>29</v>
      </c>
      <c r="B113" s="46">
        <v>45603</v>
      </c>
      <c r="C113" s="45" t="s">
        <v>352</v>
      </c>
      <c r="D113" s="47"/>
      <c r="E113" s="45" t="s">
        <v>296</v>
      </c>
      <c r="F113" s="45" t="s">
        <v>297</v>
      </c>
      <c r="G113" s="45" t="s">
        <v>1099</v>
      </c>
      <c r="H113" s="45" t="s">
        <v>1100</v>
      </c>
      <c r="I113" s="45" t="s">
        <v>1095</v>
      </c>
      <c r="J113" s="45">
        <v>264939077</v>
      </c>
      <c r="K113" s="45" t="s">
        <v>383</v>
      </c>
      <c r="L113" s="48">
        <v>105</v>
      </c>
      <c r="M113" s="49">
        <v>20241014159</v>
      </c>
      <c r="N113" s="50" t="s">
        <v>28</v>
      </c>
      <c r="O113" s="50"/>
      <c r="P113" s="50"/>
      <c r="Q113" s="51"/>
      <c r="R113" s="50"/>
      <c r="S113" s="50"/>
      <c r="T113" s="51"/>
      <c r="U113" s="50"/>
    </row>
    <row r="114" spans="1:21" x14ac:dyDescent="0.25">
      <c r="A114" s="45" t="s">
        <v>20</v>
      </c>
      <c r="B114" s="46">
        <v>45603</v>
      </c>
      <c r="C114" s="45" t="s">
        <v>352</v>
      </c>
      <c r="D114" s="47"/>
      <c r="E114" s="45" t="s">
        <v>296</v>
      </c>
      <c r="F114" s="45" t="s">
        <v>297</v>
      </c>
      <c r="G114" s="45" t="s">
        <v>1101</v>
      </c>
      <c r="H114" s="45" t="s">
        <v>110</v>
      </c>
      <c r="I114" s="45" t="s">
        <v>1102</v>
      </c>
      <c r="J114" s="45">
        <v>274782580</v>
      </c>
      <c r="K114" s="45" t="s">
        <v>187</v>
      </c>
      <c r="L114" s="48">
        <v>200</v>
      </c>
      <c r="M114" s="49">
        <v>20241014924</v>
      </c>
      <c r="N114" s="50" t="s">
        <v>28</v>
      </c>
      <c r="O114" s="50"/>
      <c r="P114" s="50"/>
      <c r="Q114" s="51"/>
      <c r="R114" s="50"/>
      <c r="S114" s="50"/>
      <c r="T114" s="51"/>
      <c r="U114" s="50"/>
    </row>
    <row r="115" spans="1:21" x14ac:dyDescent="0.25">
      <c r="A115" s="45" t="s">
        <v>20</v>
      </c>
      <c r="B115" s="46">
        <v>45603</v>
      </c>
      <c r="C115" s="45" t="s">
        <v>352</v>
      </c>
      <c r="D115" s="47"/>
      <c r="E115" s="45" t="s">
        <v>296</v>
      </c>
      <c r="F115" s="45" t="s">
        <v>297</v>
      </c>
      <c r="G115" s="45" t="s">
        <v>1101</v>
      </c>
      <c r="H115" s="45" t="s">
        <v>110</v>
      </c>
      <c r="I115" s="45" t="s">
        <v>1102</v>
      </c>
      <c r="J115" s="45">
        <v>274782580</v>
      </c>
      <c r="K115" s="45" t="s">
        <v>184</v>
      </c>
      <c r="L115" s="48">
        <v>200</v>
      </c>
      <c r="M115" s="49">
        <v>20241014926</v>
      </c>
      <c r="N115" s="50" t="s">
        <v>28</v>
      </c>
      <c r="O115" s="50"/>
      <c r="P115" s="50"/>
      <c r="Q115" s="51"/>
      <c r="R115" s="50"/>
      <c r="S115" s="50"/>
      <c r="T115" s="51"/>
      <c r="U115" s="50"/>
    </row>
    <row r="116" spans="1:21" x14ac:dyDescent="0.25">
      <c r="A116" s="45" t="s">
        <v>20</v>
      </c>
      <c r="B116" s="46">
        <v>45603</v>
      </c>
      <c r="C116" s="45" t="s">
        <v>352</v>
      </c>
      <c r="D116" s="47"/>
      <c r="E116" s="45" t="s">
        <v>296</v>
      </c>
      <c r="F116" s="45" t="s">
        <v>297</v>
      </c>
      <c r="G116" s="45" t="s">
        <v>1101</v>
      </c>
      <c r="H116" s="45" t="s">
        <v>110</v>
      </c>
      <c r="I116" s="45" t="s">
        <v>1102</v>
      </c>
      <c r="J116" s="45">
        <v>274782580</v>
      </c>
      <c r="K116" s="45" t="s">
        <v>336</v>
      </c>
      <c r="L116" s="48">
        <v>200</v>
      </c>
      <c r="M116" s="49">
        <v>20241014925</v>
      </c>
      <c r="N116" s="50" t="s">
        <v>28</v>
      </c>
      <c r="O116" s="50"/>
      <c r="P116" s="50"/>
      <c r="Q116" s="51"/>
      <c r="R116" s="50"/>
      <c r="S116" s="50"/>
      <c r="T116" s="51"/>
      <c r="U116" s="50"/>
    </row>
    <row r="117" spans="1:21" x14ac:dyDescent="0.25">
      <c r="A117" s="45" t="s">
        <v>20</v>
      </c>
      <c r="B117" s="46">
        <v>45604</v>
      </c>
      <c r="C117" s="45" t="s">
        <v>114</v>
      </c>
      <c r="D117" s="47"/>
      <c r="E117" s="45" t="s">
        <v>296</v>
      </c>
      <c r="F117" s="45" t="s">
        <v>297</v>
      </c>
      <c r="G117" s="45" t="s">
        <v>1101</v>
      </c>
      <c r="H117" s="45" t="s">
        <v>110</v>
      </c>
      <c r="I117" s="45" t="s">
        <v>1102</v>
      </c>
      <c r="J117" s="45">
        <v>274782580</v>
      </c>
      <c r="K117" s="45" t="s">
        <v>37</v>
      </c>
      <c r="L117" s="48">
        <v>125</v>
      </c>
      <c r="M117" s="49">
        <v>20241014923</v>
      </c>
      <c r="N117" s="50" t="s">
        <v>28</v>
      </c>
      <c r="O117" s="50"/>
      <c r="P117" s="50"/>
      <c r="Q117" s="51"/>
      <c r="R117" s="50"/>
      <c r="S117" s="50"/>
      <c r="T117" s="51"/>
      <c r="U117" s="50"/>
    </row>
    <row r="118" spans="1:21" x14ac:dyDescent="0.25">
      <c r="A118" s="45" t="s">
        <v>20</v>
      </c>
      <c r="B118" s="46">
        <v>45604</v>
      </c>
      <c r="C118" s="45" t="s">
        <v>114</v>
      </c>
      <c r="D118" s="47"/>
      <c r="E118" s="45" t="s">
        <v>296</v>
      </c>
      <c r="F118" s="45" t="s">
        <v>297</v>
      </c>
      <c r="G118" s="45" t="s">
        <v>1101</v>
      </c>
      <c r="H118" s="45" t="s">
        <v>110</v>
      </c>
      <c r="I118" s="45" t="s">
        <v>1102</v>
      </c>
      <c r="J118" s="45">
        <v>274782580</v>
      </c>
      <c r="K118" s="45" t="s">
        <v>196</v>
      </c>
      <c r="L118" s="48">
        <v>200</v>
      </c>
      <c r="M118" s="49">
        <v>20241014922</v>
      </c>
      <c r="N118" s="50" t="s">
        <v>28</v>
      </c>
      <c r="O118" s="50"/>
      <c r="P118" s="50"/>
      <c r="Q118" s="51"/>
      <c r="R118" s="50"/>
      <c r="S118" s="50"/>
      <c r="T118" s="51"/>
      <c r="U118" s="50"/>
    </row>
    <row r="119" spans="1:21" x14ac:dyDescent="0.25">
      <c r="A119" s="45" t="s">
        <v>29</v>
      </c>
      <c r="B119" s="46">
        <v>45604</v>
      </c>
      <c r="C119" s="45" t="s">
        <v>114</v>
      </c>
      <c r="D119" s="47"/>
      <c r="E119" s="45" t="s">
        <v>296</v>
      </c>
      <c r="F119" s="45" t="s">
        <v>297</v>
      </c>
      <c r="G119" s="45" t="s">
        <v>202</v>
      </c>
      <c r="H119" s="45" t="s">
        <v>203</v>
      </c>
      <c r="I119" s="45" t="s">
        <v>204</v>
      </c>
      <c r="J119" s="45">
        <v>287923891</v>
      </c>
      <c r="K119" s="45" t="s">
        <v>56</v>
      </c>
      <c r="L119" s="48">
        <v>208.33</v>
      </c>
      <c r="M119" s="49">
        <v>20241018426</v>
      </c>
      <c r="N119" s="50" t="s">
        <v>28</v>
      </c>
      <c r="O119" s="50"/>
      <c r="P119" s="50"/>
      <c r="Q119" s="51"/>
      <c r="R119" s="50"/>
      <c r="S119" s="50"/>
      <c r="T119" s="51"/>
      <c r="U119" s="50"/>
    </row>
    <row r="120" spans="1:21" x14ac:dyDescent="0.25">
      <c r="A120" s="45" t="s">
        <v>29</v>
      </c>
      <c r="B120" s="46">
        <v>45604</v>
      </c>
      <c r="C120" s="45" t="s">
        <v>114</v>
      </c>
      <c r="D120" s="47"/>
      <c r="E120" s="45" t="s">
        <v>296</v>
      </c>
      <c r="F120" s="45" t="s">
        <v>297</v>
      </c>
      <c r="G120" s="45" t="s">
        <v>202</v>
      </c>
      <c r="H120" s="45" t="s">
        <v>1103</v>
      </c>
      <c r="I120" s="45" t="s">
        <v>1104</v>
      </c>
      <c r="J120" s="45">
        <v>292908208</v>
      </c>
      <c r="K120" s="45" t="s">
        <v>237</v>
      </c>
      <c r="L120" s="48">
        <v>1549.2</v>
      </c>
      <c r="M120" s="49">
        <v>20241018427</v>
      </c>
      <c r="N120" s="50" t="s">
        <v>28</v>
      </c>
      <c r="O120" s="50"/>
      <c r="P120" s="50"/>
      <c r="Q120" s="51"/>
      <c r="R120" s="50"/>
      <c r="S120" s="50"/>
      <c r="T120" s="51"/>
      <c r="U120" s="50"/>
    </row>
    <row r="121" spans="1:21" x14ac:dyDescent="0.25">
      <c r="A121" s="45" t="s">
        <v>29</v>
      </c>
      <c r="B121" s="46">
        <v>45604</v>
      </c>
      <c r="C121" s="45" t="s">
        <v>114</v>
      </c>
      <c r="D121" s="47"/>
      <c r="E121" s="45" t="s">
        <v>296</v>
      </c>
      <c r="F121" s="45" t="s">
        <v>297</v>
      </c>
      <c r="G121" s="45" t="s">
        <v>202</v>
      </c>
      <c r="H121" s="45" t="s">
        <v>1105</v>
      </c>
      <c r="I121" s="45" t="s">
        <v>1106</v>
      </c>
      <c r="J121" s="45">
        <v>296904093</v>
      </c>
      <c r="K121" s="45" t="s">
        <v>184</v>
      </c>
      <c r="L121" s="48">
        <v>1100</v>
      </c>
      <c r="M121" s="49">
        <v>20241014734</v>
      </c>
      <c r="N121" s="50" t="s">
        <v>28</v>
      </c>
      <c r="O121" s="50"/>
      <c r="P121" s="50"/>
      <c r="Q121" s="51"/>
      <c r="R121" s="50"/>
      <c r="S121" s="50"/>
      <c r="T121" s="51"/>
      <c r="U121" s="50"/>
    </row>
    <row r="122" spans="1:21" x14ac:dyDescent="0.25">
      <c r="A122" s="45" t="s">
        <v>29</v>
      </c>
      <c r="B122" s="46">
        <v>45604</v>
      </c>
      <c r="C122" s="45" t="s">
        <v>114</v>
      </c>
      <c r="D122" s="47"/>
      <c r="E122" s="45" t="s">
        <v>296</v>
      </c>
      <c r="F122" s="45" t="s">
        <v>297</v>
      </c>
      <c r="G122" s="45" t="s">
        <v>202</v>
      </c>
      <c r="H122" s="45" t="s">
        <v>1105</v>
      </c>
      <c r="I122" s="45" t="s">
        <v>1106</v>
      </c>
      <c r="J122" s="45">
        <v>296904093</v>
      </c>
      <c r="K122" s="45" t="s">
        <v>184</v>
      </c>
      <c r="L122" s="48">
        <v>1100</v>
      </c>
      <c r="M122" s="49">
        <v>20241007467</v>
      </c>
      <c r="N122" s="50" t="s">
        <v>28</v>
      </c>
      <c r="O122" s="50"/>
      <c r="P122" s="50"/>
      <c r="Q122" s="51"/>
      <c r="R122" s="50"/>
      <c r="S122" s="50"/>
      <c r="T122" s="51"/>
      <c r="U122" s="50"/>
    </row>
    <row r="123" spans="1:21" x14ac:dyDescent="0.25">
      <c r="A123" s="45" t="s">
        <v>29</v>
      </c>
      <c r="B123" s="46">
        <v>45604</v>
      </c>
      <c r="C123" s="45" t="s">
        <v>114</v>
      </c>
      <c r="D123" s="47"/>
      <c r="E123" s="45" t="s">
        <v>296</v>
      </c>
      <c r="F123" s="45" t="s">
        <v>297</v>
      </c>
      <c r="G123" s="45" t="s">
        <v>202</v>
      </c>
      <c r="H123" s="45" t="s">
        <v>1105</v>
      </c>
      <c r="I123" s="45" t="s">
        <v>1106</v>
      </c>
      <c r="J123" s="45">
        <v>296904093</v>
      </c>
      <c r="K123" s="45" t="s">
        <v>56</v>
      </c>
      <c r="L123" s="48">
        <v>1100</v>
      </c>
      <c r="M123" s="49">
        <v>20241014738</v>
      </c>
      <c r="N123" s="50" t="s">
        <v>28</v>
      </c>
      <c r="O123" s="50"/>
      <c r="P123" s="50"/>
      <c r="Q123" s="51"/>
      <c r="R123" s="50"/>
      <c r="S123" s="50"/>
      <c r="T123" s="51"/>
      <c r="U123" s="50"/>
    </row>
    <row r="124" spans="1:21" x14ac:dyDescent="0.25">
      <c r="A124" s="45" t="s">
        <v>29</v>
      </c>
      <c r="B124" s="46">
        <v>45604</v>
      </c>
      <c r="C124" s="45" t="s">
        <v>114</v>
      </c>
      <c r="D124" s="47"/>
      <c r="E124" s="45" t="s">
        <v>296</v>
      </c>
      <c r="F124" s="45" t="s">
        <v>297</v>
      </c>
      <c r="G124" s="45" t="s">
        <v>202</v>
      </c>
      <c r="H124" s="45" t="s">
        <v>1105</v>
      </c>
      <c r="I124" s="45" t="s">
        <v>1106</v>
      </c>
      <c r="J124" s="45">
        <v>296904093</v>
      </c>
      <c r="K124" s="45" t="s">
        <v>56</v>
      </c>
      <c r="L124" s="48">
        <v>1100</v>
      </c>
      <c r="M124" s="49">
        <v>20241007483</v>
      </c>
      <c r="N124" s="50" t="s">
        <v>28</v>
      </c>
      <c r="O124" s="50"/>
      <c r="P124" s="50"/>
      <c r="Q124" s="51"/>
      <c r="R124" s="50"/>
      <c r="S124" s="50"/>
      <c r="T124" s="51"/>
      <c r="U124" s="50"/>
    </row>
    <row r="125" spans="1:21" x14ac:dyDescent="0.25">
      <c r="A125" s="45" t="s">
        <v>29</v>
      </c>
      <c r="B125" s="46">
        <v>45604</v>
      </c>
      <c r="C125" s="45" t="s">
        <v>114</v>
      </c>
      <c r="D125" s="47"/>
      <c r="E125" s="45" t="s">
        <v>669</v>
      </c>
      <c r="F125" s="45" t="s">
        <v>670</v>
      </c>
      <c r="G125" s="45" t="s">
        <v>820</v>
      </c>
      <c r="H125" s="45" t="s">
        <v>821</v>
      </c>
      <c r="I125" s="45" t="s">
        <v>576</v>
      </c>
      <c r="J125" s="45">
        <v>463955464</v>
      </c>
      <c r="K125" s="45" t="s">
        <v>184</v>
      </c>
      <c r="L125" s="48">
        <v>0</v>
      </c>
      <c r="M125" s="49">
        <v>20241010600</v>
      </c>
      <c r="N125" s="50" t="s">
        <v>28</v>
      </c>
      <c r="O125" s="50"/>
      <c r="P125" s="50"/>
      <c r="Q125" s="51"/>
      <c r="R125" s="50"/>
      <c r="S125" s="50"/>
      <c r="T125" s="51"/>
      <c r="U125" s="50"/>
    </row>
    <row r="126" spans="1:21" ht="25.5" x14ac:dyDescent="0.25">
      <c r="A126" s="45" t="s">
        <v>20</v>
      </c>
      <c r="B126" s="46">
        <v>45604</v>
      </c>
      <c r="C126" s="45" t="s">
        <v>114</v>
      </c>
      <c r="D126" s="47"/>
      <c r="E126" s="45" t="s">
        <v>325</v>
      </c>
      <c r="F126" s="45" t="s">
        <v>278</v>
      </c>
      <c r="G126" s="45" t="s">
        <v>1011</v>
      </c>
      <c r="H126" s="45" t="s">
        <v>1107</v>
      </c>
      <c r="I126" s="45" t="s">
        <v>1108</v>
      </c>
      <c r="J126" s="45">
        <v>467750764</v>
      </c>
      <c r="K126" s="45" t="s">
        <v>69</v>
      </c>
      <c r="L126" s="48">
        <v>32.46</v>
      </c>
      <c r="M126" s="49">
        <v>20241015764</v>
      </c>
      <c r="N126" s="50" t="s">
        <v>28</v>
      </c>
      <c r="O126" s="50"/>
      <c r="P126" s="50"/>
      <c r="Q126" s="51"/>
      <c r="R126" s="50"/>
      <c r="S126" s="50"/>
      <c r="T126" s="51"/>
      <c r="U126" s="50"/>
    </row>
    <row r="127" spans="1:21" ht="25.5" x14ac:dyDescent="0.25">
      <c r="A127" s="45" t="s">
        <v>20</v>
      </c>
      <c r="B127" s="46">
        <v>45604</v>
      </c>
      <c r="C127" s="45" t="s">
        <v>114</v>
      </c>
      <c r="D127" s="47"/>
      <c r="E127" s="45" t="s">
        <v>325</v>
      </c>
      <c r="F127" s="45" t="s">
        <v>278</v>
      </c>
      <c r="G127" s="45" t="s">
        <v>1011</v>
      </c>
      <c r="H127" s="45" t="s">
        <v>1107</v>
      </c>
      <c r="I127" s="45" t="s">
        <v>1108</v>
      </c>
      <c r="J127" s="45">
        <v>467750764</v>
      </c>
      <c r="K127" s="45" t="s">
        <v>69</v>
      </c>
      <c r="L127" s="48">
        <v>129.85</v>
      </c>
      <c r="M127" s="49">
        <v>20241015765</v>
      </c>
      <c r="N127" s="50" t="s">
        <v>28</v>
      </c>
      <c r="O127" s="50"/>
      <c r="P127" s="50"/>
      <c r="Q127" s="51"/>
      <c r="R127" s="50"/>
      <c r="S127" s="50"/>
      <c r="T127" s="51"/>
      <c r="U127" s="50"/>
    </row>
    <row r="128" spans="1:21" ht="25.5" x14ac:dyDescent="0.25">
      <c r="A128" s="45" t="s">
        <v>20</v>
      </c>
      <c r="B128" s="46">
        <v>45604</v>
      </c>
      <c r="C128" s="45" t="s">
        <v>114</v>
      </c>
      <c r="D128" s="47"/>
      <c r="E128" s="45" t="s">
        <v>325</v>
      </c>
      <c r="F128" s="45" t="s">
        <v>278</v>
      </c>
      <c r="G128" s="45" t="s">
        <v>1011</v>
      </c>
      <c r="H128" s="45" t="s">
        <v>1107</v>
      </c>
      <c r="I128" s="45" t="s">
        <v>1108</v>
      </c>
      <c r="J128" s="45">
        <v>467750764</v>
      </c>
      <c r="K128" s="45" t="s">
        <v>69</v>
      </c>
      <c r="L128" s="48">
        <v>98.31</v>
      </c>
      <c r="M128" s="49">
        <v>20241015766</v>
      </c>
      <c r="N128" s="50" t="s">
        <v>28</v>
      </c>
      <c r="O128" s="50"/>
      <c r="P128" s="50"/>
      <c r="Q128" s="51"/>
      <c r="R128" s="50"/>
      <c r="S128" s="50"/>
      <c r="T128" s="51"/>
      <c r="U128" s="50"/>
    </row>
    <row r="129" spans="1:21" ht="25.5" x14ac:dyDescent="0.25">
      <c r="A129" s="45" t="s">
        <v>20</v>
      </c>
      <c r="B129" s="46">
        <v>45604</v>
      </c>
      <c r="C129" s="45" t="s">
        <v>114</v>
      </c>
      <c r="D129" s="47"/>
      <c r="E129" s="45" t="s">
        <v>325</v>
      </c>
      <c r="F129" s="45" t="s">
        <v>278</v>
      </c>
      <c r="G129" s="45" t="s">
        <v>1011</v>
      </c>
      <c r="H129" s="45" t="s">
        <v>1107</v>
      </c>
      <c r="I129" s="45" t="s">
        <v>1108</v>
      </c>
      <c r="J129" s="45">
        <v>467750764</v>
      </c>
      <c r="K129" s="45" t="s">
        <v>69</v>
      </c>
      <c r="L129" s="48">
        <v>162.1</v>
      </c>
      <c r="M129" s="49">
        <v>20241015767</v>
      </c>
      <c r="N129" s="50" t="s">
        <v>28</v>
      </c>
      <c r="O129" s="50"/>
      <c r="P129" s="50"/>
      <c r="Q129" s="51"/>
      <c r="R129" s="50"/>
      <c r="S129" s="50"/>
      <c r="T129" s="51"/>
      <c r="U129" s="50"/>
    </row>
    <row r="130" spans="1:21" ht="25.5" x14ac:dyDescent="0.25">
      <c r="A130" s="45" t="s">
        <v>20</v>
      </c>
      <c r="B130" s="46">
        <v>45604</v>
      </c>
      <c r="C130" s="45" t="s">
        <v>114</v>
      </c>
      <c r="D130" s="47"/>
      <c r="E130" s="45" t="s">
        <v>325</v>
      </c>
      <c r="F130" s="45" t="s">
        <v>278</v>
      </c>
      <c r="G130" s="45" t="s">
        <v>1011</v>
      </c>
      <c r="H130" s="45" t="s">
        <v>1107</v>
      </c>
      <c r="I130" s="45" t="s">
        <v>1108</v>
      </c>
      <c r="J130" s="45">
        <v>467750764</v>
      </c>
      <c r="K130" s="45" t="s">
        <v>69</v>
      </c>
      <c r="L130" s="48">
        <v>143.72999999999999</v>
      </c>
      <c r="M130" s="49">
        <v>20241015768</v>
      </c>
      <c r="N130" s="50" t="s">
        <v>28</v>
      </c>
      <c r="O130" s="50"/>
      <c r="P130" s="50"/>
      <c r="Q130" s="51"/>
      <c r="R130" s="50"/>
      <c r="S130" s="50"/>
      <c r="T130" s="51"/>
      <c r="U130" s="50"/>
    </row>
    <row r="131" spans="1:21" x14ac:dyDescent="0.25">
      <c r="A131" s="45" t="s">
        <v>233</v>
      </c>
      <c r="B131" s="46">
        <v>45595</v>
      </c>
      <c r="C131" s="45" t="s">
        <v>294</v>
      </c>
      <c r="D131" s="47"/>
      <c r="E131" s="45" t="s">
        <v>325</v>
      </c>
      <c r="F131" s="45" t="s">
        <v>278</v>
      </c>
      <c r="G131" s="45" t="s">
        <v>347</v>
      </c>
      <c r="H131" s="45" t="s">
        <v>242</v>
      </c>
      <c r="I131" s="45" t="s">
        <v>1109</v>
      </c>
      <c r="J131" s="45">
        <v>528279812</v>
      </c>
      <c r="K131" s="45" t="s">
        <v>859</v>
      </c>
      <c r="L131" s="48">
        <v>53.95</v>
      </c>
      <c r="M131" s="49">
        <v>202410141066</v>
      </c>
      <c r="N131" s="50" t="s">
        <v>28</v>
      </c>
      <c r="O131" s="50"/>
      <c r="P131" s="50"/>
      <c r="Q131" s="51"/>
      <c r="R131" s="50"/>
      <c r="S131" s="50"/>
      <c r="T131" s="51"/>
      <c r="U131" s="50"/>
    </row>
    <row r="132" spans="1:21" x14ac:dyDescent="0.25">
      <c r="A132" s="45" t="s">
        <v>233</v>
      </c>
      <c r="B132" s="46">
        <v>45595</v>
      </c>
      <c r="C132" s="45" t="s">
        <v>294</v>
      </c>
      <c r="D132" s="47"/>
      <c r="E132" s="45" t="s">
        <v>325</v>
      </c>
      <c r="F132" s="45" t="s">
        <v>278</v>
      </c>
      <c r="G132" s="45" t="s">
        <v>347</v>
      </c>
      <c r="H132" s="45" t="s">
        <v>1110</v>
      </c>
      <c r="I132" s="45" t="s">
        <v>1111</v>
      </c>
      <c r="J132" s="45">
        <v>528494028</v>
      </c>
      <c r="K132" s="45" t="s">
        <v>1112</v>
      </c>
      <c r="L132" s="48">
        <v>40.46</v>
      </c>
      <c r="M132" s="49">
        <v>202410141064</v>
      </c>
      <c r="N132" s="50" t="s">
        <v>28</v>
      </c>
      <c r="O132" s="50"/>
      <c r="P132" s="50"/>
      <c r="Q132" s="51"/>
      <c r="R132" s="50"/>
      <c r="S132" s="50"/>
      <c r="T132" s="51"/>
      <c r="U132" s="50"/>
    </row>
    <row r="133" spans="1:21" x14ac:dyDescent="0.25">
      <c r="A133" s="45" t="s">
        <v>233</v>
      </c>
      <c r="B133" s="46">
        <v>45595</v>
      </c>
      <c r="C133" s="45" t="s">
        <v>294</v>
      </c>
      <c r="D133" s="47"/>
      <c r="E133" s="45" t="s">
        <v>325</v>
      </c>
      <c r="F133" s="45" t="s">
        <v>278</v>
      </c>
      <c r="G133" s="45" t="s">
        <v>347</v>
      </c>
      <c r="H133" s="45" t="s">
        <v>1110</v>
      </c>
      <c r="I133" s="45" t="s">
        <v>1111</v>
      </c>
      <c r="J133" s="45">
        <v>528494028</v>
      </c>
      <c r="K133" s="45" t="s">
        <v>383</v>
      </c>
      <c r="L133" s="48">
        <v>4.9400000000000004</v>
      </c>
      <c r="M133" s="49">
        <v>202410141065</v>
      </c>
      <c r="N133" s="50" t="s">
        <v>28</v>
      </c>
      <c r="O133" s="50"/>
      <c r="P133" s="50"/>
      <c r="Q133" s="51"/>
      <c r="R133" s="50"/>
      <c r="S133" s="50"/>
      <c r="T133" s="51"/>
      <c r="U133" s="50"/>
    </row>
    <row r="134" spans="1:21" x14ac:dyDescent="0.25">
      <c r="A134" s="45" t="s">
        <v>20</v>
      </c>
      <c r="B134" s="46">
        <v>45604</v>
      </c>
      <c r="C134" s="45" t="s">
        <v>114</v>
      </c>
      <c r="D134" s="47"/>
      <c r="E134" s="45" t="s">
        <v>325</v>
      </c>
      <c r="F134" s="45" t="s">
        <v>278</v>
      </c>
      <c r="G134" s="45" t="s">
        <v>1113</v>
      </c>
      <c r="H134" s="45" t="s">
        <v>142</v>
      </c>
      <c r="I134" s="45" t="s">
        <v>1114</v>
      </c>
      <c r="J134" s="45">
        <v>534252278</v>
      </c>
      <c r="K134" s="45" t="s">
        <v>69</v>
      </c>
      <c r="L134" s="48">
        <v>868.67</v>
      </c>
      <c r="M134" s="49">
        <v>20241018656</v>
      </c>
      <c r="N134" s="50" t="s">
        <v>28</v>
      </c>
      <c r="O134" s="50"/>
      <c r="P134" s="50"/>
      <c r="Q134" s="51"/>
      <c r="R134" s="50"/>
      <c r="S134" s="50"/>
      <c r="T134" s="51"/>
      <c r="U134" s="50"/>
    </row>
    <row r="135" spans="1:21" x14ac:dyDescent="0.25">
      <c r="A135" s="45" t="s">
        <v>20</v>
      </c>
      <c r="B135" s="46">
        <v>45602</v>
      </c>
      <c r="C135" s="45" t="s">
        <v>168</v>
      </c>
      <c r="D135" s="47"/>
      <c r="E135" s="45" t="s">
        <v>325</v>
      </c>
      <c r="F135" s="45" t="s">
        <v>278</v>
      </c>
      <c r="G135" s="45" t="s">
        <v>1113</v>
      </c>
      <c r="H135" s="45" t="s">
        <v>142</v>
      </c>
      <c r="I135" s="45" t="s">
        <v>1114</v>
      </c>
      <c r="J135" s="45">
        <v>534252278</v>
      </c>
      <c r="K135" s="45" t="s">
        <v>1115</v>
      </c>
      <c r="L135" s="48">
        <v>946.93</v>
      </c>
      <c r="M135" s="49">
        <v>20241018657</v>
      </c>
      <c r="N135" s="50" t="s">
        <v>28</v>
      </c>
      <c r="O135" s="50"/>
      <c r="P135" s="50"/>
      <c r="Q135" s="51"/>
      <c r="R135" s="50"/>
      <c r="S135" s="50"/>
      <c r="T135" s="51"/>
      <c r="U135" s="50"/>
    </row>
    <row r="136" spans="1:21" x14ac:dyDescent="0.25">
      <c r="A136" s="45" t="s">
        <v>233</v>
      </c>
      <c r="B136" s="46">
        <v>45595</v>
      </c>
      <c r="C136" s="45" t="s">
        <v>294</v>
      </c>
      <c r="D136" s="47"/>
      <c r="E136" s="45" t="s">
        <v>325</v>
      </c>
      <c r="F136" s="45" t="s">
        <v>278</v>
      </c>
      <c r="G136" s="45" t="s">
        <v>347</v>
      </c>
      <c r="H136" s="45" t="s">
        <v>1116</v>
      </c>
      <c r="I136" s="45" t="s">
        <v>1117</v>
      </c>
      <c r="J136" s="45">
        <v>538110716</v>
      </c>
      <c r="K136" s="45" t="s">
        <v>213</v>
      </c>
      <c r="L136" s="48">
        <v>51.66</v>
      </c>
      <c r="M136" s="49">
        <v>202410141067</v>
      </c>
      <c r="N136" s="50" t="s">
        <v>28</v>
      </c>
      <c r="O136" s="50"/>
      <c r="P136" s="50"/>
      <c r="Q136" s="51"/>
      <c r="R136" s="50"/>
      <c r="S136" s="50"/>
      <c r="T136" s="51"/>
      <c r="U136" s="50"/>
    </row>
    <row r="137" spans="1:21" x14ac:dyDescent="0.25">
      <c r="A137" s="45" t="s">
        <v>233</v>
      </c>
      <c r="B137" s="46">
        <v>45595</v>
      </c>
      <c r="C137" s="45" t="s">
        <v>294</v>
      </c>
      <c r="D137" s="47"/>
      <c r="E137" s="45" t="s">
        <v>325</v>
      </c>
      <c r="F137" s="45" t="s">
        <v>278</v>
      </c>
      <c r="G137" s="45" t="s">
        <v>333</v>
      </c>
      <c r="H137" s="45" t="s">
        <v>1118</v>
      </c>
      <c r="I137" s="45" t="s">
        <v>1119</v>
      </c>
      <c r="J137" s="45">
        <v>550756560</v>
      </c>
      <c r="K137" s="45" t="s">
        <v>250</v>
      </c>
      <c r="L137" s="48">
        <v>95</v>
      </c>
      <c r="M137" s="49">
        <v>20241018654</v>
      </c>
      <c r="N137" s="50" t="s">
        <v>28</v>
      </c>
      <c r="O137" s="50"/>
      <c r="P137" s="50"/>
      <c r="Q137" s="51"/>
      <c r="R137" s="50"/>
      <c r="S137" s="50"/>
      <c r="T137" s="51"/>
      <c r="U137" s="50"/>
    </row>
    <row r="138" spans="1:21" x14ac:dyDescent="0.25">
      <c r="A138" s="45" t="s">
        <v>407</v>
      </c>
      <c r="B138" s="46">
        <v>45595</v>
      </c>
      <c r="C138" s="45" t="s">
        <v>294</v>
      </c>
      <c r="D138" s="47"/>
      <c r="E138" s="45" t="s">
        <v>325</v>
      </c>
      <c r="F138" s="45" t="s">
        <v>278</v>
      </c>
      <c r="G138" s="45" t="s">
        <v>1113</v>
      </c>
      <c r="H138" s="45" t="s">
        <v>356</v>
      </c>
      <c r="I138" s="45" t="s">
        <v>1120</v>
      </c>
      <c r="J138" s="45">
        <v>557029708</v>
      </c>
      <c r="K138" s="45" t="s">
        <v>213</v>
      </c>
      <c r="L138" s="48">
        <v>694.52</v>
      </c>
      <c r="M138" s="49">
        <v>20241016791</v>
      </c>
      <c r="N138" s="50" t="s">
        <v>28</v>
      </c>
      <c r="O138" s="50"/>
      <c r="P138" s="50"/>
      <c r="Q138" s="51"/>
      <c r="R138" s="50"/>
      <c r="S138" s="50"/>
      <c r="T138" s="51"/>
      <c r="U138" s="50"/>
    </row>
    <row r="139" spans="1:21" x14ac:dyDescent="0.25">
      <c r="A139" s="45" t="s">
        <v>324</v>
      </c>
      <c r="B139" s="46">
        <v>45595</v>
      </c>
      <c r="C139" s="45" t="s">
        <v>294</v>
      </c>
      <c r="D139" s="47"/>
      <c r="E139" s="45" t="s">
        <v>325</v>
      </c>
      <c r="F139" s="45" t="s">
        <v>278</v>
      </c>
      <c r="G139" s="45" t="s">
        <v>326</v>
      </c>
      <c r="H139" s="45" t="s">
        <v>1121</v>
      </c>
      <c r="I139" s="45" t="s">
        <v>1122</v>
      </c>
      <c r="J139" s="45">
        <v>567618337</v>
      </c>
      <c r="K139" s="45" t="s">
        <v>56</v>
      </c>
      <c r="L139" s="48">
        <v>685</v>
      </c>
      <c r="M139" s="49">
        <v>20241018659</v>
      </c>
      <c r="N139" s="50" t="s">
        <v>28</v>
      </c>
      <c r="O139" s="50"/>
      <c r="P139" s="50"/>
      <c r="Q139" s="51"/>
      <c r="R139" s="50"/>
      <c r="S139" s="50"/>
      <c r="T139" s="51"/>
      <c r="U139" s="50"/>
    </row>
    <row r="140" spans="1:21" x14ac:dyDescent="0.25">
      <c r="A140" s="45" t="s">
        <v>233</v>
      </c>
      <c r="B140" s="46">
        <v>45595</v>
      </c>
      <c r="C140" s="45" t="s">
        <v>294</v>
      </c>
      <c r="D140" s="47"/>
      <c r="E140" s="45" t="s">
        <v>325</v>
      </c>
      <c r="F140" s="45" t="s">
        <v>278</v>
      </c>
      <c r="G140" s="45" t="s">
        <v>333</v>
      </c>
      <c r="H140" s="45" t="s">
        <v>341</v>
      </c>
      <c r="I140" s="45" t="s">
        <v>917</v>
      </c>
      <c r="J140" s="45">
        <v>573736273</v>
      </c>
      <c r="K140" s="45" t="s">
        <v>918</v>
      </c>
      <c r="L140" s="48">
        <v>9.6999999999999993</v>
      </c>
      <c r="M140" s="49">
        <v>202410141063</v>
      </c>
      <c r="N140" s="50" t="s">
        <v>28</v>
      </c>
      <c r="O140" s="50"/>
      <c r="P140" s="50"/>
      <c r="Q140" s="51"/>
      <c r="R140" s="50"/>
      <c r="S140" s="50"/>
      <c r="T140" s="51"/>
      <c r="U140" s="50"/>
    </row>
    <row r="141" spans="1:21" x14ac:dyDescent="0.25">
      <c r="A141" s="45" t="s">
        <v>29</v>
      </c>
      <c r="B141" s="46">
        <v>45602</v>
      </c>
      <c r="C141" s="45" t="s">
        <v>168</v>
      </c>
      <c r="D141" s="47"/>
      <c r="E141" s="45" t="s">
        <v>353</v>
      </c>
      <c r="F141" s="45" t="s">
        <v>354</v>
      </c>
      <c r="G141" s="45" t="s">
        <v>1123</v>
      </c>
      <c r="H141" s="45" t="s">
        <v>1124</v>
      </c>
      <c r="I141" s="45" t="s">
        <v>1125</v>
      </c>
      <c r="J141" s="45">
        <v>1176</v>
      </c>
      <c r="K141" s="45" t="s">
        <v>1089</v>
      </c>
      <c r="L141" s="48">
        <v>98</v>
      </c>
      <c r="M141" s="49">
        <v>20241014251</v>
      </c>
      <c r="N141" s="50" t="s">
        <v>28</v>
      </c>
      <c r="O141" s="50"/>
      <c r="P141" s="50"/>
      <c r="Q141" s="51"/>
      <c r="R141" s="50"/>
      <c r="S141" s="50"/>
      <c r="T141" s="51"/>
      <c r="U141" s="50"/>
    </row>
    <row r="142" spans="1:21" x14ac:dyDescent="0.25">
      <c r="A142" s="45" t="s">
        <v>29</v>
      </c>
      <c r="B142" s="46">
        <v>45602</v>
      </c>
      <c r="C142" s="45" t="s">
        <v>168</v>
      </c>
      <c r="D142" s="47"/>
      <c r="E142" s="45" t="s">
        <v>353</v>
      </c>
      <c r="F142" s="45" t="s">
        <v>354</v>
      </c>
      <c r="G142" s="45" t="s">
        <v>1123</v>
      </c>
      <c r="H142" s="45" t="s">
        <v>1124</v>
      </c>
      <c r="I142" s="45" t="s">
        <v>1125</v>
      </c>
      <c r="J142" s="45">
        <v>1176</v>
      </c>
      <c r="K142" s="45" t="s">
        <v>1126</v>
      </c>
      <c r="L142" s="48">
        <v>130</v>
      </c>
      <c r="M142" s="49">
        <v>20241014252</v>
      </c>
      <c r="N142" s="50" t="s">
        <v>28</v>
      </c>
      <c r="O142" s="50"/>
      <c r="P142" s="50"/>
      <c r="Q142" s="51"/>
      <c r="R142" s="50"/>
      <c r="S142" s="50"/>
      <c r="T142" s="51"/>
      <c r="U142" s="50"/>
    </row>
    <row r="143" spans="1:21" x14ac:dyDescent="0.25">
      <c r="A143" s="45" t="s">
        <v>29</v>
      </c>
      <c r="B143" s="46">
        <v>45602</v>
      </c>
      <c r="C143" s="45" t="s">
        <v>168</v>
      </c>
      <c r="D143" s="47"/>
      <c r="E143" s="45" t="s">
        <v>353</v>
      </c>
      <c r="F143" s="45" t="s">
        <v>354</v>
      </c>
      <c r="G143" s="45" t="s">
        <v>1123</v>
      </c>
      <c r="H143" s="45" t="s">
        <v>1124</v>
      </c>
      <c r="I143" s="45" t="s">
        <v>1125</v>
      </c>
      <c r="J143" s="45">
        <v>1176</v>
      </c>
      <c r="K143" s="45" t="s">
        <v>406</v>
      </c>
      <c r="L143" s="48">
        <v>199</v>
      </c>
      <c r="M143" s="49">
        <v>20241014232</v>
      </c>
      <c r="N143" s="50" t="s">
        <v>28</v>
      </c>
      <c r="O143" s="50"/>
      <c r="P143" s="50"/>
      <c r="Q143" s="51"/>
      <c r="R143" s="50"/>
      <c r="S143" s="50"/>
      <c r="T143" s="51"/>
      <c r="U143" s="50"/>
    </row>
    <row r="144" spans="1:21" x14ac:dyDescent="0.25">
      <c r="A144" s="45" t="s">
        <v>29</v>
      </c>
      <c r="B144" s="46">
        <v>45602</v>
      </c>
      <c r="C144" s="45" t="s">
        <v>168</v>
      </c>
      <c r="D144" s="47"/>
      <c r="E144" s="45" t="s">
        <v>353</v>
      </c>
      <c r="F144" s="45" t="s">
        <v>354</v>
      </c>
      <c r="G144" s="45" t="s">
        <v>1123</v>
      </c>
      <c r="H144" s="45" t="s">
        <v>1124</v>
      </c>
      <c r="I144" s="45" t="s">
        <v>1125</v>
      </c>
      <c r="J144" s="45">
        <v>1176</v>
      </c>
      <c r="K144" s="45" t="s">
        <v>232</v>
      </c>
      <c r="L144" s="48">
        <v>199</v>
      </c>
      <c r="M144" s="49">
        <v>20241014234</v>
      </c>
      <c r="N144" s="50" t="s">
        <v>28</v>
      </c>
      <c r="O144" s="50"/>
      <c r="P144" s="50"/>
      <c r="Q144" s="51"/>
      <c r="R144" s="50"/>
      <c r="S144" s="50"/>
      <c r="T144" s="51"/>
      <c r="U144" s="50"/>
    </row>
    <row r="145" spans="1:21" x14ac:dyDescent="0.25">
      <c r="A145" s="45" t="s">
        <v>29</v>
      </c>
      <c r="B145" s="46">
        <v>45602</v>
      </c>
      <c r="C145" s="45" t="s">
        <v>168</v>
      </c>
      <c r="D145" s="47"/>
      <c r="E145" s="45" t="s">
        <v>353</v>
      </c>
      <c r="F145" s="45" t="s">
        <v>354</v>
      </c>
      <c r="G145" s="45" t="s">
        <v>1123</v>
      </c>
      <c r="H145" s="45" t="s">
        <v>1124</v>
      </c>
      <c r="I145" s="45" t="s">
        <v>1125</v>
      </c>
      <c r="J145" s="45">
        <v>1176</v>
      </c>
      <c r="K145" s="45" t="s">
        <v>56</v>
      </c>
      <c r="L145" s="48">
        <v>220</v>
      </c>
      <c r="M145" s="49">
        <v>20241014238</v>
      </c>
      <c r="N145" s="50" t="s">
        <v>28</v>
      </c>
      <c r="O145" s="50"/>
      <c r="P145" s="50"/>
      <c r="Q145" s="51"/>
      <c r="R145" s="50"/>
      <c r="S145" s="50"/>
      <c r="T145" s="51"/>
      <c r="U145" s="50"/>
    </row>
    <row r="146" spans="1:21" x14ac:dyDescent="0.25">
      <c r="A146" s="45" t="s">
        <v>29</v>
      </c>
      <c r="B146" s="46">
        <v>45602</v>
      </c>
      <c r="C146" s="45" t="s">
        <v>168</v>
      </c>
      <c r="D146" s="47"/>
      <c r="E146" s="45" t="s">
        <v>353</v>
      </c>
      <c r="F146" s="45" t="s">
        <v>354</v>
      </c>
      <c r="G146" s="45" t="s">
        <v>1123</v>
      </c>
      <c r="H146" s="45" t="s">
        <v>1124</v>
      </c>
      <c r="I146" s="45" t="s">
        <v>1125</v>
      </c>
      <c r="J146" s="45">
        <v>1176</v>
      </c>
      <c r="K146" s="45" t="s">
        <v>184</v>
      </c>
      <c r="L146" s="48">
        <v>200</v>
      </c>
      <c r="M146" s="49">
        <v>20241014239</v>
      </c>
      <c r="N146" s="50" t="s">
        <v>28</v>
      </c>
      <c r="O146" s="50"/>
      <c r="P146" s="50"/>
      <c r="Q146" s="51"/>
      <c r="R146" s="50"/>
      <c r="S146" s="50"/>
      <c r="T146" s="51"/>
      <c r="U146" s="50"/>
    </row>
    <row r="147" spans="1:21" x14ac:dyDescent="0.25">
      <c r="A147" s="45" t="s">
        <v>29</v>
      </c>
      <c r="B147" s="46">
        <v>45602</v>
      </c>
      <c r="C147" s="45" t="s">
        <v>168</v>
      </c>
      <c r="D147" s="47"/>
      <c r="E147" s="45" t="s">
        <v>353</v>
      </c>
      <c r="F147" s="45" t="s">
        <v>354</v>
      </c>
      <c r="G147" s="45" t="s">
        <v>1123</v>
      </c>
      <c r="H147" s="45" t="s">
        <v>1124</v>
      </c>
      <c r="I147" s="45" t="s">
        <v>1125</v>
      </c>
      <c r="J147" s="45">
        <v>1176</v>
      </c>
      <c r="K147" s="45" t="s">
        <v>184</v>
      </c>
      <c r="L147" s="48">
        <v>200</v>
      </c>
      <c r="M147" s="49">
        <v>20241014239</v>
      </c>
      <c r="N147" s="50" t="s">
        <v>28</v>
      </c>
      <c r="O147" s="50"/>
      <c r="P147" s="50"/>
      <c r="Q147" s="51"/>
      <c r="R147" s="50"/>
      <c r="S147" s="50"/>
      <c r="T147" s="51"/>
      <c r="U147" s="50"/>
    </row>
    <row r="148" spans="1:21" ht="25.5" x14ac:dyDescent="0.25">
      <c r="A148" s="45" t="s">
        <v>20</v>
      </c>
      <c r="B148" s="46">
        <v>45602</v>
      </c>
      <c r="C148" s="45" t="s">
        <v>168</v>
      </c>
      <c r="D148" s="47"/>
      <c r="E148" s="45" t="s">
        <v>353</v>
      </c>
      <c r="F148" s="45" t="s">
        <v>354</v>
      </c>
      <c r="G148" s="45" t="s">
        <v>863</v>
      </c>
      <c r="H148" s="45" t="s">
        <v>852</v>
      </c>
      <c r="I148" s="45" t="s">
        <v>1127</v>
      </c>
      <c r="J148" s="45">
        <v>9397</v>
      </c>
      <c r="K148" s="45" t="s">
        <v>790</v>
      </c>
      <c r="L148" s="48">
        <v>285.85000000000002</v>
      </c>
      <c r="M148" s="49">
        <v>20241014705</v>
      </c>
      <c r="N148" s="50" t="s">
        <v>28</v>
      </c>
      <c r="O148" s="50"/>
      <c r="P148" s="50"/>
      <c r="Q148" s="51"/>
      <c r="R148" s="50"/>
      <c r="S148" s="50"/>
      <c r="T148" s="51"/>
      <c r="U148" s="50"/>
    </row>
    <row r="149" spans="1:21" ht="25.5" x14ac:dyDescent="0.25">
      <c r="A149" s="45" t="s">
        <v>29</v>
      </c>
      <c r="B149" s="46">
        <v>45602</v>
      </c>
      <c r="C149" s="45" t="s">
        <v>168</v>
      </c>
      <c r="D149" s="47"/>
      <c r="E149" s="45" t="s">
        <v>353</v>
      </c>
      <c r="F149" s="45" t="s">
        <v>354</v>
      </c>
      <c r="G149" s="45" t="s">
        <v>863</v>
      </c>
      <c r="H149" s="45" t="s">
        <v>861</v>
      </c>
      <c r="I149" s="45" t="s">
        <v>1128</v>
      </c>
      <c r="J149" s="45">
        <v>13527</v>
      </c>
      <c r="K149" s="45" t="s">
        <v>48</v>
      </c>
      <c r="L149" s="48">
        <v>950</v>
      </c>
      <c r="M149" s="49">
        <v>20241014645</v>
      </c>
      <c r="N149" s="50" t="s">
        <v>28</v>
      </c>
      <c r="O149" s="50"/>
      <c r="P149" s="50"/>
      <c r="Q149" s="51"/>
      <c r="R149" s="50"/>
      <c r="S149" s="50"/>
      <c r="T149" s="51"/>
      <c r="U149" s="50"/>
    </row>
    <row r="150" spans="1:21" ht="25.5" x14ac:dyDescent="0.25">
      <c r="A150" s="45" t="s">
        <v>233</v>
      </c>
      <c r="B150" s="46">
        <v>45632</v>
      </c>
      <c r="C150" s="45" t="s">
        <v>21</v>
      </c>
      <c r="D150" s="47"/>
      <c r="E150" s="45" t="s">
        <v>353</v>
      </c>
      <c r="F150" s="45" t="s">
        <v>354</v>
      </c>
      <c r="G150" s="45" t="s">
        <v>863</v>
      </c>
      <c r="H150" s="45" t="s">
        <v>1129</v>
      </c>
      <c r="I150" s="45" t="s">
        <v>1130</v>
      </c>
      <c r="J150" s="45">
        <v>13983</v>
      </c>
      <c r="K150" s="45" t="s">
        <v>48</v>
      </c>
      <c r="L150" s="48">
        <v>263.99</v>
      </c>
      <c r="M150" s="49">
        <v>20241014659</v>
      </c>
      <c r="N150" s="50" t="s">
        <v>28</v>
      </c>
      <c r="O150" s="50"/>
      <c r="P150" s="50"/>
      <c r="Q150" s="51"/>
      <c r="R150" s="50"/>
      <c r="S150" s="50"/>
      <c r="T150" s="51"/>
      <c r="U150" s="50"/>
    </row>
    <row r="151" spans="1:21" ht="25.5" x14ac:dyDescent="0.25">
      <c r="A151" s="45" t="s">
        <v>233</v>
      </c>
      <c r="B151" s="46">
        <v>45632</v>
      </c>
      <c r="C151" s="45" t="s">
        <v>21</v>
      </c>
      <c r="D151" s="47"/>
      <c r="E151" s="45" t="s">
        <v>353</v>
      </c>
      <c r="F151" s="45" t="s">
        <v>354</v>
      </c>
      <c r="G151" s="45" t="s">
        <v>863</v>
      </c>
      <c r="H151" s="45" t="s">
        <v>1129</v>
      </c>
      <c r="I151" s="45" t="s">
        <v>1130</v>
      </c>
      <c r="J151" s="45">
        <v>13983</v>
      </c>
      <c r="K151" s="45" t="s">
        <v>1115</v>
      </c>
      <c r="L151" s="48">
        <v>3.9</v>
      </c>
      <c r="M151" s="49">
        <v>20241014674</v>
      </c>
      <c r="N151" s="50" t="s">
        <v>28</v>
      </c>
      <c r="O151" s="50"/>
      <c r="P151" s="50"/>
      <c r="Q151" s="51"/>
      <c r="R151" s="50"/>
      <c r="S151" s="50"/>
      <c r="T151" s="51"/>
      <c r="U151" s="50"/>
    </row>
    <row r="152" spans="1:21" ht="25.5" x14ac:dyDescent="0.25">
      <c r="A152" s="45" t="s">
        <v>233</v>
      </c>
      <c r="B152" s="46">
        <v>45632</v>
      </c>
      <c r="C152" s="45" t="s">
        <v>21</v>
      </c>
      <c r="D152" s="47"/>
      <c r="E152" s="45" t="s">
        <v>353</v>
      </c>
      <c r="F152" s="45" t="s">
        <v>354</v>
      </c>
      <c r="G152" s="45" t="s">
        <v>863</v>
      </c>
      <c r="H152" s="45" t="s">
        <v>1129</v>
      </c>
      <c r="I152" s="45" t="s">
        <v>1130</v>
      </c>
      <c r="J152" s="45">
        <v>13983</v>
      </c>
      <c r="K152" s="45" t="s">
        <v>48</v>
      </c>
      <c r="L152" s="48">
        <v>100</v>
      </c>
      <c r="M152" s="49">
        <v>20241014676</v>
      </c>
      <c r="N152" s="50" t="s">
        <v>28</v>
      </c>
      <c r="O152" s="50"/>
      <c r="P152" s="50"/>
      <c r="Q152" s="51"/>
      <c r="R152" s="50"/>
      <c r="S152" s="50"/>
      <c r="T152" s="51"/>
      <c r="U152" s="50"/>
    </row>
    <row r="153" spans="1:21" ht="25.5" x14ac:dyDescent="0.25">
      <c r="A153" s="45" t="s">
        <v>233</v>
      </c>
      <c r="B153" s="46">
        <v>45632</v>
      </c>
      <c r="C153" s="45" t="s">
        <v>21</v>
      </c>
      <c r="D153" s="47"/>
      <c r="E153" s="45" t="s">
        <v>353</v>
      </c>
      <c r="F153" s="45" t="s">
        <v>354</v>
      </c>
      <c r="G153" s="45" t="s">
        <v>863</v>
      </c>
      <c r="H153" s="45" t="s">
        <v>1129</v>
      </c>
      <c r="I153" s="45" t="s">
        <v>1130</v>
      </c>
      <c r="J153" s="45">
        <v>13983</v>
      </c>
      <c r="K153" s="45" t="s">
        <v>213</v>
      </c>
      <c r="L153" s="48">
        <v>23.98</v>
      </c>
      <c r="M153" s="49">
        <v>20241014699</v>
      </c>
      <c r="N153" s="50" t="s">
        <v>28</v>
      </c>
      <c r="O153" s="50"/>
      <c r="P153" s="50"/>
      <c r="Q153" s="51"/>
      <c r="R153" s="50"/>
      <c r="S153" s="50"/>
      <c r="T153" s="51"/>
      <c r="U153" s="50"/>
    </row>
    <row r="154" spans="1:21" ht="25.5" x14ac:dyDescent="0.25">
      <c r="A154" s="45" t="s">
        <v>233</v>
      </c>
      <c r="B154" s="46">
        <v>45632</v>
      </c>
      <c r="C154" s="45" t="s">
        <v>21</v>
      </c>
      <c r="D154" s="47"/>
      <c r="E154" s="45" t="s">
        <v>353</v>
      </c>
      <c r="F154" s="45" t="s">
        <v>354</v>
      </c>
      <c r="G154" s="45" t="s">
        <v>863</v>
      </c>
      <c r="H154" s="45" t="s">
        <v>1129</v>
      </c>
      <c r="I154" s="45" t="s">
        <v>1130</v>
      </c>
      <c r="J154" s="45">
        <v>13983</v>
      </c>
      <c r="K154" s="45" t="s">
        <v>383</v>
      </c>
      <c r="L154" s="48">
        <v>412.37</v>
      </c>
      <c r="M154" s="49">
        <v>20241014656</v>
      </c>
      <c r="N154" s="50" t="s">
        <v>28</v>
      </c>
      <c r="O154" s="50"/>
      <c r="P154" s="50"/>
      <c r="Q154" s="51"/>
      <c r="R154" s="50"/>
      <c r="S154" s="50"/>
      <c r="T154" s="51"/>
      <c r="U154" s="50"/>
    </row>
    <row r="155" spans="1:21" ht="25.5" x14ac:dyDescent="0.25">
      <c r="A155" s="45" t="s">
        <v>233</v>
      </c>
      <c r="B155" s="46">
        <v>45632</v>
      </c>
      <c r="C155" s="45" t="s">
        <v>21</v>
      </c>
      <c r="D155" s="47"/>
      <c r="E155" s="45" t="s">
        <v>353</v>
      </c>
      <c r="F155" s="45" t="s">
        <v>354</v>
      </c>
      <c r="G155" s="45" t="s">
        <v>863</v>
      </c>
      <c r="H155" s="45" t="s">
        <v>1129</v>
      </c>
      <c r="I155" s="45" t="s">
        <v>1130</v>
      </c>
      <c r="J155" s="45">
        <v>13983</v>
      </c>
      <c r="K155" s="45" t="s">
        <v>1115</v>
      </c>
      <c r="L155" s="48">
        <v>57.09</v>
      </c>
      <c r="M155" s="49">
        <v>20241014646</v>
      </c>
      <c r="N155" s="50" t="s">
        <v>28</v>
      </c>
      <c r="O155" s="50"/>
      <c r="P155" s="50"/>
      <c r="Q155" s="51"/>
      <c r="R155" s="50"/>
      <c r="S155" s="50"/>
      <c r="T155" s="51"/>
      <c r="U155" s="50"/>
    </row>
    <row r="156" spans="1:21" x14ac:dyDescent="0.25">
      <c r="A156" s="45" t="s">
        <v>324</v>
      </c>
      <c r="B156" s="46">
        <v>45632</v>
      </c>
      <c r="C156" s="45" t="s">
        <v>21</v>
      </c>
      <c r="D156" s="47"/>
      <c r="E156" s="45" t="s">
        <v>371</v>
      </c>
      <c r="F156" s="45" t="s">
        <v>372</v>
      </c>
      <c r="G156" s="45" t="s">
        <v>326</v>
      </c>
      <c r="H156" s="45" t="s">
        <v>350</v>
      </c>
      <c r="I156" s="45" t="s">
        <v>351</v>
      </c>
      <c r="J156" s="45">
        <v>455657256</v>
      </c>
      <c r="K156" s="45" t="s">
        <v>781</v>
      </c>
      <c r="L156" s="48">
        <v>81.400000000000006</v>
      </c>
      <c r="M156" s="49">
        <v>20241010663</v>
      </c>
      <c r="N156" s="50" t="s">
        <v>28</v>
      </c>
      <c r="O156" s="50"/>
      <c r="P156" s="50"/>
      <c r="Q156" s="51"/>
      <c r="R156" s="50"/>
      <c r="S156" s="50"/>
      <c r="T156" s="51"/>
      <c r="U156" s="50"/>
    </row>
    <row r="157" spans="1:21" x14ac:dyDescent="0.25">
      <c r="A157" s="45" t="s">
        <v>324</v>
      </c>
      <c r="B157" s="46">
        <v>45632</v>
      </c>
      <c r="C157" s="45" t="s">
        <v>21</v>
      </c>
      <c r="D157" s="47"/>
      <c r="E157" s="45" t="s">
        <v>371</v>
      </c>
      <c r="F157" s="45" t="s">
        <v>372</v>
      </c>
      <c r="G157" s="45" t="s">
        <v>274</v>
      </c>
      <c r="H157" s="45" t="s">
        <v>1131</v>
      </c>
      <c r="I157" s="45" t="s">
        <v>1132</v>
      </c>
      <c r="J157" s="45">
        <v>457553222</v>
      </c>
      <c r="K157" s="45" t="s">
        <v>999</v>
      </c>
      <c r="L157" s="48">
        <v>47.63</v>
      </c>
      <c r="M157" s="49">
        <v>20241017371</v>
      </c>
      <c r="N157" s="50" t="s">
        <v>28</v>
      </c>
      <c r="O157" s="50"/>
      <c r="P157" s="50"/>
      <c r="Q157" s="51"/>
      <c r="R157" s="50"/>
      <c r="S157" s="50"/>
      <c r="T157" s="51"/>
      <c r="U157" s="50"/>
    </row>
    <row r="158" spans="1:21" x14ac:dyDescent="0.25">
      <c r="A158" s="45" t="s">
        <v>324</v>
      </c>
      <c r="B158" s="46">
        <v>45632</v>
      </c>
      <c r="C158" s="45" t="s">
        <v>21</v>
      </c>
      <c r="D158" s="47"/>
      <c r="E158" s="45" t="s">
        <v>371</v>
      </c>
      <c r="F158" s="45" t="s">
        <v>372</v>
      </c>
      <c r="G158" s="45" t="s">
        <v>1133</v>
      </c>
      <c r="H158" s="45" t="s">
        <v>1134</v>
      </c>
      <c r="I158" s="45" t="s">
        <v>1135</v>
      </c>
      <c r="J158" s="45">
        <v>459997375</v>
      </c>
      <c r="K158" s="45" t="s">
        <v>1033</v>
      </c>
      <c r="L158" s="48">
        <v>762.25</v>
      </c>
      <c r="M158" s="49">
        <v>20241016263</v>
      </c>
      <c r="N158" s="50" t="s">
        <v>28</v>
      </c>
      <c r="O158" s="50"/>
      <c r="P158" s="50"/>
      <c r="Q158" s="51"/>
      <c r="R158" s="50"/>
      <c r="S158" s="50"/>
      <c r="T158" s="51"/>
      <c r="U158" s="50"/>
    </row>
    <row r="159" spans="1:21" x14ac:dyDescent="0.25">
      <c r="A159" s="45" t="s">
        <v>233</v>
      </c>
      <c r="B159" s="46">
        <v>45632</v>
      </c>
      <c r="C159" s="45" t="s">
        <v>21</v>
      </c>
      <c r="D159" s="47"/>
      <c r="E159" s="45" t="s">
        <v>371</v>
      </c>
      <c r="F159" s="45" t="s">
        <v>372</v>
      </c>
      <c r="G159" s="45" t="s">
        <v>1136</v>
      </c>
      <c r="H159" s="45" t="s">
        <v>731</v>
      </c>
      <c r="I159" s="45" t="s">
        <v>1137</v>
      </c>
      <c r="J159" s="45">
        <v>460859357</v>
      </c>
      <c r="K159" s="45" t="s">
        <v>416</v>
      </c>
      <c r="L159" s="48">
        <v>10.1</v>
      </c>
      <c r="M159" s="49">
        <v>20241018341</v>
      </c>
      <c r="N159" s="50" t="s">
        <v>28</v>
      </c>
      <c r="O159" s="50"/>
      <c r="P159" s="50"/>
      <c r="Q159" s="51"/>
      <c r="R159" s="50"/>
      <c r="S159" s="50"/>
      <c r="T159" s="51"/>
      <c r="U159" s="50"/>
    </row>
    <row r="160" spans="1:21" x14ac:dyDescent="0.25">
      <c r="A160" s="45" t="s">
        <v>233</v>
      </c>
      <c r="B160" s="46">
        <v>45632</v>
      </c>
      <c r="C160" s="45" t="s">
        <v>21</v>
      </c>
      <c r="D160" s="47"/>
      <c r="E160" s="45" t="s">
        <v>371</v>
      </c>
      <c r="F160" s="45" t="s">
        <v>372</v>
      </c>
      <c r="G160" s="45" t="s">
        <v>1136</v>
      </c>
      <c r="H160" s="45" t="s">
        <v>731</v>
      </c>
      <c r="I160" s="45" t="s">
        <v>1137</v>
      </c>
      <c r="J160" s="45">
        <v>460859357</v>
      </c>
      <c r="K160" s="45" t="s">
        <v>1033</v>
      </c>
      <c r="L160" s="48">
        <v>66</v>
      </c>
      <c r="M160" s="49">
        <v>20241018337</v>
      </c>
      <c r="N160" s="50" t="s">
        <v>28</v>
      </c>
      <c r="O160" s="50"/>
      <c r="P160" s="50"/>
      <c r="Q160" s="51"/>
      <c r="R160" s="50"/>
      <c r="S160" s="50"/>
      <c r="T160" s="51"/>
      <c r="U160" s="50"/>
    </row>
    <row r="161" spans="1:21" x14ac:dyDescent="0.25">
      <c r="A161" s="45" t="s">
        <v>233</v>
      </c>
      <c r="B161" s="46">
        <v>45632</v>
      </c>
      <c r="C161" s="45" t="s">
        <v>21</v>
      </c>
      <c r="D161" s="47"/>
      <c r="E161" s="45" t="s">
        <v>371</v>
      </c>
      <c r="F161" s="45" t="s">
        <v>372</v>
      </c>
      <c r="G161" s="45" t="s">
        <v>1136</v>
      </c>
      <c r="H161" s="45" t="s">
        <v>731</v>
      </c>
      <c r="I161" s="45" t="s">
        <v>1137</v>
      </c>
      <c r="J161" s="45">
        <v>460859357</v>
      </c>
      <c r="K161" s="45" t="s">
        <v>831</v>
      </c>
      <c r="L161" s="48">
        <v>15</v>
      </c>
      <c r="M161" s="49">
        <v>20241018339</v>
      </c>
      <c r="N161" s="50" t="s">
        <v>28</v>
      </c>
      <c r="O161" s="50"/>
      <c r="P161" s="50"/>
      <c r="Q161" s="51"/>
      <c r="R161" s="50"/>
      <c r="S161" s="50"/>
      <c r="T161" s="51"/>
      <c r="U161" s="50"/>
    </row>
    <row r="162" spans="1:21" x14ac:dyDescent="0.25">
      <c r="A162" s="45" t="s">
        <v>1138</v>
      </c>
      <c r="B162" s="46">
        <v>45632</v>
      </c>
      <c r="C162" s="45" t="s">
        <v>21</v>
      </c>
      <c r="D162" s="47"/>
      <c r="E162" s="45" t="s">
        <v>371</v>
      </c>
      <c r="F162" s="45" t="s">
        <v>372</v>
      </c>
      <c r="G162" s="45" t="s">
        <v>1139</v>
      </c>
      <c r="H162" s="45" t="s">
        <v>142</v>
      </c>
      <c r="I162" s="45" t="s">
        <v>1140</v>
      </c>
      <c r="J162" s="45">
        <v>463938273</v>
      </c>
      <c r="K162" s="45" t="s">
        <v>1141</v>
      </c>
      <c r="L162" s="48">
        <v>122.09</v>
      </c>
      <c r="M162" s="49">
        <v>20241017418</v>
      </c>
      <c r="N162" s="50" t="s">
        <v>28</v>
      </c>
      <c r="O162" s="50"/>
      <c r="P162" s="50"/>
      <c r="Q162" s="51"/>
      <c r="R162" s="50"/>
      <c r="S162" s="50"/>
      <c r="T162" s="51"/>
      <c r="U162" s="50"/>
    </row>
    <row r="163" spans="1:21" x14ac:dyDescent="0.25">
      <c r="A163" s="45" t="s">
        <v>1138</v>
      </c>
      <c r="B163" s="46">
        <v>45632</v>
      </c>
      <c r="C163" s="45" t="s">
        <v>21</v>
      </c>
      <c r="D163" s="47"/>
      <c r="E163" s="45" t="s">
        <v>371</v>
      </c>
      <c r="F163" s="45" t="s">
        <v>372</v>
      </c>
      <c r="G163" s="45" t="s">
        <v>1139</v>
      </c>
      <c r="H163" s="45" t="s">
        <v>142</v>
      </c>
      <c r="I163" s="45" t="s">
        <v>1140</v>
      </c>
      <c r="J163" s="45">
        <v>463938273</v>
      </c>
      <c r="K163" s="45" t="s">
        <v>190</v>
      </c>
      <c r="L163" s="48">
        <v>172.22</v>
      </c>
      <c r="M163" s="49">
        <v>20241017419</v>
      </c>
      <c r="N163" s="50" t="s">
        <v>28</v>
      </c>
      <c r="O163" s="50"/>
      <c r="P163" s="50"/>
      <c r="Q163" s="51"/>
      <c r="R163" s="50"/>
      <c r="S163" s="50"/>
      <c r="T163" s="51"/>
      <c r="U163" s="50"/>
    </row>
    <row r="164" spans="1:21" x14ac:dyDescent="0.25">
      <c r="A164" s="45" t="s">
        <v>1138</v>
      </c>
      <c r="B164" s="46">
        <v>45632</v>
      </c>
      <c r="C164" s="45" t="s">
        <v>21</v>
      </c>
      <c r="D164" s="47"/>
      <c r="E164" s="45" t="s">
        <v>371</v>
      </c>
      <c r="F164" s="45" t="s">
        <v>372</v>
      </c>
      <c r="G164" s="45" t="s">
        <v>1139</v>
      </c>
      <c r="H164" s="45" t="s">
        <v>142</v>
      </c>
      <c r="I164" s="45" t="s">
        <v>1140</v>
      </c>
      <c r="J164" s="45">
        <v>463938273</v>
      </c>
      <c r="K164" s="45" t="s">
        <v>190</v>
      </c>
      <c r="L164" s="48">
        <v>67.069999999999993</v>
      </c>
      <c r="M164" s="49">
        <v>20241017420</v>
      </c>
      <c r="N164" s="50" t="s">
        <v>28</v>
      </c>
      <c r="O164" s="50"/>
      <c r="P164" s="50"/>
      <c r="Q164" s="51"/>
      <c r="R164" s="50"/>
      <c r="S164" s="50"/>
      <c r="T164" s="51"/>
      <c r="U164" s="50"/>
    </row>
    <row r="165" spans="1:21" x14ac:dyDescent="0.25">
      <c r="A165" s="45" t="s">
        <v>1138</v>
      </c>
      <c r="B165" s="46">
        <v>45632</v>
      </c>
      <c r="C165" s="45" t="s">
        <v>21</v>
      </c>
      <c r="D165" s="47"/>
      <c r="E165" s="45" t="s">
        <v>371</v>
      </c>
      <c r="F165" s="45" t="s">
        <v>372</v>
      </c>
      <c r="G165" s="45" t="s">
        <v>1139</v>
      </c>
      <c r="H165" s="45" t="s">
        <v>142</v>
      </c>
      <c r="I165" s="45" t="s">
        <v>1140</v>
      </c>
      <c r="J165" s="45">
        <v>463938273</v>
      </c>
      <c r="K165" s="45" t="s">
        <v>190</v>
      </c>
      <c r="L165" s="48">
        <v>122.09</v>
      </c>
      <c r="M165" s="49">
        <v>20241017422</v>
      </c>
      <c r="N165" s="50" t="s">
        <v>28</v>
      </c>
      <c r="O165" s="50"/>
      <c r="P165" s="50"/>
      <c r="Q165" s="51"/>
      <c r="R165" s="50"/>
      <c r="S165" s="50"/>
      <c r="T165" s="51"/>
      <c r="U165" s="50"/>
    </row>
    <row r="166" spans="1:21" x14ac:dyDescent="0.25">
      <c r="A166" s="45" t="s">
        <v>1138</v>
      </c>
      <c r="B166" s="46">
        <v>45632</v>
      </c>
      <c r="C166" s="45" t="s">
        <v>21</v>
      </c>
      <c r="D166" s="47"/>
      <c r="E166" s="45" t="s">
        <v>371</v>
      </c>
      <c r="F166" s="45" t="s">
        <v>372</v>
      </c>
      <c r="G166" s="45" t="s">
        <v>1139</v>
      </c>
      <c r="H166" s="45" t="s">
        <v>142</v>
      </c>
      <c r="I166" s="45" t="s">
        <v>1140</v>
      </c>
      <c r="J166" s="45">
        <v>463938273</v>
      </c>
      <c r="K166" s="45" t="s">
        <v>1142</v>
      </c>
      <c r="L166" s="48">
        <v>122.09</v>
      </c>
      <c r="M166" s="49">
        <v>20241017424</v>
      </c>
      <c r="N166" s="50" t="s">
        <v>28</v>
      </c>
      <c r="O166" s="50"/>
      <c r="P166" s="50"/>
      <c r="Q166" s="51"/>
      <c r="R166" s="50"/>
      <c r="S166" s="50"/>
      <c r="T166" s="51"/>
      <c r="U166" s="50"/>
    </row>
    <row r="167" spans="1:21" x14ac:dyDescent="0.25">
      <c r="A167" s="45" t="s">
        <v>1138</v>
      </c>
      <c r="B167" s="46">
        <v>45632</v>
      </c>
      <c r="C167" s="45" t="s">
        <v>21</v>
      </c>
      <c r="D167" s="47"/>
      <c r="E167" s="45" t="s">
        <v>371</v>
      </c>
      <c r="F167" s="45" t="s">
        <v>372</v>
      </c>
      <c r="G167" s="45" t="s">
        <v>1139</v>
      </c>
      <c r="H167" s="45" t="s">
        <v>142</v>
      </c>
      <c r="I167" s="45" t="s">
        <v>1140</v>
      </c>
      <c r="J167" s="45">
        <v>463938273</v>
      </c>
      <c r="K167" s="45" t="s">
        <v>1143</v>
      </c>
      <c r="L167" s="48">
        <v>31.8</v>
      </c>
      <c r="M167" s="49">
        <v>20241017412</v>
      </c>
      <c r="N167" s="50" t="s">
        <v>28</v>
      </c>
      <c r="O167" s="50"/>
      <c r="P167" s="50"/>
      <c r="Q167" s="51"/>
      <c r="R167" s="50"/>
      <c r="S167" s="50"/>
      <c r="T167" s="51"/>
      <c r="U167" s="50"/>
    </row>
    <row r="168" spans="1:21" x14ac:dyDescent="0.25">
      <c r="A168" s="45" t="s">
        <v>1138</v>
      </c>
      <c r="B168" s="46">
        <v>45632</v>
      </c>
      <c r="C168" s="45" t="s">
        <v>21</v>
      </c>
      <c r="D168" s="47"/>
      <c r="E168" s="45" t="s">
        <v>371</v>
      </c>
      <c r="F168" s="45" t="s">
        <v>372</v>
      </c>
      <c r="G168" s="45" t="s">
        <v>1139</v>
      </c>
      <c r="H168" s="45" t="s">
        <v>142</v>
      </c>
      <c r="I168" s="45" t="s">
        <v>1140</v>
      </c>
      <c r="J168" s="45">
        <v>463938273</v>
      </c>
      <c r="K168" s="45" t="s">
        <v>1143</v>
      </c>
      <c r="L168" s="48">
        <v>152.69999999999999</v>
      </c>
      <c r="M168" s="49">
        <v>20241017415</v>
      </c>
      <c r="N168" s="50" t="s">
        <v>28</v>
      </c>
      <c r="O168" s="50"/>
      <c r="P168" s="50"/>
      <c r="Q168" s="51"/>
      <c r="R168" s="50"/>
      <c r="S168" s="50"/>
      <c r="T168" s="51"/>
      <c r="U168" s="50"/>
    </row>
    <row r="169" spans="1:21" x14ac:dyDescent="0.25">
      <c r="A169" s="45" t="s">
        <v>375</v>
      </c>
      <c r="B169" s="46">
        <v>45632</v>
      </c>
      <c r="C169" s="45" t="s">
        <v>21</v>
      </c>
      <c r="D169" s="47"/>
      <c r="E169" s="45" t="s">
        <v>371</v>
      </c>
      <c r="F169" s="45" t="s">
        <v>372</v>
      </c>
      <c r="G169" s="45" t="s">
        <v>376</v>
      </c>
      <c r="H169" s="45" t="s">
        <v>1144</v>
      </c>
      <c r="I169" s="45" t="s">
        <v>1145</v>
      </c>
      <c r="J169" s="45">
        <v>483948604</v>
      </c>
      <c r="K169" s="45" t="s">
        <v>194</v>
      </c>
      <c r="L169" s="48">
        <v>84.62</v>
      </c>
      <c r="M169" s="49">
        <v>20241014128</v>
      </c>
      <c r="N169" s="50" t="s">
        <v>28</v>
      </c>
      <c r="O169" s="50"/>
      <c r="P169" s="50"/>
      <c r="Q169" s="51"/>
      <c r="R169" s="50"/>
      <c r="S169" s="50"/>
      <c r="T169" s="51"/>
      <c r="U169" s="50"/>
    </row>
    <row r="170" spans="1:21" x14ac:dyDescent="0.25">
      <c r="A170" s="45" t="s">
        <v>375</v>
      </c>
      <c r="B170" s="46">
        <v>45632</v>
      </c>
      <c r="C170" s="45" t="s">
        <v>21</v>
      </c>
      <c r="D170" s="47"/>
      <c r="E170" s="45" t="s">
        <v>371</v>
      </c>
      <c r="F170" s="45" t="s">
        <v>372</v>
      </c>
      <c r="G170" s="45" t="s">
        <v>376</v>
      </c>
      <c r="H170" s="45" t="s">
        <v>1144</v>
      </c>
      <c r="I170" s="45" t="s">
        <v>1145</v>
      </c>
      <c r="J170" s="45">
        <v>483948604</v>
      </c>
      <c r="K170" s="45" t="s">
        <v>1146</v>
      </c>
      <c r="L170" s="48">
        <v>86.78</v>
      </c>
      <c r="M170" s="49">
        <v>20241014130</v>
      </c>
      <c r="N170" s="50" t="s">
        <v>28</v>
      </c>
      <c r="O170" s="50"/>
      <c r="P170" s="50"/>
      <c r="Q170" s="51"/>
      <c r="R170" s="50"/>
      <c r="S170" s="50"/>
      <c r="T170" s="51"/>
      <c r="U170" s="50"/>
    </row>
    <row r="171" spans="1:21" x14ac:dyDescent="0.25">
      <c r="A171" s="45" t="s">
        <v>20</v>
      </c>
      <c r="B171" s="46">
        <v>45602</v>
      </c>
      <c r="C171" s="45" t="s">
        <v>168</v>
      </c>
      <c r="D171" s="47"/>
      <c r="E171" s="45" t="s">
        <v>362</v>
      </c>
      <c r="F171" s="45" t="s">
        <v>394</v>
      </c>
      <c r="G171" s="45" t="s">
        <v>298</v>
      </c>
      <c r="H171" s="45" t="s">
        <v>1147</v>
      </c>
      <c r="I171" s="45" t="s">
        <v>1148</v>
      </c>
      <c r="J171" s="45">
        <v>14194</v>
      </c>
      <c r="K171" s="45" t="s">
        <v>53</v>
      </c>
      <c r="L171" s="48">
        <v>11</v>
      </c>
      <c r="M171" s="49">
        <v>20241016524</v>
      </c>
      <c r="N171" s="50" t="s">
        <v>28</v>
      </c>
      <c r="O171" s="50"/>
      <c r="P171" s="50"/>
      <c r="Q171" s="51"/>
      <c r="R171" s="50"/>
      <c r="S171" s="50"/>
      <c r="T171" s="51"/>
      <c r="U171" s="50"/>
    </row>
    <row r="172" spans="1:21" x14ac:dyDescent="0.25">
      <c r="A172" s="45" t="s">
        <v>20</v>
      </c>
      <c r="B172" s="46">
        <v>45602</v>
      </c>
      <c r="C172" s="45" t="s">
        <v>168</v>
      </c>
      <c r="D172" s="47"/>
      <c r="E172" s="45" t="s">
        <v>362</v>
      </c>
      <c r="F172" s="45" t="s">
        <v>394</v>
      </c>
      <c r="G172" s="45" t="s">
        <v>298</v>
      </c>
      <c r="H172" s="45" t="s">
        <v>1147</v>
      </c>
      <c r="I172" s="45" t="s">
        <v>1148</v>
      </c>
      <c r="J172" s="45">
        <v>14194</v>
      </c>
      <c r="K172" s="45" t="s">
        <v>387</v>
      </c>
      <c r="L172" s="48">
        <v>11</v>
      </c>
      <c r="M172" s="49">
        <v>20241016525</v>
      </c>
      <c r="N172" s="50" t="s">
        <v>28</v>
      </c>
      <c r="O172" s="50"/>
      <c r="P172" s="50"/>
      <c r="Q172" s="51"/>
      <c r="R172" s="50"/>
      <c r="S172" s="50"/>
      <c r="T172" s="51"/>
      <c r="U172" s="50"/>
    </row>
    <row r="173" spans="1:21" x14ac:dyDescent="0.25">
      <c r="A173" s="45" t="s">
        <v>20</v>
      </c>
      <c r="B173" s="46">
        <v>45602</v>
      </c>
      <c r="C173" s="45" t="s">
        <v>168</v>
      </c>
      <c r="D173" s="47"/>
      <c r="E173" s="45" t="s">
        <v>362</v>
      </c>
      <c r="F173" s="45" t="s">
        <v>394</v>
      </c>
      <c r="G173" s="45" t="s">
        <v>298</v>
      </c>
      <c r="H173" s="45" t="s">
        <v>1147</v>
      </c>
      <c r="I173" s="45" t="s">
        <v>1148</v>
      </c>
      <c r="J173" s="45">
        <v>14194</v>
      </c>
      <c r="K173" s="45" t="s">
        <v>1149</v>
      </c>
      <c r="L173" s="48">
        <v>30</v>
      </c>
      <c r="M173" s="49">
        <v>20241016526</v>
      </c>
      <c r="N173" s="50" t="s">
        <v>28</v>
      </c>
      <c r="O173" s="50"/>
      <c r="P173" s="50"/>
      <c r="Q173" s="51"/>
      <c r="R173" s="50"/>
      <c r="S173" s="50"/>
      <c r="T173" s="51"/>
      <c r="U173" s="50"/>
    </row>
    <row r="174" spans="1:21" x14ac:dyDescent="0.25">
      <c r="A174" s="45" t="s">
        <v>20</v>
      </c>
      <c r="B174" s="46">
        <v>45602</v>
      </c>
      <c r="C174" s="45" t="s">
        <v>168</v>
      </c>
      <c r="D174" s="47"/>
      <c r="E174" s="45" t="s">
        <v>362</v>
      </c>
      <c r="F174" s="45" t="s">
        <v>394</v>
      </c>
      <c r="G174" s="45" t="s">
        <v>298</v>
      </c>
      <c r="H174" s="45" t="s">
        <v>1147</v>
      </c>
      <c r="I174" s="45" t="s">
        <v>1148</v>
      </c>
      <c r="J174" s="45">
        <v>14194</v>
      </c>
      <c r="K174" s="45" t="s">
        <v>1150</v>
      </c>
      <c r="L174" s="48">
        <v>30</v>
      </c>
      <c r="M174" s="49">
        <v>20241016527</v>
      </c>
      <c r="N174" s="50" t="s">
        <v>28</v>
      </c>
      <c r="O174" s="50"/>
      <c r="P174" s="50"/>
      <c r="Q174" s="51"/>
      <c r="R174" s="50"/>
      <c r="S174" s="50"/>
      <c r="T174" s="51"/>
      <c r="U174" s="50"/>
    </row>
    <row r="175" spans="1:21" x14ac:dyDescent="0.25">
      <c r="A175" s="45" t="s">
        <v>20</v>
      </c>
      <c r="B175" s="46">
        <v>45602</v>
      </c>
      <c r="C175" s="45" t="s">
        <v>168</v>
      </c>
      <c r="D175" s="47"/>
      <c r="E175" s="45" t="s">
        <v>362</v>
      </c>
      <c r="F175" s="45" t="s">
        <v>394</v>
      </c>
      <c r="G175" s="45" t="s">
        <v>298</v>
      </c>
      <c r="H175" s="45" t="s">
        <v>1147</v>
      </c>
      <c r="I175" s="45" t="s">
        <v>1148</v>
      </c>
      <c r="J175" s="45">
        <v>14194</v>
      </c>
      <c r="K175" s="45" t="s">
        <v>927</v>
      </c>
      <c r="L175" s="48">
        <v>30</v>
      </c>
      <c r="M175" s="49">
        <v>20241016528</v>
      </c>
      <c r="N175" s="50" t="s">
        <v>28</v>
      </c>
      <c r="O175" s="50"/>
      <c r="P175" s="50"/>
      <c r="Q175" s="51"/>
      <c r="R175" s="50"/>
      <c r="S175" s="50"/>
      <c r="T175" s="51"/>
      <c r="U175" s="50"/>
    </row>
    <row r="176" spans="1:21" x14ac:dyDescent="0.25">
      <c r="A176" s="45" t="s">
        <v>233</v>
      </c>
      <c r="B176" s="46">
        <v>45632</v>
      </c>
      <c r="C176" s="45" t="s">
        <v>21</v>
      </c>
      <c r="D176" s="47"/>
      <c r="E176" s="45" t="s">
        <v>362</v>
      </c>
      <c r="F176" s="45" t="s">
        <v>394</v>
      </c>
      <c r="G176" s="45" t="s">
        <v>298</v>
      </c>
      <c r="H176" s="45" t="s">
        <v>1151</v>
      </c>
      <c r="I176" s="45" t="s">
        <v>85</v>
      </c>
      <c r="J176" s="45">
        <v>58501</v>
      </c>
      <c r="K176" s="45" t="s">
        <v>48</v>
      </c>
      <c r="L176" s="48">
        <v>88.99</v>
      </c>
      <c r="M176" s="49">
        <v>20240917174</v>
      </c>
      <c r="N176" s="50" t="s">
        <v>28</v>
      </c>
      <c r="O176" s="50"/>
      <c r="P176" s="50"/>
      <c r="Q176" s="51"/>
      <c r="R176" s="50"/>
      <c r="S176" s="50"/>
      <c r="T176" s="51"/>
      <c r="U176" s="50"/>
    </row>
    <row r="177" spans="1:21" x14ac:dyDescent="0.25">
      <c r="A177" s="45" t="s">
        <v>233</v>
      </c>
      <c r="B177" s="46">
        <v>45632</v>
      </c>
      <c r="C177" s="45" t="s">
        <v>21</v>
      </c>
      <c r="D177" s="47"/>
      <c r="E177" s="45" t="s">
        <v>362</v>
      </c>
      <c r="F177" s="45" t="s">
        <v>394</v>
      </c>
      <c r="G177" s="45" t="s">
        <v>298</v>
      </c>
      <c r="H177" s="45" t="s">
        <v>1151</v>
      </c>
      <c r="I177" s="45" t="s">
        <v>85</v>
      </c>
      <c r="J177" s="45">
        <v>58501</v>
      </c>
      <c r="K177" s="45" t="s">
        <v>48</v>
      </c>
      <c r="L177" s="48">
        <v>88.99</v>
      </c>
      <c r="M177" s="49">
        <v>20240917174</v>
      </c>
      <c r="N177" s="50" t="s">
        <v>28</v>
      </c>
      <c r="O177" s="50"/>
      <c r="P177" s="50"/>
      <c r="Q177" s="51"/>
      <c r="R177" s="50"/>
      <c r="S177" s="50"/>
      <c r="T177" s="51"/>
      <c r="U177" s="50"/>
    </row>
    <row r="178" spans="1:21" x14ac:dyDescent="0.25">
      <c r="A178" s="45" t="s">
        <v>29</v>
      </c>
      <c r="B178" s="46">
        <v>45602</v>
      </c>
      <c r="C178" s="45" t="s">
        <v>168</v>
      </c>
      <c r="D178" s="47"/>
      <c r="E178" s="45" t="s">
        <v>362</v>
      </c>
      <c r="F178" s="45" t="s">
        <v>394</v>
      </c>
      <c r="G178" s="45" t="s">
        <v>1152</v>
      </c>
      <c r="H178" s="45" t="s">
        <v>362</v>
      </c>
      <c r="I178" s="45" t="s">
        <v>1153</v>
      </c>
      <c r="J178" s="45">
        <v>53783834</v>
      </c>
      <c r="K178" s="45" t="s">
        <v>83</v>
      </c>
      <c r="L178" s="48">
        <v>208.34</v>
      </c>
      <c r="M178" s="49">
        <v>20241016741</v>
      </c>
      <c r="N178" s="50" t="s">
        <v>28</v>
      </c>
      <c r="O178" s="50"/>
      <c r="P178" s="50"/>
      <c r="Q178" s="51"/>
      <c r="R178" s="50"/>
      <c r="S178" s="50"/>
      <c r="T178" s="51"/>
      <c r="U178" s="50"/>
    </row>
    <row r="179" spans="1:21" x14ac:dyDescent="0.25">
      <c r="A179" s="45" t="s">
        <v>849</v>
      </c>
      <c r="B179" s="46">
        <v>45632</v>
      </c>
      <c r="C179" s="45" t="s">
        <v>21</v>
      </c>
      <c r="D179" s="47"/>
      <c r="E179" s="45" t="s">
        <v>362</v>
      </c>
      <c r="F179" s="45" t="s">
        <v>394</v>
      </c>
      <c r="G179" s="45" t="s">
        <v>274</v>
      </c>
      <c r="H179" s="45" t="s">
        <v>1055</v>
      </c>
      <c r="I179" s="45" t="s">
        <v>1154</v>
      </c>
      <c r="J179" s="45">
        <v>83866049</v>
      </c>
      <c r="K179" s="45" t="s">
        <v>76</v>
      </c>
      <c r="L179" s="48">
        <v>2346.38</v>
      </c>
      <c r="M179" s="49">
        <v>20241014740</v>
      </c>
      <c r="N179" s="50" t="s">
        <v>28</v>
      </c>
      <c r="O179" s="50"/>
      <c r="P179" s="50"/>
      <c r="Q179" s="51"/>
      <c r="R179" s="50"/>
      <c r="S179" s="50"/>
      <c r="T179" s="51"/>
      <c r="U179" s="50"/>
    </row>
    <row r="180" spans="1:21" x14ac:dyDescent="0.25">
      <c r="A180" s="45" t="s">
        <v>849</v>
      </c>
      <c r="B180" s="46">
        <v>45632</v>
      </c>
      <c r="C180" s="45" t="s">
        <v>21</v>
      </c>
      <c r="D180" s="47"/>
      <c r="E180" s="45" t="s">
        <v>362</v>
      </c>
      <c r="F180" s="45" t="s">
        <v>394</v>
      </c>
      <c r="G180" s="45" t="s">
        <v>274</v>
      </c>
      <c r="H180" s="45" t="s">
        <v>1055</v>
      </c>
      <c r="I180" s="45" t="s">
        <v>1154</v>
      </c>
      <c r="J180" s="45">
        <v>83866049</v>
      </c>
      <c r="K180" s="45" t="s">
        <v>76</v>
      </c>
      <c r="L180" s="48">
        <v>2346.38</v>
      </c>
      <c r="M180" s="49">
        <v>20241014740</v>
      </c>
      <c r="N180" s="50" t="s">
        <v>28</v>
      </c>
      <c r="O180" s="50"/>
      <c r="P180" s="50"/>
      <c r="Q180" s="51"/>
      <c r="R180" s="50"/>
      <c r="S180" s="50"/>
      <c r="T180" s="51"/>
      <c r="U180" s="50"/>
    </row>
    <row r="181" spans="1:21" x14ac:dyDescent="0.25">
      <c r="A181" s="45" t="s">
        <v>233</v>
      </c>
      <c r="B181" s="46">
        <v>45632</v>
      </c>
      <c r="C181" s="45" t="s">
        <v>21</v>
      </c>
      <c r="D181" s="47"/>
      <c r="E181" s="45" t="s">
        <v>362</v>
      </c>
      <c r="F181" s="45" t="s">
        <v>394</v>
      </c>
      <c r="G181" s="45" t="s">
        <v>247</v>
      </c>
      <c r="H181" s="45" t="s">
        <v>1155</v>
      </c>
      <c r="I181" s="45" t="s">
        <v>1156</v>
      </c>
      <c r="J181" s="45">
        <v>120705760</v>
      </c>
      <c r="K181" s="45" t="s">
        <v>1157</v>
      </c>
      <c r="L181" s="48">
        <v>905.78</v>
      </c>
      <c r="M181" s="49">
        <v>20241015442</v>
      </c>
      <c r="N181" s="50" t="s">
        <v>28</v>
      </c>
      <c r="O181" s="50"/>
      <c r="P181" s="50"/>
      <c r="Q181" s="51"/>
      <c r="R181" s="50"/>
      <c r="S181" s="50"/>
      <c r="T181" s="51"/>
      <c r="U181" s="50"/>
    </row>
    <row r="182" spans="1:21" x14ac:dyDescent="0.25">
      <c r="A182" s="45" t="s">
        <v>29</v>
      </c>
      <c r="B182" s="46">
        <v>45602</v>
      </c>
      <c r="C182" s="45" t="s">
        <v>168</v>
      </c>
      <c r="D182" s="47"/>
      <c r="E182" s="45" t="s">
        <v>362</v>
      </c>
      <c r="F182" s="45" t="s">
        <v>394</v>
      </c>
      <c r="G182" s="45" t="s">
        <v>1158</v>
      </c>
      <c r="H182" s="45" t="s">
        <v>1159</v>
      </c>
      <c r="I182" s="45" t="s">
        <v>1160</v>
      </c>
      <c r="J182" s="45">
        <v>144848764</v>
      </c>
      <c r="K182" s="45" t="s">
        <v>1071</v>
      </c>
      <c r="L182" s="48">
        <v>1</v>
      </c>
      <c r="M182" s="49">
        <v>20241018537</v>
      </c>
      <c r="N182" s="50" t="s">
        <v>28</v>
      </c>
      <c r="O182" s="50"/>
      <c r="P182" s="50"/>
      <c r="Q182" s="51"/>
      <c r="R182" s="50"/>
      <c r="S182" s="50"/>
      <c r="T182" s="51"/>
      <c r="U182" s="50"/>
    </row>
    <row r="183" spans="1:21" x14ac:dyDescent="0.25">
      <c r="A183" s="45" t="s">
        <v>849</v>
      </c>
      <c r="B183" s="46">
        <v>45632</v>
      </c>
      <c r="C183" s="45" t="s">
        <v>21</v>
      </c>
      <c r="D183" s="47"/>
      <c r="E183" s="45" t="s">
        <v>362</v>
      </c>
      <c r="F183" s="45" t="s">
        <v>394</v>
      </c>
      <c r="G183" s="45" t="s">
        <v>274</v>
      </c>
      <c r="H183" s="45" t="s">
        <v>1161</v>
      </c>
      <c r="I183" s="45" t="s">
        <v>1162</v>
      </c>
      <c r="J183" s="45">
        <v>174583501</v>
      </c>
      <c r="K183" s="45" t="s">
        <v>1163</v>
      </c>
      <c r="L183" s="48">
        <v>119</v>
      </c>
      <c r="M183" s="49">
        <v>20241014772</v>
      </c>
      <c r="N183" s="50" t="s">
        <v>28</v>
      </c>
      <c r="O183" s="50"/>
      <c r="P183" s="50"/>
      <c r="Q183" s="51"/>
      <c r="R183" s="50"/>
      <c r="S183" s="50"/>
      <c r="T183" s="51"/>
      <c r="U183" s="50"/>
    </row>
    <row r="184" spans="1:21" x14ac:dyDescent="0.25">
      <c r="A184" s="45" t="s">
        <v>849</v>
      </c>
      <c r="B184" s="46">
        <v>45632</v>
      </c>
      <c r="C184" s="45" t="s">
        <v>21</v>
      </c>
      <c r="D184" s="47"/>
      <c r="E184" s="45" t="s">
        <v>362</v>
      </c>
      <c r="F184" s="45" t="s">
        <v>394</v>
      </c>
      <c r="G184" s="45" t="s">
        <v>274</v>
      </c>
      <c r="H184" s="45" t="s">
        <v>1161</v>
      </c>
      <c r="I184" s="45" t="s">
        <v>1162</v>
      </c>
      <c r="J184" s="45">
        <v>174583501</v>
      </c>
      <c r="K184" s="45" t="s">
        <v>366</v>
      </c>
      <c r="L184" s="48">
        <v>119</v>
      </c>
      <c r="M184" s="49">
        <v>20241014773</v>
      </c>
      <c r="N184" s="50" t="s">
        <v>28</v>
      </c>
      <c r="O184" s="50"/>
      <c r="P184" s="50"/>
      <c r="Q184" s="51"/>
      <c r="R184" s="50"/>
      <c r="S184" s="50"/>
      <c r="T184" s="51"/>
      <c r="U184" s="50"/>
    </row>
    <row r="185" spans="1:21" x14ac:dyDescent="0.25">
      <c r="A185" s="45" t="s">
        <v>849</v>
      </c>
      <c r="B185" s="46">
        <v>45632</v>
      </c>
      <c r="C185" s="45" t="s">
        <v>21</v>
      </c>
      <c r="D185" s="47"/>
      <c r="E185" s="45" t="s">
        <v>362</v>
      </c>
      <c r="F185" s="45" t="s">
        <v>394</v>
      </c>
      <c r="G185" s="45" t="s">
        <v>274</v>
      </c>
      <c r="H185" s="45" t="s">
        <v>1161</v>
      </c>
      <c r="I185" s="45" t="s">
        <v>1162</v>
      </c>
      <c r="J185" s="45">
        <v>174583501</v>
      </c>
      <c r="K185" s="45" t="s">
        <v>33</v>
      </c>
      <c r="L185" s="48">
        <v>79</v>
      </c>
      <c r="M185" s="49">
        <v>20241014774</v>
      </c>
      <c r="N185" s="50" t="s">
        <v>28</v>
      </c>
      <c r="O185" s="50"/>
      <c r="P185" s="50"/>
      <c r="Q185" s="51"/>
      <c r="R185" s="50"/>
      <c r="S185" s="50"/>
      <c r="T185" s="51"/>
      <c r="U185" s="50"/>
    </row>
    <row r="186" spans="1:21" x14ac:dyDescent="0.25">
      <c r="A186" s="45" t="s">
        <v>20</v>
      </c>
      <c r="B186" s="46">
        <v>45602</v>
      </c>
      <c r="C186" s="45" t="s">
        <v>168</v>
      </c>
      <c r="D186" s="47"/>
      <c r="E186" s="45" t="s">
        <v>659</v>
      </c>
      <c r="F186" s="45" t="s">
        <v>660</v>
      </c>
      <c r="G186" s="45" t="s">
        <v>368</v>
      </c>
      <c r="H186" s="45" t="s">
        <v>64</v>
      </c>
      <c r="I186" s="45" t="s">
        <v>217</v>
      </c>
      <c r="J186" s="45">
        <v>461612251</v>
      </c>
      <c r="K186" s="45" t="s">
        <v>840</v>
      </c>
      <c r="L186" s="48">
        <v>19.96</v>
      </c>
      <c r="M186" s="49">
        <v>20241015750</v>
      </c>
      <c r="N186" s="50" t="s">
        <v>28</v>
      </c>
      <c r="O186" s="50"/>
      <c r="P186" s="50"/>
      <c r="Q186" s="51"/>
      <c r="R186" s="50"/>
      <c r="S186" s="50"/>
      <c r="T186" s="51"/>
      <c r="U186" s="50"/>
    </row>
    <row r="187" spans="1:21" x14ac:dyDescent="0.25">
      <c r="A187" s="45" t="s">
        <v>20</v>
      </c>
      <c r="B187" s="46">
        <v>45602</v>
      </c>
      <c r="C187" s="45" t="s">
        <v>168</v>
      </c>
      <c r="D187" s="47"/>
      <c r="E187" s="45" t="s">
        <v>411</v>
      </c>
      <c r="F187" s="45" t="s">
        <v>412</v>
      </c>
      <c r="G187" s="45" t="s">
        <v>413</v>
      </c>
      <c r="H187" s="45" t="s">
        <v>1164</v>
      </c>
      <c r="I187" s="45" t="s">
        <v>360</v>
      </c>
      <c r="J187" s="45">
        <v>457816419</v>
      </c>
      <c r="K187" s="45" t="s">
        <v>859</v>
      </c>
      <c r="L187" s="48">
        <v>30</v>
      </c>
      <c r="M187" s="49">
        <v>20240918372</v>
      </c>
      <c r="N187" s="50" t="s">
        <v>28</v>
      </c>
      <c r="O187" s="50"/>
      <c r="P187" s="50"/>
      <c r="Q187" s="51"/>
      <c r="R187" s="50"/>
      <c r="S187" s="50"/>
      <c r="T187" s="51"/>
      <c r="U187" s="50"/>
    </row>
    <row r="188" spans="1:21" x14ac:dyDescent="0.25">
      <c r="A188" s="45" t="s">
        <v>20</v>
      </c>
      <c r="B188" s="46">
        <v>45602</v>
      </c>
      <c r="C188" s="45" t="s">
        <v>168</v>
      </c>
      <c r="D188" s="47"/>
      <c r="E188" s="45" t="s">
        <v>417</v>
      </c>
      <c r="F188" s="45" t="s">
        <v>418</v>
      </c>
      <c r="G188" s="45" t="s">
        <v>1165</v>
      </c>
      <c r="H188" s="45" t="s">
        <v>1166</v>
      </c>
      <c r="I188" s="45" t="s">
        <v>1167</v>
      </c>
      <c r="J188" s="45">
        <v>615781524</v>
      </c>
      <c r="K188" s="45" t="s">
        <v>783</v>
      </c>
      <c r="L188" s="48">
        <v>49.99</v>
      </c>
      <c r="M188" s="49">
        <v>20240912428</v>
      </c>
      <c r="N188" s="50" t="s">
        <v>28</v>
      </c>
      <c r="O188" s="50"/>
      <c r="P188" s="50"/>
      <c r="Q188" s="51"/>
      <c r="R188" s="50"/>
      <c r="S188" s="50"/>
      <c r="T188" s="51"/>
      <c r="U188" s="50"/>
    </row>
    <row r="189" spans="1:21" x14ac:dyDescent="0.25">
      <c r="A189" s="45" t="s">
        <v>29</v>
      </c>
      <c r="B189" s="46">
        <v>45602</v>
      </c>
      <c r="C189" s="45" t="s">
        <v>168</v>
      </c>
      <c r="D189" s="47"/>
      <c r="E189" s="45" t="s">
        <v>696</v>
      </c>
      <c r="F189" s="45" t="s">
        <v>697</v>
      </c>
      <c r="G189" s="45" t="s">
        <v>1168</v>
      </c>
      <c r="H189" s="45" t="s">
        <v>1169</v>
      </c>
      <c r="I189" s="45" t="s">
        <v>1170</v>
      </c>
      <c r="J189" s="45">
        <v>644107351</v>
      </c>
      <c r="K189" s="45" t="s">
        <v>184</v>
      </c>
      <c r="L189" s="48">
        <v>803.08</v>
      </c>
      <c r="M189" s="49">
        <v>20241016156</v>
      </c>
      <c r="N189" s="50" t="s">
        <v>28</v>
      </c>
      <c r="O189" s="50"/>
      <c r="P189" s="50"/>
      <c r="Q189" s="51"/>
      <c r="R189" s="50"/>
      <c r="S189" s="50"/>
      <c r="T189" s="51"/>
      <c r="U189" s="50"/>
    </row>
    <row r="190" spans="1:21" x14ac:dyDescent="0.25">
      <c r="A190" s="45" t="s">
        <v>29</v>
      </c>
      <c r="B190" s="46">
        <v>45602</v>
      </c>
      <c r="C190" s="45" t="s">
        <v>168</v>
      </c>
      <c r="D190" s="47"/>
      <c r="E190" s="45" t="s">
        <v>556</v>
      </c>
      <c r="F190" s="45" t="s">
        <v>720</v>
      </c>
      <c r="G190" s="45" t="s">
        <v>1168</v>
      </c>
      <c r="H190" s="45" t="s">
        <v>1169</v>
      </c>
      <c r="I190" s="45" t="s">
        <v>1170</v>
      </c>
      <c r="J190" s="45">
        <v>644107351</v>
      </c>
      <c r="K190" s="45" t="s">
        <v>184</v>
      </c>
      <c r="L190" s="48">
        <v>803.08</v>
      </c>
      <c r="M190" s="49">
        <v>20241016156</v>
      </c>
      <c r="N190" s="50" t="s">
        <v>28</v>
      </c>
      <c r="O190" s="50"/>
      <c r="P190" s="50"/>
      <c r="Q190" s="51"/>
      <c r="R190" s="50"/>
      <c r="S190" s="50"/>
      <c r="T190" s="51"/>
      <c r="U190" s="50"/>
    </row>
    <row r="191" spans="1:21" ht="25.5" x14ac:dyDescent="0.25">
      <c r="A191" s="45" t="s">
        <v>20</v>
      </c>
      <c r="B191" s="46">
        <v>45602</v>
      </c>
      <c r="C191" s="45" t="s">
        <v>168</v>
      </c>
      <c r="D191" s="47"/>
      <c r="E191" s="45" t="s">
        <v>425</v>
      </c>
      <c r="F191" s="45" t="s">
        <v>426</v>
      </c>
      <c r="G191" s="45" t="s">
        <v>1171</v>
      </c>
      <c r="H191" s="45" t="s">
        <v>1172</v>
      </c>
      <c r="I191" s="45" t="s">
        <v>1173</v>
      </c>
      <c r="J191" s="45">
        <v>613704157</v>
      </c>
      <c r="K191" s="45" t="s">
        <v>101</v>
      </c>
      <c r="L191" s="48">
        <v>12.55</v>
      </c>
      <c r="M191" s="49">
        <v>20241014463</v>
      </c>
      <c r="N191" s="50" t="s">
        <v>28</v>
      </c>
      <c r="O191" s="50"/>
      <c r="P191" s="50"/>
      <c r="Q191" s="51"/>
      <c r="R191" s="50"/>
      <c r="S191" s="50"/>
      <c r="T191" s="51"/>
      <c r="U191" s="50"/>
    </row>
    <row r="192" spans="1:21" ht="25.5" x14ac:dyDescent="0.25">
      <c r="A192" s="45" t="s">
        <v>20</v>
      </c>
      <c r="B192" s="46">
        <v>45602</v>
      </c>
      <c r="C192" s="45" t="s">
        <v>168</v>
      </c>
      <c r="D192" s="47"/>
      <c r="E192" s="45" t="s">
        <v>425</v>
      </c>
      <c r="F192" s="45" t="s">
        <v>426</v>
      </c>
      <c r="G192" s="45" t="s">
        <v>1171</v>
      </c>
      <c r="H192" s="45" t="s">
        <v>1172</v>
      </c>
      <c r="I192" s="45" t="s">
        <v>1173</v>
      </c>
      <c r="J192" s="45">
        <v>613704157</v>
      </c>
      <c r="K192" s="45" t="s">
        <v>101</v>
      </c>
      <c r="L192" s="48">
        <v>28.98</v>
      </c>
      <c r="M192" s="49">
        <v>20241014464</v>
      </c>
      <c r="N192" s="50" t="s">
        <v>28</v>
      </c>
      <c r="O192" s="50"/>
      <c r="P192" s="50"/>
      <c r="Q192" s="51"/>
      <c r="R192" s="50"/>
      <c r="S192" s="50"/>
      <c r="T192" s="51"/>
      <c r="U192" s="50"/>
    </row>
    <row r="193" spans="1:21" ht="25.5" x14ac:dyDescent="0.25">
      <c r="A193" s="45" t="s">
        <v>20</v>
      </c>
      <c r="B193" s="46">
        <v>45602</v>
      </c>
      <c r="C193" s="45" t="s">
        <v>168</v>
      </c>
      <c r="D193" s="47"/>
      <c r="E193" s="45" t="s">
        <v>425</v>
      </c>
      <c r="F193" s="45" t="s">
        <v>426</v>
      </c>
      <c r="G193" s="45" t="s">
        <v>1171</v>
      </c>
      <c r="H193" s="45" t="s">
        <v>1172</v>
      </c>
      <c r="I193" s="45" t="s">
        <v>1173</v>
      </c>
      <c r="J193" s="45">
        <v>613704157</v>
      </c>
      <c r="K193" s="45" t="s">
        <v>271</v>
      </c>
      <c r="L193" s="48">
        <v>11.28</v>
      </c>
      <c r="M193" s="49">
        <v>20241014465</v>
      </c>
      <c r="N193" s="50" t="s">
        <v>28</v>
      </c>
      <c r="O193" s="50"/>
      <c r="P193" s="50"/>
      <c r="Q193" s="51"/>
      <c r="R193" s="50"/>
      <c r="S193" s="50"/>
      <c r="T193" s="51"/>
      <c r="U193" s="50"/>
    </row>
    <row r="194" spans="1:21" ht="25.5" x14ac:dyDescent="0.25">
      <c r="A194" s="45" t="s">
        <v>20</v>
      </c>
      <c r="B194" s="46">
        <v>45602</v>
      </c>
      <c r="C194" s="45" t="s">
        <v>168</v>
      </c>
      <c r="D194" s="47"/>
      <c r="E194" s="45" t="s">
        <v>425</v>
      </c>
      <c r="F194" s="45" t="s">
        <v>426</v>
      </c>
      <c r="G194" s="45" t="s">
        <v>1171</v>
      </c>
      <c r="H194" s="45" t="s">
        <v>1172</v>
      </c>
      <c r="I194" s="45" t="s">
        <v>1173</v>
      </c>
      <c r="J194" s="45">
        <v>613704157</v>
      </c>
      <c r="K194" s="45" t="s">
        <v>272</v>
      </c>
      <c r="L194" s="48">
        <v>6.95</v>
      </c>
      <c r="M194" s="49">
        <v>20241014466</v>
      </c>
      <c r="N194" s="50" t="s">
        <v>28</v>
      </c>
      <c r="O194" s="50"/>
      <c r="P194" s="50"/>
      <c r="Q194" s="51"/>
      <c r="R194" s="50"/>
      <c r="S194" s="50"/>
      <c r="T194" s="51"/>
      <c r="U194" s="50"/>
    </row>
    <row r="195" spans="1:21" ht="25.5" x14ac:dyDescent="0.25">
      <c r="A195" s="45" t="s">
        <v>20</v>
      </c>
      <c r="B195" s="46">
        <v>45602</v>
      </c>
      <c r="C195" s="45" t="s">
        <v>168</v>
      </c>
      <c r="D195" s="47"/>
      <c r="E195" s="45" t="s">
        <v>425</v>
      </c>
      <c r="F195" s="45" t="s">
        <v>426</v>
      </c>
      <c r="G195" s="45" t="s">
        <v>1171</v>
      </c>
      <c r="H195" s="45" t="s">
        <v>1172</v>
      </c>
      <c r="I195" s="45" t="s">
        <v>1173</v>
      </c>
      <c r="J195" s="45">
        <v>613704157</v>
      </c>
      <c r="K195" s="45" t="s">
        <v>93</v>
      </c>
      <c r="L195" s="48">
        <v>3.77</v>
      </c>
      <c r="M195" s="49">
        <v>20241014467</v>
      </c>
      <c r="N195" s="50" t="s">
        <v>28</v>
      </c>
      <c r="O195" s="50"/>
      <c r="P195" s="50"/>
      <c r="Q195" s="51"/>
      <c r="R195" s="50"/>
      <c r="S195" s="50"/>
      <c r="T195" s="51"/>
      <c r="U195" s="50"/>
    </row>
    <row r="196" spans="1:21" ht="25.5" x14ac:dyDescent="0.25">
      <c r="A196" s="45" t="s">
        <v>20</v>
      </c>
      <c r="B196" s="46">
        <v>45602</v>
      </c>
      <c r="C196" s="45" t="s">
        <v>168</v>
      </c>
      <c r="D196" s="47"/>
      <c r="E196" s="45" t="s">
        <v>425</v>
      </c>
      <c r="F196" s="45" t="s">
        <v>426</v>
      </c>
      <c r="G196" s="45" t="s">
        <v>1171</v>
      </c>
      <c r="H196" s="45" t="s">
        <v>1172</v>
      </c>
      <c r="I196" s="45" t="s">
        <v>1173</v>
      </c>
      <c r="J196" s="45">
        <v>613704157</v>
      </c>
      <c r="K196" s="45" t="s">
        <v>147</v>
      </c>
      <c r="L196" s="48">
        <v>6.95</v>
      </c>
      <c r="M196" s="49">
        <v>20241014468</v>
      </c>
      <c r="N196" s="50" t="s">
        <v>28</v>
      </c>
      <c r="O196" s="50"/>
      <c r="P196" s="50"/>
      <c r="Q196" s="51"/>
      <c r="R196" s="50"/>
      <c r="S196" s="50"/>
      <c r="T196" s="51"/>
      <c r="U196" s="50"/>
    </row>
    <row r="197" spans="1:21" ht="25.5" x14ac:dyDescent="0.25">
      <c r="A197" s="45" t="s">
        <v>20</v>
      </c>
      <c r="B197" s="45">
        <v>11062024</v>
      </c>
      <c r="C197" s="45" t="s">
        <v>168</v>
      </c>
      <c r="D197" s="47"/>
      <c r="E197" s="45" t="s">
        <v>425</v>
      </c>
      <c r="F197" s="45" t="s">
        <v>426</v>
      </c>
      <c r="G197" s="45" t="s">
        <v>1171</v>
      </c>
      <c r="H197" s="45" t="s">
        <v>1172</v>
      </c>
      <c r="I197" s="45" t="s">
        <v>1173</v>
      </c>
      <c r="J197" s="45">
        <v>613704157</v>
      </c>
      <c r="K197" s="45" t="s">
        <v>289</v>
      </c>
      <c r="L197" s="48">
        <v>5.17</v>
      </c>
      <c r="M197" s="28">
        <v>20241014169</v>
      </c>
      <c r="N197" s="50" t="s">
        <v>28</v>
      </c>
      <c r="O197" s="50"/>
      <c r="P197" s="50"/>
      <c r="Q197" s="51"/>
      <c r="R197" s="50"/>
      <c r="S197" s="50"/>
      <c r="T197" s="51"/>
      <c r="U197" s="50"/>
    </row>
    <row r="198" spans="1:21" ht="25.5" x14ac:dyDescent="0.25">
      <c r="A198" s="45" t="s">
        <v>20</v>
      </c>
      <c r="B198" s="45">
        <v>11062024</v>
      </c>
      <c r="C198" s="45" t="s">
        <v>168</v>
      </c>
      <c r="D198" s="47"/>
      <c r="E198" s="45" t="s">
        <v>425</v>
      </c>
      <c r="F198" s="45" t="s">
        <v>426</v>
      </c>
      <c r="G198" s="45" t="s">
        <v>1171</v>
      </c>
      <c r="H198" s="45" t="s">
        <v>1172</v>
      </c>
      <c r="I198" s="45" t="s">
        <v>1173</v>
      </c>
      <c r="J198" s="45">
        <v>613704157</v>
      </c>
      <c r="K198" s="45" t="s">
        <v>1174</v>
      </c>
      <c r="L198" s="48">
        <v>28.41</v>
      </c>
      <c r="M198">
        <v>20211014470</v>
      </c>
      <c r="N198" s="50" t="s">
        <v>28</v>
      </c>
      <c r="O198" s="50"/>
      <c r="P198" s="50"/>
      <c r="Q198" s="51"/>
      <c r="R198" s="50"/>
      <c r="S198" s="50"/>
      <c r="T198" s="51"/>
      <c r="U198" s="50"/>
    </row>
    <row r="199" spans="1:21" ht="25.5" x14ac:dyDescent="0.25">
      <c r="A199" s="45" t="s">
        <v>20</v>
      </c>
      <c r="B199" s="45">
        <v>11062024</v>
      </c>
      <c r="C199" s="45" t="s">
        <v>168</v>
      </c>
      <c r="D199" s="47"/>
      <c r="E199" s="45" t="s">
        <v>425</v>
      </c>
      <c r="F199" s="45" t="s">
        <v>426</v>
      </c>
      <c r="G199" s="45" t="s">
        <v>1171</v>
      </c>
      <c r="H199" s="45" t="s">
        <v>1172</v>
      </c>
      <c r="I199" s="45" t="s">
        <v>1173</v>
      </c>
      <c r="J199" s="45">
        <v>613704157</v>
      </c>
      <c r="K199" s="45" t="s">
        <v>104</v>
      </c>
      <c r="L199" s="48">
        <v>25</v>
      </c>
      <c r="M199" s="49">
        <v>20241014471</v>
      </c>
      <c r="N199" s="50" t="s">
        <v>28</v>
      </c>
      <c r="O199" s="50"/>
      <c r="P199" s="50"/>
      <c r="Q199" s="51"/>
      <c r="R199" s="50"/>
      <c r="S199" s="50"/>
      <c r="T199" s="51"/>
      <c r="U199" s="50"/>
    </row>
  </sheetData>
  <sortState xmlns:xlrd2="http://schemas.microsoft.com/office/spreadsheetml/2017/richdata2" ref="A2:U199">
    <sortCondition ref="J2:J199"/>
  </sortState>
  <conditionalFormatting sqref="O144 N1:N1048576">
    <cfRule type="cellIs" priority="13" stopIfTrue="1" operator="equal">
      <formula>""</formula>
    </cfRule>
    <cfRule type="cellIs" priority="14" stopIfTrue="1" operator="equal">
      <formula>"Correct = C"</formula>
    </cfRule>
    <cfRule type="cellIs" dxfId="196" priority="15" operator="notEqual">
      <formula>"C"</formula>
    </cfRule>
  </conditionalFormatting>
  <conditionalFormatting sqref="O1:O143 O145:O1048576">
    <cfRule type="cellIs" priority="10" stopIfTrue="1" operator="equal">
      <formula>""</formula>
    </cfRule>
    <cfRule type="cellIs" priority="11" stopIfTrue="1" operator="equal">
      <formula>"Major = M"</formula>
    </cfRule>
    <cfRule type="cellIs" dxfId="195" priority="12" operator="notEqual">
      <formula>"M"</formula>
    </cfRule>
  </conditionalFormatting>
  <conditionalFormatting sqref="P1:P1048576">
    <cfRule type="cellIs" priority="7" stopIfTrue="1" operator="equal">
      <formula>""</formula>
    </cfRule>
    <cfRule type="cellIs" priority="8" stopIfTrue="1" operator="equal">
      <formula>"Minor = E"</formula>
    </cfRule>
    <cfRule type="cellIs" dxfId="194" priority="9" operator="notEqual">
      <formula>"E"</formula>
    </cfRule>
  </conditionalFormatting>
  <conditionalFormatting sqref="R1:R1048576">
    <cfRule type="cellIs" priority="4" stopIfTrue="1" operator="equal">
      <formula>""</formula>
    </cfRule>
    <cfRule type="cellIs" priority="5" stopIfTrue="1" operator="equal">
      <formula>"Inserted Major = M"</formula>
    </cfRule>
    <cfRule type="cellIs" dxfId="193" priority="6" operator="notEqual">
      <formula>"M"</formula>
    </cfRule>
  </conditionalFormatting>
  <conditionalFormatting sqref="S1:S1048576">
    <cfRule type="cellIs" priority="1" stopIfTrue="1" operator="equal">
      <formula>""</formula>
    </cfRule>
    <cfRule type="cellIs" priority="2" stopIfTrue="1" operator="equal">
      <formula>"Inserted Minor = E"</formula>
    </cfRule>
    <cfRule type="cellIs" dxfId="192" priority="3" operator="notEqual">
      <formula>"E"</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CF09D-754A-421B-A7A3-47F6C573A05F}">
  <sheetPr codeName="Sheet13"/>
  <dimension ref="B2:AA48"/>
  <sheetViews>
    <sheetView workbookViewId="0"/>
  </sheetViews>
  <sheetFormatPr defaultRowHeight="15" x14ac:dyDescent="0.25"/>
  <cols>
    <col min="1" max="1" width="2.7109375" customWidth="1"/>
    <col min="2" max="2" width="28.140625" style="1" bestFit="1" customWidth="1"/>
    <col min="3" max="3" width="19.140625" style="1" hidden="1" customWidth="1"/>
    <col min="4" max="4" width="21.7109375" style="1" hidden="1" customWidth="1"/>
    <col min="5" max="5" width="11" style="1" hidden="1" customWidth="1"/>
    <col min="6" max="6" width="9.5703125" style="1" hidden="1" customWidth="1"/>
    <col min="7" max="7" width="16.140625" style="1" hidden="1" customWidth="1"/>
    <col min="8" max="8" width="17.140625" style="1" customWidth="1"/>
    <col min="9" max="9" width="33.85546875" style="1" hidden="1" customWidth="1"/>
    <col min="10" max="10" width="16.140625" style="1" customWidth="1"/>
    <col min="11" max="11" width="20.85546875" style="1" hidden="1" customWidth="1"/>
    <col min="12" max="12" width="19.85546875" style="1" hidden="1" customWidth="1"/>
    <col min="13" max="13" width="9.140625" style="1"/>
    <col min="14" max="16" width="0" style="1" hidden="1" customWidth="1"/>
    <col min="17" max="17" width="9.140625" style="1"/>
    <col min="18" max="19" width="9.140625" style="27"/>
    <col min="20" max="20" width="9.140625" style="1"/>
    <col min="21" max="22" width="9.140625" style="2"/>
    <col min="23" max="23" width="9.140625" style="1"/>
    <col min="24" max="24" width="18.85546875" style="1" bestFit="1" customWidth="1"/>
    <col min="25" max="27" width="9.140625" style="1"/>
  </cols>
  <sheetData>
    <row r="2" spans="2:24" s="1" customFormat="1" ht="52.5" x14ac:dyDescent="0.25">
      <c r="B2" s="22" t="s">
        <v>437</v>
      </c>
      <c r="C2" s="22" t="s">
        <v>438</v>
      </c>
      <c r="D2" s="22" t="s">
        <v>439</v>
      </c>
      <c r="E2" s="23" t="s">
        <v>440</v>
      </c>
      <c r="F2" s="23" t="s">
        <v>441</v>
      </c>
      <c r="G2" s="23" t="s">
        <v>442</v>
      </c>
      <c r="H2" s="23" t="s">
        <v>443</v>
      </c>
      <c r="I2" s="23" t="s">
        <v>444</v>
      </c>
      <c r="J2" s="23" t="s">
        <v>445</v>
      </c>
      <c r="K2" s="23" t="s">
        <v>446</v>
      </c>
      <c r="L2" s="23" t="s">
        <v>447</v>
      </c>
      <c r="M2" s="24" t="s">
        <v>448</v>
      </c>
      <c r="N2" s="24"/>
      <c r="O2" s="24"/>
      <c r="P2" s="24" t="s">
        <v>449</v>
      </c>
      <c r="Q2" s="24" t="s">
        <v>450</v>
      </c>
      <c r="R2" s="25" t="s">
        <v>451</v>
      </c>
      <c r="S2" s="25" t="s">
        <v>452</v>
      </c>
      <c r="T2" s="24" t="s">
        <v>453</v>
      </c>
      <c r="U2" s="26" t="s">
        <v>454</v>
      </c>
      <c r="V2" s="2"/>
    </row>
    <row r="3" spans="2:24" s="1" customFormat="1" ht="15" customHeight="1" x14ac:dyDescent="0.25">
      <c r="B3" s="1" t="s">
        <v>455</v>
      </c>
      <c r="C3" s="1" t="s">
        <v>456</v>
      </c>
      <c r="D3" s="1" t="s">
        <v>297</v>
      </c>
      <c r="E3" t="s">
        <v>457</v>
      </c>
      <c r="F3" t="s">
        <v>458</v>
      </c>
      <c r="G3" t="s">
        <v>459</v>
      </c>
      <c r="H3" t="s">
        <v>460</v>
      </c>
      <c r="I3" t="s">
        <v>461</v>
      </c>
      <c r="J3" t="s">
        <v>462</v>
      </c>
      <c r="K3"/>
      <c r="L3" t="s">
        <v>463</v>
      </c>
      <c r="M3">
        <v>0</v>
      </c>
      <c r="N3" t="s">
        <v>464</v>
      </c>
      <c r="O3"/>
      <c r="P3"/>
      <c r="Q3" s="7">
        <v>50</v>
      </c>
      <c r="R3" s="27">
        <f t="shared" ref="R3:R47" si="0">IF(Q3-SUM(S3:T3)=0,"",Q3-SUM(S3:T3))</f>
        <v>50</v>
      </c>
      <c r="S3" s="27" t="str">
        <f>IF(SUM(COUNTIFS('10_14_10_20'!E:E,'10_14_10_20 Acc Rate'!C3,'10_14_10_20'!O:O,"*M*"),COUNTIFS('10_14_10_20'!E:E,'10_14_10_20 Acc Rate'!C3,'10_14_10_20'!R:R,"*M*"))=0,"",SUM(COUNTIFS('10_14_10_20'!E:E,'10_14_10_20 Acc Rate'!C3,'10_14_10_20'!O:O,"*M*"),COUNTIFS('10_14_10_20'!E:E,'10_14_10_20 Acc Rate'!C3,'10_14_10_20'!R:R,"*M*")))</f>
        <v/>
      </c>
      <c r="T3" s="1" t="str">
        <f>IF(SUM(COUNTIFS('10_14_10_20'!E:E,'10_14_10_20 Acc Rate'!C3,'10_14_10_20'!P:P,"*E*"),COUNTIFS('10_14_10_20'!E:E,'10_14_10_20 Acc Rate'!C3,'10_14_10_20'!S:S,"*E*"))=0,"",SUM(COUNTIFS('10_14_10_20'!E:E,'10_14_10_20 Acc Rate'!C3,'10_14_10_20'!P:P,"*E*"),COUNTIFS('10_14_10_20'!E:E,'10_14_10_20 Acc Rate'!C3,'10_14_10_20'!S:S,"*E*")))</f>
        <v/>
      </c>
      <c r="U3" s="8">
        <f>IF(ISERROR(SUM(_xlfn.NUMBERVALUE(S3)*8+_xlfn.NUMBERVALUE(T3)*2)/Q3),"",SUM(_xlfn.NUMBERVALUE(S3)*8+_xlfn.NUMBERVALUE(T3)*2)/Q3)</f>
        <v>0</v>
      </c>
      <c r="V3" s="2"/>
      <c r="W3" s="83" t="s">
        <v>465</v>
      </c>
      <c r="X3" s="83"/>
    </row>
    <row r="4" spans="2:24" s="1" customFormat="1" ht="15" customHeight="1" x14ac:dyDescent="0.25">
      <c r="B4" s="1" t="s">
        <v>466</v>
      </c>
      <c r="C4" s="1" t="s">
        <v>353</v>
      </c>
      <c r="D4" s="1" t="s">
        <v>354</v>
      </c>
      <c r="E4" t="s">
        <v>467</v>
      </c>
      <c r="F4" t="s">
        <v>294</v>
      </c>
      <c r="G4" t="s">
        <v>468</v>
      </c>
      <c r="H4" t="s">
        <v>460</v>
      </c>
      <c r="I4" t="s">
        <v>469</v>
      </c>
      <c r="J4" t="s">
        <v>470</v>
      </c>
      <c r="K4"/>
      <c r="L4" t="s">
        <v>471</v>
      </c>
      <c r="M4">
        <v>15</v>
      </c>
      <c r="N4" t="s">
        <v>472</v>
      </c>
      <c r="O4">
        <v>127</v>
      </c>
      <c r="P4">
        <v>40</v>
      </c>
      <c r="Q4" s="7">
        <v>251</v>
      </c>
      <c r="R4" s="27">
        <f t="shared" si="0"/>
        <v>251</v>
      </c>
      <c r="S4" s="27" t="str">
        <f>IF(SUM(COUNTIFS('10_14_10_20'!E:E,'10_14_10_20 Acc Rate'!C4,'10_14_10_20'!O:O,"*M*"),COUNTIFS('10_14_10_20'!E:E,'10_14_10_20 Acc Rate'!C4,'10_14_10_20'!R:R,"*M*"))=0,"",SUM(COUNTIFS('10_14_10_20'!E:E,'10_14_10_20 Acc Rate'!C4,'10_14_10_20'!O:O,"*M*"),COUNTIFS('10_14_10_20'!E:E,'10_14_10_20 Acc Rate'!C4,'10_14_10_20'!R:R,"*M*")))</f>
        <v/>
      </c>
      <c r="T4" s="1" t="str">
        <f>IF(SUM(COUNTIFS('10_14_10_20'!E:E,'10_14_10_20 Acc Rate'!C4,'10_14_10_20'!P:P,"*E*"),COUNTIFS('10_14_10_20'!E:E,'10_14_10_20 Acc Rate'!C4,'10_14_10_20'!S:S,"*E*"))=0,"",SUM(COUNTIFS('10_14_10_20'!E:E,'10_14_10_20 Acc Rate'!C4,'10_14_10_20'!P:P,"*E*"),COUNTIFS('10_14_10_20'!E:E,'10_14_10_20 Acc Rate'!C4,'10_14_10_20'!S:S,"*E*")))</f>
        <v/>
      </c>
      <c r="U4" s="8">
        <f t="shared" ref="U4:U46" si="1">IF(ISERROR(SUM(_xlfn.NUMBERVALUE(S4)*8+_xlfn.NUMBERVALUE(T4)*2)/Q4),"",SUM(_xlfn.NUMBERVALUE(S4)*8+_xlfn.NUMBERVALUE(T4)*2)/Q4)</f>
        <v>0</v>
      </c>
      <c r="V4" s="2"/>
      <c r="W4" s="40" t="s">
        <v>473</v>
      </c>
      <c r="X4" s="41" t="s">
        <v>474</v>
      </c>
    </row>
    <row r="5" spans="2:24" s="1" customFormat="1" ht="15" customHeight="1" x14ac:dyDescent="0.25">
      <c r="B5" s="1" t="s">
        <v>475</v>
      </c>
      <c r="C5" s="1" t="s">
        <v>362</v>
      </c>
      <c r="D5" s="1" t="s">
        <v>394</v>
      </c>
      <c r="E5" t="s">
        <v>476</v>
      </c>
      <c r="F5" t="s">
        <v>175</v>
      </c>
      <c r="G5" t="s">
        <v>477</v>
      </c>
      <c r="H5" t="s">
        <v>460</v>
      </c>
      <c r="I5" t="s">
        <v>478</v>
      </c>
      <c r="J5" t="s">
        <v>479</v>
      </c>
      <c r="K5" t="s">
        <v>469</v>
      </c>
      <c r="L5" t="s">
        <v>480</v>
      </c>
      <c r="M5">
        <v>15</v>
      </c>
      <c r="N5" t="s">
        <v>481</v>
      </c>
      <c r="O5">
        <v>67</v>
      </c>
      <c r="P5">
        <v>20</v>
      </c>
      <c r="Q5" s="7">
        <v>185</v>
      </c>
      <c r="R5" s="27">
        <f t="shared" si="0"/>
        <v>185</v>
      </c>
      <c r="S5" s="27" t="str">
        <f>IF(SUM(COUNTIFS('10_14_10_20'!E:E,'10_14_10_20 Acc Rate'!C5,'10_14_10_20'!O:O,"*M*"),COUNTIFS('10_14_10_20'!E:E,'10_14_10_20 Acc Rate'!C5,'10_14_10_20'!R:R,"*M*"))=0,"",SUM(COUNTIFS('10_14_10_20'!E:E,'10_14_10_20 Acc Rate'!C5,'10_14_10_20'!O:O,"*M*"),COUNTIFS('10_14_10_20'!E:E,'10_14_10_20 Acc Rate'!C5,'10_14_10_20'!R:R,"*M*")))</f>
        <v/>
      </c>
      <c r="T5" s="1" t="str">
        <f>IF(SUM(COUNTIFS('10_14_10_20'!E:E,'10_14_10_20 Acc Rate'!C5,'10_14_10_20'!P:P,"*E*"),COUNTIFS('10_14_10_20'!E:E,'10_14_10_20 Acc Rate'!C5,'10_14_10_20'!S:S,"*E*"))=0,"",SUM(COUNTIFS('10_14_10_20'!E:E,'10_14_10_20 Acc Rate'!C5,'10_14_10_20'!P:P,"*E*"),COUNTIFS('10_14_10_20'!E:E,'10_14_10_20 Acc Rate'!C5,'10_14_10_20'!S:S,"*E*")))</f>
        <v/>
      </c>
      <c r="U5" s="8">
        <f t="shared" si="1"/>
        <v>0</v>
      </c>
      <c r="V5" s="2"/>
      <c r="W5" s="40" t="s">
        <v>482</v>
      </c>
      <c r="X5" s="41" t="s">
        <v>483</v>
      </c>
    </row>
    <row r="6" spans="2:24" s="1" customFormat="1" ht="15" customHeight="1" x14ac:dyDescent="0.25">
      <c r="B6" s="1" t="s">
        <v>484</v>
      </c>
      <c r="C6" s="1" t="s">
        <v>22</v>
      </c>
      <c r="D6" s="1" t="s">
        <v>23</v>
      </c>
      <c r="E6" t="s">
        <v>485</v>
      </c>
      <c r="F6" t="s">
        <v>486</v>
      </c>
      <c r="G6" t="s">
        <v>487</v>
      </c>
      <c r="H6" t="s">
        <v>460</v>
      </c>
      <c r="I6" t="s">
        <v>488</v>
      </c>
      <c r="J6" t="s">
        <v>479</v>
      </c>
      <c r="K6" t="s">
        <v>469</v>
      </c>
      <c r="L6"/>
      <c r="M6">
        <v>15</v>
      </c>
      <c r="N6" t="s">
        <v>489</v>
      </c>
      <c r="O6">
        <v>2117</v>
      </c>
      <c r="P6">
        <v>40</v>
      </c>
      <c r="Q6" s="7">
        <v>784</v>
      </c>
      <c r="R6" s="27">
        <f t="shared" si="0"/>
        <v>783</v>
      </c>
      <c r="S6" s="27">
        <f>IF(SUM(COUNTIFS('10_14_10_20'!E:E,'10_14_10_20 Acc Rate'!C6,'10_14_10_20'!O:O,"*M*"),COUNTIFS('10_14_10_20'!E:E,'10_14_10_20 Acc Rate'!C6,'10_14_10_20'!R:R,"*M*"))=0,"",SUM(COUNTIFS('10_14_10_20'!E:E,'10_14_10_20 Acc Rate'!C6,'10_14_10_20'!O:O,"*M*"),COUNTIFS('10_14_10_20'!E:E,'10_14_10_20 Acc Rate'!C6,'10_14_10_20'!R:R,"*M*")))</f>
        <v>1</v>
      </c>
      <c r="T6" s="1" t="str">
        <f>IF(SUM(COUNTIFS('10_14_10_20'!E:E,'10_14_10_20 Acc Rate'!C6,'10_14_10_20'!P:P,"*E*"),COUNTIFS('10_14_10_20'!E:E,'10_14_10_20 Acc Rate'!C6,'10_14_10_20'!S:S,"*E*"))=0,"",SUM(COUNTIFS('10_14_10_20'!E:E,'10_14_10_20 Acc Rate'!C6,'10_14_10_20'!P:P,"*E*"),COUNTIFS('10_14_10_20'!E:E,'10_14_10_20 Acc Rate'!C6,'10_14_10_20'!S:S,"*E*")))</f>
        <v/>
      </c>
      <c r="U6" s="8">
        <f t="shared" si="1"/>
        <v>1.020408163265306E-2</v>
      </c>
      <c r="V6" s="2"/>
      <c r="W6" s="40" t="s">
        <v>490</v>
      </c>
      <c r="X6" s="41" t="s">
        <v>491</v>
      </c>
    </row>
    <row r="7" spans="2:24" s="1" customFormat="1" ht="15" customHeight="1" x14ac:dyDescent="0.25">
      <c r="B7" s="1" t="s">
        <v>492</v>
      </c>
      <c r="C7" s="1" t="s">
        <v>107</v>
      </c>
      <c r="D7" s="1" t="s">
        <v>108</v>
      </c>
      <c r="E7" t="s">
        <v>493</v>
      </c>
      <c r="F7" t="s">
        <v>494</v>
      </c>
      <c r="G7" t="s">
        <v>495</v>
      </c>
      <c r="H7" t="s">
        <v>460</v>
      </c>
      <c r="I7" t="s">
        <v>496</v>
      </c>
      <c r="J7" t="s">
        <v>479</v>
      </c>
      <c r="K7" t="s">
        <v>469</v>
      </c>
      <c r="L7"/>
      <c r="M7">
        <v>15</v>
      </c>
      <c r="N7" t="s">
        <v>497</v>
      </c>
      <c r="O7" t="s">
        <v>498</v>
      </c>
      <c r="P7">
        <v>40</v>
      </c>
      <c r="Q7" s="7">
        <v>971</v>
      </c>
      <c r="R7" s="27">
        <f t="shared" si="0"/>
        <v>970</v>
      </c>
      <c r="S7" s="27" t="str">
        <f>IF(SUM(COUNTIFS('10_14_10_20'!E:E,'10_14_10_20 Acc Rate'!C7,'10_14_10_20'!O:O,"*M*"),COUNTIFS('10_14_10_20'!E:E,'10_14_10_20 Acc Rate'!C7,'10_14_10_20'!R:R,"*M*"))=0,"",SUM(COUNTIFS('10_14_10_20'!E:E,'10_14_10_20 Acc Rate'!C7,'10_14_10_20'!O:O,"*M*"),COUNTIFS('10_14_10_20'!E:E,'10_14_10_20 Acc Rate'!C7,'10_14_10_20'!R:R,"*M*")))</f>
        <v/>
      </c>
      <c r="T7" s="1">
        <f>IF(SUM(COUNTIFS('10_14_10_20'!E:E,'10_14_10_20 Acc Rate'!C7,'10_14_10_20'!P:P,"*E*"),COUNTIFS('10_14_10_20'!E:E,'10_14_10_20 Acc Rate'!C7,'10_14_10_20'!S:S,"*E*"))=0,"",SUM(COUNTIFS('10_14_10_20'!E:E,'10_14_10_20 Acc Rate'!C7,'10_14_10_20'!P:P,"*E*"),COUNTIFS('10_14_10_20'!E:E,'10_14_10_20 Acc Rate'!C7,'10_14_10_20'!S:S,"*E*")))</f>
        <v>1</v>
      </c>
      <c r="U7" s="8">
        <f t="shared" si="1"/>
        <v>2.0597322348094747E-3</v>
      </c>
      <c r="V7" s="2"/>
      <c r="W7" s="84" t="s">
        <v>499</v>
      </c>
      <c r="X7" s="84"/>
    </row>
    <row r="8" spans="2:24" s="1" customFormat="1" ht="15" customHeight="1" x14ac:dyDescent="0.25">
      <c r="B8" s="1" t="s">
        <v>500</v>
      </c>
      <c r="C8" s="1" t="s">
        <v>176</v>
      </c>
      <c r="D8" s="1" t="s">
        <v>177</v>
      </c>
      <c r="E8" t="s">
        <v>501</v>
      </c>
      <c r="F8" t="s">
        <v>168</v>
      </c>
      <c r="G8" t="s">
        <v>502</v>
      </c>
      <c r="H8" t="s">
        <v>460</v>
      </c>
      <c r="I8" t="s">
        <v>503</v>
      </c>
      <c r="J8" t="s">
        <v>479</v>
      </c>
      <c r="K8" t="s">
        <v>469</v>
      </c>
      <c r="L8"/>
      <c r="M8">
        <v>15</v>
      </c>
      <c r="N8" t="s">
        <v>504</v>
      </c>
      <c r="O8">
        <v>182</v>
      </c>
      <c r="P8">
        <v>40</v>
      </c>
      <c r="Q8" s="7">
        <v>787</v>
      </c>
      <c r="R8" s="27">
        <f t="shared" si="0"/>
        <v>787</v>
      </c>
      <c r="S8" s="27" t="str">
        <f>IF(SUM(COUNTIFS('10_14_10_20'!E:E,'10_14_10_20 Acc Rate'!C8,'10_14_10_20'!O:O,"*M*"),COUNTIFS('10_14_10_20'!E:E,'10_14_10_20 Acc Rate'!C8,'10_14_10_20'!R:R,"*M*"))=0,"",SUM(COUNTIFS('10_14_10_20'!E:E,'10_14_10_20 Acc Rate'!C8,'10_14_10_20'!O:O,"*M*"),COUNTIFS('10_14_10_20'!E:E,'10_14_10_20 Acc Rate'!C8,'10_14_10_20'!R:R,"*M*")))</f>
        <v/>
      </c>
      <c r="T8" s="1" t="str">
        <f>IF(SUM(COUNTIFS('10_14_10_20'!E:E,'10_14_10_20 Acc Rate'!C8,'10_14_10_20'!P:P,"*E*"),COUNTIFS('10_14_10_20'!E:E,'10_14_10_20 Acc Rate'!C8,'10_14_10_20'!S:S,"*E*"))=0,"",SUM(COUNTIFS('10_14_10_20'!E:E,'10_14_10_20 Acc Rate'!C8,'10_14_10_20'!P:P,"*E*"),COUNTIFS('10_14_10_20'!E:E,'10_14_10_20 Acc Rate'!C8,'10_14_10_20'!S:S,"*E*")))</f>
        <v/>
      </c>
      <c r="U8" s="8">
        <f t="shared" si="1"/>
        <v>0</v>
      </c>
      <c r="V8" s="2"/>
      <c r="W8" s="85" t="s">
        <v>505</v>
      </c>
      <c r="X8" s="85"/>
    </row>
    <row r="9" spans="2:24" s="1" customFormat="1" ht="15" customHeight="1" x14ac:dyDescent="0.25">
      <c r="B9" s="1" t="s">
        <v>506</v>
      </c>
      <c r="C9" s="1" t="s">
        <v>208</v>
      </c>
      <c r="D9" s="1" t="s">
        <v>209</v>
      </c>
      <c r="E9" t="s">
        <v>507</v>
      </c>
      <c r="F9" t="s">
        <v>352</v>
      </c>
      <c r="G9" t="s">
        <v>508</v>
      </c>
      <c r="H9" t="s">
        <v>460</v>
      </c>
      <c r="I9" t="s">
        <v>509</v>
      </c>
      <c r="J9" t="s">
        <v>479</v>
      </c>
      <c r="K9" t="s">
        <v>469</v>
      </c>
      <c r="L9" t="s">
        <v>510</v>
      </c>
      <c r="M9">
        <v>15</v>
      </c>
      <c r="N9" t="s">
        <v>511</v>
      </c>
      <c r="O9">
        <v>32</v>
      </c>
      <c r="P9">
        <v>40</v>
      </c>
      <c r="Q9" s="7">
        <v>153</v>
      </c>
      <c r="R9" s="27">
        <f t="shared" si="0"/>
        <v>153</v>
      </c>
      <c r="S9" s="27" t="str">
        <f>IF(SUM(COUNTIFS('10_14_10_20'!E:E,'10_14_10_20 Acc Rate'!C9,'10_14_10_20'!O:O,"*M*"),COUNTIFS('10_14_10_20'!E:E,'10_14_10_20 Acc Rate'!C9,'10_14_10_20'!R:R,"*M*"))=0,"",SUM(COUNTIFS('10_14_10_20'!E:E,'10_14_10_20 Acc Rate'!C9,'10_14_10_20'!O:O,"*M*"),COUNTIFS('10_14_10_20'!E:E,'10_14_10_20 Acc Rate'!C9,'10_14_10_20'!R:R,"*M*")))</f>
        <v/>
      </c>
      <c r="T9" s="1" t="str">
        <f>IF(SUM(COUNTIFS('10_14_10_20'!E:E,'10_14_10_20 Acc Rate'!C9,'10_14_10_20'!P:P,"*E*"),COUNTIFS('10_14_10_20'!E:E,'10_14_10_20 Acc Rate'!C9,'10_14_10_20'!S:S,"*E*"))=0,"",SUM(COUNTIFS('10_14_10_20'!E:E,'10_14_10_20 Acc Rate'!C9,'10_14_10_20'!P:P,"*E*"),COUNTIFS('10_14_10_20'!E:E,'10_14_10_20 Acc Rate'!C9,'10_14_10_20'!S:S,"*E*")))</f>
        <v/>
      </c>
      <c r="U9" s="8">
        <f t="shared" si="1"/>
        <v>0</v>
      </c>
      <c r="V9" s="2"/>
    </row>
    <row r="10" spans="2:24" s="1" customFormat="1" ht="15" customHeight="1" x14ac:dyDescent="0.25">
      <c r="B10" s="1" t="s">
        <v>512</v>
      </c>
      <c r="C10" s="1" t="s">
        <v>371</v>
      </c>
      <c r="D10" s="1" t="s">
        <v>372</v>
      </c>
      <c r="E10" t="s">
        <v>513</v>
      </c>
      <c r="F10" t="s">
        <v>34</v>
      </c>
      <c r="G10" t="s">
        <v>514</v>
      </c>
      <c r="H10" t="s">
        <v>460</v>
      </c>
      <c r="I10" t="s">
        <v>515</v>
      </c>
      <c r="J10" t="s">
        <v>470</v>
      </c>
      <c r="K10"/>
      <c r="L10" t="s">
        <v>516</v>
      </c>
      <c r="M10">
        <v>15</v>
      </c>
      <c r="N10" t="s">
        <v>517</v>
      </c>
      <c r="O10">
        <v>132</v>
      </c>
      <c r="P10">
        <v>40</v>
      </c>
      <c r="Q10" s="7">
        <v>493</v>
      </c>
      <c r="R10" s="27">
        <f t="shared" si="0"/>
        <v>493</v>
      </c>
      <c r="S10" s="27" t="str">
        <f>IF(SUM(COUNTIFS('10_14_10_20'!E:E,'10_14_10_20 Acc Rate'!C10,'10_14_10_20'!O:O,"*M*"),COUNTIFS('10_14_10_20'!E:E,'10_14_10_20 Acc Rate'!C10,'10_14_10_20'!R:R,"*M*"))=0,"",SUM(COUNTIFS('10_14_10_20'!E:E,'10_14_10_20 Acc Rate'!C10,'10_14_10_20'!O:O,"*M*"),COUNTIFS('10_14_10_20'!E:E,'10_14_10_20 Acc Rate'!C10,'10_14_10_20'!R:R,"*M*")))</f>
        <v/>
      </c>
      <c r="T10" s="1" t="str">
        <f>IF(SUM(COUNTIFS('10_14_10_20'!E:E,'10_14_10_20 Acc Rate'!C10,'10_14_10_20'!P:P,"*E*"),COUNTIFS('10_14_10_20'!E:E,'10_14_10_20 Acc Rate'!C10,'10_14_10_20'!S:S,"*E*"))=0,"",SUM(COUNTIFS('10_14_10_20'!E:E,'10_14_10_20 Acc Rate'!C10,'10_14_10_20'!P:P,"*E*"),COUNTIFS('10_14_10_20'!E:E,'10_14_10_20 Acc Rate'!C10,'10_14_10_20'!S:S,"*E*")))</f>
        <v/>
      </c>
      <c r="U10" s="8">
        <f t="shared" si="1"/>
        <v>0</v>
      </c>
      <c r="V10" s="2"/>
    </row>
    <row r="11" spans="2:24" s="1" customFormat="1" ht="15" customHeight="1" x14ac:dyDescent="0.25">
      <c r="B11" s="1" t="s">
        <v>518</v>
      </c>
      <c r="C11" s="1" t="s">
        <v>296</v>
      </c>
      <c r="D11" s="1" t="s">
        <v>297</v>
      </c>
      <c r="E11" t="s">
        <v>519</v>
      </c>
      <c r="F11" t="s">
        <v>520</v>
      </c>
      <c r="G11" t="s">
        <v>521</v>
      </c>
      <c r="H11" t="s">
        <v>460</v>
      </c>
      <c r="I11" t="s">
        <v>522</v>
      </c>
      <c r="J11" t="s">
        <v>523</v>
      </c>
      <c r="K11" t="s">
        <v>515</v>
      </c>
      <c r="L11"/>
      <c r="M11">
        <v>15</v>
      </c>
      <c r="N11" t="s">
        <v>524</v>
      </c>
      <c r="O11">
        <v>719</v>
      </c>
      <c r="P11">
        <v>40</v>
      </c>
      <c r="Q11" s="7">
        <v>467</v>
      </c>
      <c r="R11" s="27">
        <f t="shared" si="0"/>
        <v>467</v>
      </c>
      <c r="S11" s="27" t="str">
        <f>IF(SUM(COUNTIFS('10_14_10_20'!E:E,'10_14_10_20 Acc Rate'!C11,'10_14_10_20'!O:O,"*M*"),COUNTIFS('10_14_10_20'!E:E,'10_14_10_20 Acc Rate'!C11,'10_14_10_20'!R:R,"*M*"))=0,"",SUM(COUNTIFS('10_14_10_20'!E:E,'10_14_10_20 Acc Rate'!C11,'10_14_10_20'!O:O,"*M*"),COUNTIFS('10_14_10_20'!E:E,'10_14_10_20 Acc Rate'!C11,'10_14_10_20'!R:R,"*M*")))</f>
        <v/>
      </c>
      <c r="T11" s="1" t="str">
        <f>IF(SUM(COUNTIFS('10_14_10_20'!E:E,'10_14_10_20 Acc Rate'!C11,'10_14_10_20'!P:P,"*E*"),COUNTIFS('10_14_10_20'!E:E,'10_14_10_20 Acc Rate'!C11,'10_14_10_20'!S:S,"*E*"))=0,"",SUM(COUNTIFS('10_14_10_20'!E:E,'10_14_10_20 Acc Rate'!C11,'10_14_10_20'!P:P,"*E*"),COUNTIFS('10_14_10_20'!E:E,'10_14_10_20 Acc Rate'!C11,'10_14_10_20'!S:S,"*E*")))</f>
        <v/>
      </c>
      <c r="U11" s="8">
        <f t="shared" si="1"/>
        <v>0</v>
      </c>
      <c r="V11" s="2"/>
    </row>
    <row r="12" spans="2:24" s="1" customFormat="1" ht="15" customHeight="1" x14ac:dyDescent="0.25">
      <c r="B12" s="1" t="s">
        <v>525</v>
      </c>
      <c r="C12" s="1" t="s">
        <v>277</v>
      </c>
      <c r="D12" s="1" t="s">
        <v>278</v>
      </c>
      <c r="E12" t="s">
        <v>526</v>
      </c>
      <c r="F12" t="s">
        <v>527</v>
      </c>
      <c r="G12" t="s">
        <v>528</v>
      </c>
      <c r="H12" t="s">
        <v>460</v>
      </c>
      <c r="I12" t="s">
        <v>529</v>
      </c>
      <c r="J12" t="s">
        <v>523</v>
      </c>
      <c r="K12" t="s">
        <v>515</v>
      </c>
      <c r="L12"/>
      <c r="M12">
        <v>15</v>
      </c>
      <c r="N12" t="s">
        <v>530</v>
      </c>
      <c r="O12">
        <v>219</v>
      </c>
      <c r="P12">
        <v>25</v>
      </c>
      <c r="Q12" s="7">
        <v>383</v>
      </c>
      <c r="R12" s="27">
        <f t="shared" si="0"/>
        <v>382</v>
      </c>
      <c r="S12" s="27">
        <f>IF(SUM(COUNTIFS('10_14_10_20'!E:E,'10_14_10_20 Acc Rate'!C12,'10_14_10_20'!O:O,"*M*"),COUNTIFS('10_14_10_20'!E:E,'10_14_10_20 Acc Rate'!C12,'10_14_10_20'!R:R,"*M*"))=0,"",SUM(COUNTIFS('10_14_10_20'!E:E,'10_14_10_20 Acc Rate'!C12,'10_14_10_20'!O:O,"*M*"),COUNTIFS('10_14_10_20'!E:E,'10_14_10_20 Acc Rate'!C12,'10_14_10_20'!R:R,"*M*")))</f>
        <v>1</v>
      </c>
      <c r="T12" s="1" t="str">
        <f>IF(SUM(COUNTIFS('10_14_10_20'!E:E,'10_14_10_20 Acc Rate'!C12,'10_14_10_20'!P:P,"*E*"),COUNTIFS('10_14_10_20'!E:E,'10_14_10_20 Acc Rate'!C12,'10_14_10_20'!S:S,"*E*"))=0,"",SUM(COUNTIFS('10_14_10_20'!E:E,'10_14_10_20 Acc Rate'!C12,'10_14_10_20'!P:P,"*E*"),COUNTIFS('10_14_10_20'!E:E,'10_14_10_20 Acc Rate'!C12,'10_14_10_20'!S:S,"*E*")))</f>
        <v/>
      </c>
      <c r="U12" s="8">
        <f t="shared" si="1"/>
        <v>2.0887728459530026E-2</v>
      </c>
      <c r="V12" s="2"/>
    </row>
    <row r="13" spans="2:24" s="1" customFormat="1" ht="15" customHeight="1" x14ac:dyDescent="0.25">
      <c r="B13" s="1" t="s">
        <v>531</v>
      </c>
      <c r="C13" s="1" t="s">
        <v>325</v>
      </c>
      <c r="D13" s="1" t="s">
        <v>278</v>
      </c>
      <c r="E13" t="s">
        <v>532</v>
      </c>
      <c r="F13" t="s">
        <v>244</v>
      </c>
      <c r="G13" t="s">
        <v>533</v>
      </c>
      <c r="H13" t="s">
        <v>460</v>
      </c>
      <c r="I13" t="s">
        <v>534</v>
      </c>
      <c r="J13" t="s">
        <v>523</v>
      </c>
      <c r="K13" t="s">
        <v>515</v>
      </c>
      <c r="L13" t="s">
        <v>535</v>
      </c>
      <c r="M13">
        <v>15</v>
      </c>
      <c r="N13" t="s">
        <v>536</v>
      </c>
      <c r="O13">
        <v>142</v>
      </c>
      <c r="P13">
        <v>25</v>
      </c>
      <c r="Q13" s="7">
        <v>40</v>
      </c>
      <c r="R13" s="27">
        <f t="shared" si="0"/>
        <v>40</v>
      </c>
      <c r="S13" s="27" t="str">
        <f>IF(SUM(COUNTIFS('10_14_10_20'!E:E,'10_14_10_20 Acc Rate'!C13,'10_14_10_20'!O:O,"*M*"),COUNTIFS('10_14_10_20'!E:E,'10_14_10_20 Acc Rate'!C13,'10_14_10_20'!R:R,"*M*"))=0,"",SUM(COUNTIFS('10_14_10_20'!E:E,'10_14_10_20 Acc Rate'!C13,'10_14_10_20'!O:O,"*M*"),COUNTIFS('10_14_10_20'!E:E,'10_14_10_20 Acc Rate'!C13,'10_14_10_20'!R:R,"*M*")))</f>
        <v/>
      </c>
      <c r="T13" s="1" t="str">
        <f>IF(SUM(COUNTIFS('10_14_10_20'!E:E,'10_14_10_20 Acc Rate'!C13,'10_14_10_20'!P:P,"*E*"),COUNTIFS('10_14_10_20'!E:E,'10_14_10_20 Acc Rate'!C13,'10_14_10_20'!S:S,"*E*"))=0,"",SUM(COUNTIFS('10_14_10_20'!E:E,'10_14_10_20 Acc Rate'!C13,'10_14_10_20'!P:P,"*E*"),COUNTIFS('10_14_10_20'!E:E,'10_14_10_20 Acc Rate'!C13,'10_14_10_20'!S:S,"*E*")))</f>
        <v/>
      </c>
      <c r="U13" s="8">
        <f t="shared" si="1"/>
        <v>0</v>
      </c>
      <c r="V13" s="2"/>
    </row>
    <row r="14" spans="2:24" s="1" customFormat="1" ht="15" customHeight="1" x14ac:dyDescent="0.25">
      <c r="B14" s="1" t="s">
        <v>537</v>
      </c>
      <c r="C14" s="1" t="s">
        <v>64</v>
      </c>
      <c r="D14" s="1" t="s">
        <v>65</v>
      </c>
      <c r="E14" t="s">
        <v>538</v>
      </c>
      <c r="F14" t="s">
        <v>114</v>
      </c>
      <c r="G14" t="s">
        <v>539</v>
      </c>
      <c r="H14" t="s">
        <v>460</v>
      </c>
      <c r="I14" t="s">
        <v>540</v>
      </c>
      <c r="J14" t="s">
        <v>523</v>
      </c>
      <c r="K14" t="s">
        <v>515</v>
      </c>
      <c r="L14"/>
      <c r="M14">
        <v>15</v>
      </c>
      <c r="N14" t="s">
        <v>541</v>
      </c>
      <c r="O14">
        <v>716</v>
      </c>
      <c r="P14">
        <v>25</v>
      </c>
      <c r="Q14" s="7">
        <v>773</v>
      </c>
      <c r="R14" s="27">
        <f t="shared" si="0"/>
        <v>773</v>
      </c>
      <c r="S14" s="27" t="str">
        <f>IF(SUM(COUNTIFS('10_14_10_20'!E:E,'10_14_10_20 Acc Rate'!C14,'10_14_10_20'!O:O,"*M*"),COUNTIFS('10_14_10_20'!E:E,'10_14_10_20 Acc Rate'!C14,'10_14_10_20'!R:R,"*M*"))=0,"",SUM(COUNTIFS('10_14_10_20'!E:E,'10_14_10_20 Acc Rate'!C14,'10_14_10_20'!O:O,"*M*"),COUNTIFS('10_14_10_20'!E:E,'10_14_10_20 Acc Rate'!C14,'10_14_10_20'!R:R,"*M*")))</f>
        <v/>
      </c>
      <c r="T14" s="1" t="str">
        <f>IF(SUM(COUNTIFS('10_14_10_20'!E:E,'10_14_10_20 Acc Rate'!C14,'10_14_10_20'!P:P,"*E*"),COUNTIFS('10_14_10_20'!E:E,'10_14_10_20 Acc Rate'!C14,'10_14_10_20'!S:S,"*E*"))=0,"",SUM(COUNTIFS('10_14_10_20'!E:E,'10_14_10_20 Acc Rate'!C14,'10_14_10_20'!P:P,"*E*"),COUNTIFS('10_14_10_20'!E:E,'10_14_10_20 Acc Rate'!C14,'10_14_10_20'!S:S,"*E*")))</f>
        <v/>
      </c>
      <c r="U14" s="8">
        <f t="shared" si="1"/>
        <v>0</v>
      </c>
      <c r="V14" s="2"/>
    </row>
    <row r="15" spans="2:24" ht="15" customHeight="1" x14ac:dyDescent="0.25">
      <c r="B15" s="1" t="s">
        <v>542</v>
      </c>
      <c r="C15" s="1" t="s">
        <v>245</v>
      </c>
      <c r="D15" s="1" t="s">
        <v>246</v>
      </c>
      <c r="E15" t="s">
        <v>543</v>
      </c>
      <c r="F15" t="s">
        <v>21</v>
      </c>
      <c r="G15" t="s">
        <v>544</v>
      </c>
      <c r="H15" t="s">
        <v>460</v>
      </c>
      <c r="I15" t="s">
        <v>545</v>
      </c>
      <c r="J15" t="s">
        <v>523</v>
      </c>
      <c r="K15" t="s">
        <v>515</v>
      </c>
      <c r="L15" t="s">
        <v>546</v>
      </c>
      <c r="M15">
        <v>15</v>
      </c>
      <c r="N15" t="s">
        <v>547</v>
      </c>
      <c r="O15">
        <v>209</v>
      </c>
      <c r="P15">
        <v>40</v>
      </c>
      <c r="Q15" s="7">
        <v>315</v>
      </c>
      <c r="R15" s="27">
        <f t="shared" si="0"/>
        <v>315</v>
      </c>
      <c r="S15" s="27" t="str">
        <f>IF(SUM(COUNTIFS('10_14_10_20'!E:E,'10_14_10_20 Acc Rate'!C15,'10_14_10_20'!O:O,"*M*"),COUNTIFS('10_14_10_20'!E:E,'10_14_10_20 Acc Rate'!C15,'10_14_10_20'!R:R,"*M*"))=0,"",SUM(COUNTIFS('10_14_10_20'!E:E,'10_14_10_20 Acc Rate'!C15,'10_14_10_20'!O:O,"*M*"),COUNTIFS('10_14_10_20'!E:E,'10_14_10_20 Acc Rate'!C15,'10_14_10_20'!R:R,"*M*")))</f>
        <v/>
      </c>
      <c r="T15" s="1" t="str">
        <f>IF(SUM(COUNTIFS('10_14_10_20'!E:E,'10_14_10_20 Acc Rate'!C15,'10_14_10_20'!P:P,"*E*"),COUNTIFS('10_14_10_20'!E:E,'10_14_10_20 Acc Rate'!C15,'10_14_10_20'!S:S,"*E*"))=0,"",SUM(COUNTIFS('10_14_10_20'!E:E,'10_14_10_20 Acc Rate'!C15,'10_14_10_20'!P:P,"*E*"),COUNTIFS('10_14_10_20'!E:E,'10_14_10_20 Acc Rate'!C15,'10_14_10_20'!S:S,"*E*")))</f>
        <v/>
      </c>
      <c r="U15" s="8">
        <f t="shared" si="1"/>
        <v>0</v>
      </c>
    </row>
    <row r="16" spans="2:24" ht="15" customHeight="1" x14ac:dyDescent="0.25">
      <c r="B16" s="1" t="s">
        <v>548</v>
      </c>
      <c r="C16" s="1" t="s">
        <v>396</v>
      </c>
      <c r="D16" s="1" t="s">
        <v>549</v>
      </c>
      <c r="E16"/>
      <c r="F16" t="s">
        <v>550</v>
      </c>
      <c r="G16" t="s">
        <v>551</v>
      </c>
      <c r="H16" t="s">
        <v>552</v>
      </c>
      <c r="I16" t="s">
        <v>553</v>
      </c>
      <c r="J16" t="s">
        <v>554</v>
      </c>
      <c r="K16"/>
      <c r="L16"/>
      <c r="M16">
        <v>6</v>
      </c>
      <c r="N16"/>
      <c r="O16"/>
      <c r="P16"/>
      <c r="Q16" s="7"/>
      <c r="R16" s="27" t="str">
        <f t="shared" si="0"/>
        <v/>
      </c>
      <c r="S16" s="27" t="str">
        <f>IF(SUM(COUNTIFS('10_14_10_20'!E:E,'10_14_10_20 Acc Rate'!C16,'10_14_10_20'!O:O,"*M*"),COUNTIFS('10_14_10_20'!E:E,'10_14_10_20 Acc Rate'!C16,'10_14_10_20'!R:R,"*M*"))=0,"",SUM(COUNTIFS('10_14_10_20'!E:E,'10_14_10_20 Acc Rate'!C16,'10_14_10_20'!O:O,"*M*"),COUNTIFS('10_14_10_20'!E:E,'10_14_10_20 Acc Rate'!C16,'10_14_10_20'!R:R,"*M*")))</f>
        <v/>
      </c>
      <c r="T16" s="1" t="str">
        <f>IF(SUM(COUNTIFS('10_14_10_20'!E:E,'10_14_10_20 Acc Rate'!C16,'10_14_10_20'!P:P,"*E*"),COUNTIFS('10_14_10_20'!E:E,'10_14_10_20 Acc Rate'!C16,'10_14_10_20'!S:S,"*E*"))=0,"",SUM(COUNTIFS('10_14_10_20'!E:E,'10_14_10_20 Acc Rate'!C16,'10_14_10_20'!P:P,"*E*"),COUNTIFS('10_14_10_20'!E:E,'10_14_10_20 Acc Rate'!C16,'10_14_10_20'!S:S,"*E*")))</f>
        <v/>
      </c>
      <c r="U16" s="8" t="str">
        <f t="shared" si="1"/>
        <v/>
      </c>
    </row>
    <row r="17" spans="2:21" ht="15" customHeight="1" x14ac:dyDescent="0.25">
      <c r="B17" s="1" t="s">
        <v>555</v>
      </c>
      <c r="C17" s="1" t="s">
        <v>556</v>
      </c>
      <c r="D17" s="1" t="s">
        <v>557</v>
      </c>
      <c r="E17"/>
      <c r="F17" t="s">
        <v>558</v>
      </c>
      <c r="G17" t="s">
        <v>559</v>
      </c>
      <c r="H17" t="s">
        <v>552</v>
      </c>
      <c r="I17" t="s">
        <v>560</v>
      </c>
      <c r="J17" t="s">
        <v>561</v>
      </c>
      <c r="K17" t="s">
        <v>553</v>
      </c>
      <c r="L17"/>
      <c r="M17">
        <v>6</v>
      </c>
      <c r="N17"/>
      <c r="O17"/>
      <c r="P17"/>
      <c r="Q17" s="7"/>
      <c r="R17" s="27" t="str">
        <f t="shared" si="0"/>
        <v/>
      </c>
      <c r="S17" s="27" t="str">
        <f>IF(SUM(COUNTIFS('10_14_10_20'!E:E,'10_14_10_20 Acc Rate'!C17,'10_14_10_20'!O:O,"*M*"),COUNTIFS('10_14_10_20'!E:E,'10_14_10_20 Acc Rate'!C17,'10_14_10_20'!R:R,"*M*"))=0,"",SUM(COUNTIFS('10_14_10_20'!E:E,'10_14_10_20 Acc Rate'!C17,'10_14_10_20'!O:O,"*M*"),COUNTIFS('10_14_10_20'!E:E,'10_14_10_20 Acc Rate'!C17,'10_14_10_20'!R:R,"*M*")))</f>
        <v/>
      </c>
      <c r="T17" s="1" t="str">
        <f>IF(SUM(COUNTIFS('10_14_10_20'!E:E,'10_14_10_20 Acc Rate'!C17,'10_14_10_20'!P:P,"*E*"),COUNTIFS('10_14_10_20'!E:E,'10_14_10_20 Acc Rate'!C17,'10_14_10_20'!S:S,"*E*"))=0,"",SUM(COUNTIFS('10_14_10_20'!E:E,'10_14_10_20 Acc Rate'!C17,'10_14_10_20'!P:P,"*E*"),COUNTIFS('10_14_10_20'!E:E,'10_14_10_20 Acc Rate'!C17,'10_14_10_20'!S:S,"*E*")))</f>
        <v/>
      </c>
      <c r="U17" s="8" t="str">
        <f t="shared" si="1"/>
        <v/>
      </c>
    </row>
    <row r="18" spans="2:21" ht="15" customHeight="1" x14ac:dyDescent="0.25">
      <c r="B18" s="1" t="s">
        <v>562</v>
      </c>
      <c r="C18" s="1" t="s">
        <v>563</v>
      </c>
      <c r="D18" s="1" t="s">
        <v>564</v>
      </c>
      <c r="E18"/>
      <c r="F18" t="s">
        <v>565</v>
      </c>
      <c r="G18" t="s">
        <v>566</v>
      </c>
      <c r="H18" t="s">
        <v>552</v>
      </c>
      <c r="I18" t="s">
        <v>567</v>
      </c>
      <c r="J18" t="s">
        <v>561</v>
      </c>
      <c r="K18" t="s">
        <v>553</v>
      </c>
      <c r="L18"/>
      <c r="M18">
        <v>6</v>
      </c>
      <c r="N18"/>
      <c r="O18"/>
      <c r="P18"/>
      <c r="Q18" s="7"/>
      <c r="R18" s="27" t="str">
        <f t="shared" si="0"/>
        <v/>
      </c>
      <c r="S18" s="27" t="str">
        <f>IF(SUM(COUNTIFS('10_14_10_20'!E:E,'10_14_10_20 Acc Rate'!C18,'10_14_10_20'!O:O,"*M*"),COUNTIFS('10_14_10_20'!E:E,'10_14_10_20 Acc Rate'!C18,'10_14_10_20'!R:R,"*M*"))=0,"",SUM(COUNTIFS('10_14_10_20'!E:E,'10_14_10_20 Acc Rate'!C18,'10_14_10_20'!O:O,"*M*"),COUNTIFS('10_14_10_20'!E:E,'10_14_10_20 Acc Rate'!C18,'10_14_10_20'!R:R,"*M*")))</f>
        <v/>
      </c>
      <c r="T18" s="1" t="str">
        <f>IF(SUM(COUNTIFS('10_14_10_20'!E:E,'10_14_10_20 Acc Rate'!C18,'10_14_10_20'!P:P,"*E*"),COUNTIFS('10_14_10_20'!E:E,'10_14_10_20 Acc Rate'!C18,'10_14_10_20'!S:S,"*E*"))=0,"",SUM(COUNTIFS('10_14_10_20'!E:E,'10_14_10_20 Acc Rate'!C18,'10_14_10_20'!P:P,"*E*"),COUNTIFS('10_14_10_20'!E:E,'10_14_10_20 Acc Rate'!C18,'10_14_10_20'!S:S,"*E*")))</f>
        <v/>
      </c>
      <c r="U18" s="8" t="str">
        <f t="shared" si="1"/>
        <v/>
      </c>
    </row>
    <row r="19" spans="2:21" ht="15" customHeight="1" x14ac:dyDescent="0.25">
      <c r="B19" s="1" t="s">
        <v>568</v>
      </c>
      <c r="C19" s="1" t="s">
        <v>569</v>
      </c>
      <c r="D19" s="1" t="s">
        <v>570</v>
      </c>
      <c r="E19"/>
      <c r="F19" t="s">
        <v>571</v>
      </c>
      <c r="G19" t="s">
        <v>572</v>
      </c>
      <c r="H19" t="s">
        <v>552</v>
      </c>
      <c r="I19" t="s">
        <v>573</v>
      </c>
      <c r="J19" t="s">
        <v>561</v>
      </c>
      <c r="K19" t="s">
        <v>553</v>
      </c>
      <c r="L19"/>
      <c r="M19">
        <v>6</v>
      </c>
      <c r="N19"/>
      <c r="O19"/>
      <c r="P19"/>
      <c r="Q19" s="7"/>
      <c r="R19" s="27" t="str">
        <f t="shared" si="0"/>
        <v/>
      </c>
      <c r="S19" s="27" t="str">
        <f>IF(SUM(COUNTIFS('10_14_10_20'!E:E,'10_14_10_20 Acc Rate'!C19,'10_14_10_20'!O:O,"*M*"),COUNTIFS('10_14_10_20'!E:E,'10_14_10_20 Acc Rate'!C19,'10_14_10_20'!R:R,"*M*"))=0,"",SUM(COUNTIFS('10_14_10_20'!E:E,'10_14_10_20 Acc Rate'!C19,'10_14_10_20'!O:O,"*M*"),COUNTIFS('10_14_10_20'!E:E,'10_14_10_20 Acc Rate'!C19,'10_14_10_20'!R:R,"*M*")))</f>
        <v/>
      </c>
      <c r="T19" s="1" t="str">
        <f>IF(SUM(COUNTIFS('10_14_10_20'!E:E,'10_14_10_20 Acc Rate'!C19,'10_14_10_20'!P:P,"*E*"),COUNTIFS('10_14_10_20'!E:E,'10_14_10_20 Acc Rate'!C19,'10_14_10_20'!S:S,"*E*"))=0,"",SUM(COUNTIFS('10_14_10_20'!E:E,'10_14_10_20 Acc Rate'!C19,'10_14_10_20'!P:P,"*E*"),COUNTIFS('10_14_10_20'!E:E,'10_14_10_20 Acc Rate'!C19,'10_14_10_20'!S:S,"*E*")))</f>
        <v/>
      </c>
      <c r="U19" s="8" t="str">
        <f t="shared" si="1"/>
        <v/>
      </c>
    </row>
    <row r="20" spans="2:21" ht="15" customHeight="1" x14ac:dyDescent="0.25">
      <c r="B20" s="1" t="s">
        <v>574</v>
      </c>
      <c r="C20" s="1" t="s">
        <v>575</v>
      </c>
      <c r="D20" s="1" t="s">
        <v>576</v>
      </c>
      <c r="E20"/>
      <c r="F20" t="s">
        <v>577</v>
      </c>
      <c r="G20" t="s">
        <v>578</v>
      </c>
      <c r="H20" t="s">
        <v>552</v>
      </c>
      <c r="I20" t="s">
        <v>579</v>
      </c>
      <c r="J20" t="s">
        <v>561</v>
      </c>
      <c r="K20" t="s">
        <v>553</v>
      </c>
      <c r="L20"/>
      <c r="M20">
        <v>6</v>
      </c>
      <c r="N20"/>
      <c r="O20"/>
      <c r="P20"/>
      <c r="Q20" s="7"/>
      <c r="R20" s="27" t="str">
        <f t="shared" si="0"/>
        <v/>
      </c>
      <c r="S20" s="27" t="str">
        <f>IF(SUM(COUNTIFS('10_14_10_20'!E:E,'10_14_10_20 Acc Rate'!C20,'10_14_10_20'!O:O,"*M*"),COUNTIFS('10_14_10_20'!E:E,'10_14_10_20 Acc Rate'!C20,'10_14_10_20'!R:R,"*M*"))=0,"",SUM(COUNTIFS('10_14_10_20'!E:E,'10_14_10_20 Acc Rate'!C20,'10_14_10_20'!O:O,"*M*"),COUNTIFS('10_14_10_20'!E:E,'10_14_10_20 Acc Rate'!C20,'10_14_10_20'!R:R,"*M*")))</f>
        <v/>
      </c>
      <c r="T20" s="1" t="str">
        <f>IF(SUM(COUNTIFS('10_14_10_20'!E:E,'10_14_10_20 Acc Rate'!C20,'10_14_10_20'!P:P,"*E*"),COUNTIFS('10_14_10_20'!E:E,'10_14_10_20 Acc Rate'!C20,'10_14_10_20'!S:S,"*E*"))=0,"",SUM(COUNTIFS('10_14_10_20'!E:E,'10_14_10_20 Acc Rate'!C20,'10_14_10_20'!P:P,"*E*"),COUNTIFS('10_14_10_20'!E:E,'10_14_10_20 Acc Rate'!C20,'10_14_10_20'!S:S,"*E*")))</f>
        <v/>
      </c>
      <c r="U20" s="8" t="str">
        <f t="shared" si="1"/>
        <v/>
      </c>
    </row>
    <row r="21" spans="2:21" ht="15" customHeight="1" x14ac:dyDescent="0.25">
      <c r="B21" s="1" t="s">
        <v>580</v>
      </c>
      <c r="C21" s="1" t="s">
        <v>316</v>
      </c>
      <c r="D21" s="1" t="s">
        <v>581</v>
      </c>
      <c r="E21"/>
      <c r="F21" t="s">
        <v>565</v>
      </c>
      <c r="G21" t="s">
        <v>582</v>
      </c>
      <c r="H21" t="s">
        <v>583</v>
      </c>
      <c r="I21" t="s">
        <v>584</v>
      </c>
      <c r="J21" t="s">
        <v>585</v>
      </c>
      <c r="K21"/>
      <c r="L21"/>
      <c r="M21">
        <v>1</v>
      </c>
      <c r="N21"/>
      <c r="O21"/>
      <c r="P21"/>
      <c r="Q21" s="7"/>
      <c r="R21" s="27" t="str">
        <f t="shared" si="0"/>
        <v/>
      </c>
      <c r="S21" s="27" t="str">
        <f>IF(SUM(COUNTIFS('10_14_10_20'!E:E,'10_14_10_20 Acc Rate'!C21,'10_14_10_20'!O:O,"*M*"),COUNTIFS('10_14_10_20'!E:E,'10_14_10_20 Acc Rate'!C21,'10_14_10_20'!R:R,"*M*"))=0,"",SUM(COUNTIFS('10_14_10_20'!E:E,'10_14_10_20 Acc Rate'!C21,'10_14_10_20'!O:O,"*M*"),COUNTIFS('10_14_10_20'!E:E,'10_14_10_20 Acc Rate'!C21,'10_14_10_20'!R:R,"*M*")))</f>
        <v/>
      </c>
      <c r="T21" s="1" t="str">
        <f>IF(SUM(COUNTIFS('10_14_10_20'!E:E,'10_14_10_20 Acc Rate'!C21,'10_14_10_20'!P:P,"*E*"),COUNTIFS('10_14_10_20'!E:E,'10_14_10_20 Acc Rate'!C21,'10_14_10_20'!S:S,"*E*"))=0,"",SUM(COUNTIFS('10_14_10_20'!E:E,'10_14_10_20 Acc Rate'!C21,'10_14_10_20'!P:P,"*E*"),COUNTIFS('10_14_10_20'!E:E,'10_14_10_20 Acc Rate'!C21,'10_14_10_20'!S:S,"*E*")))</f>
        <v/>
      </c>
      <c r="U21" s="8" t="str">
        <f t="shared" si="1"/>
        <v/>
      </c>
    </row>
    <row r="22" spans="2:21" ht="15" customHeight="1" x14ac:dyDescent="0.25">
      <c r="B22" s="1" t="s">
        <v>586</v>
      </c>
      <c r="C22" s="1" t="s">
        <v>587</v>
      </c>
      <c r="D22" s="1" t="s">
        <v>588</v>
      </c>
      <c r="E22"/>
      <c r="F22" t="s">
        <v>589</v>
      </c>
      <c r="G22" t="s">
        <v>590</v>
      </c>
      <c r="H22" t="s">
        <v>583</v>
      </c>
      <c r="I22" t="s">
        <v>591</v>
      </c>
      <c r="J22" t="s">
        <v>592</v>
      </c>
      <c r="K22"/>
      <c r="L22"/>
      <c r="M22">
        <v>1</v>
      </c>
      <c r="N22"/>
      <c r="O22"/>
      <c r="P22"/>
      <c r="Q22" s="7"/>
      <c r="R22" s="27" t="str">
        <f t="shared" si="0"/>
        <v/>
      </c>
      <c r="S22" s="27" t="str">
        <f>IF(SUM(COUNTIFS('10_14_10_20'!E:E,'10_14_10_20 Acc Rate'!C22,'10_14_10_20'!O:O,"*M*"),COUNTIFS('10_14_10_20'!E:E,'10_14_10_20 Acc Rate'!C22,'10_14_10_20'!R:R,"*M*"))=0,"",SUM(COUNTIFS('10_14_10_20'!E:E,'10_14_10_20 Acc Rate'!C22,'10_14_10_20'!O:O,"*M*"),COUNTIFS('10_14_10_20'!E:E,'10_14_10_20 Acc Rate'!C22,'10_14_10_20'!R:R,"*M*")))</f>
        <v/>
      </c>
      <c r="T22" s="1" t="str">
        <f>IF(SUM(COUNTIFS('10_14_10_20'!E:E,'10_14_10_20 Acc Rate'!C22,'10_14_10_20'!P:P,"*E*"),COUNTIFS('10_14_10_20'!E:E,'10_14_10_20 Acc Rate'!C22,'10_14_10_20'!S:S,"*E*"))=0,"",SUM(COUNTIFS('10_14_10_20'!E:E,'10_14_10_20 Acc Rate'!C22,'10_14_10_20'!P:P,"*E*"),COUNTIFS('10_14_10_20'!E:E,'10_14_10_20 Acc Rate'!C22,'10_14_10_20'!S:S,"*E*")))</f>
        <v/>
      </c>
      <c r="U22" s="8" t="str">
        <f t="shared" si="1"/>
        <v/>
      </c>
    </row>
    <row r="23" spans="2:21" s="1" customFormat="1" ht="15" customHeight="1" x14ac:dyDescent="0.25">
      <c r="B23" s="1" t="s">
        <v>593</v>
      </c>
      <c r="C23" s="1" t="s">
        <v>169</v>
      </c>
      <c r="D23" s="1" t="s">
        <v>170</v>
      </c>
      <c r="E23"/>
      <c r="F23" t="s">
        <v>594</v>
      </c>
      <c r="G23" t="s">
        <v>595</v>
      </c>
      <c r="H23" t="s">
        <v>583</v>
      </c>
      <c r="I23" t="s">
        <v>596</v>
      </c>
      <c r="J23" t="s">
        <v>592</v>
      </c>
      <c r="K23"/>
      <c r="L23"/>
      <c r="M23">
        <v>1</v>
      </c>
      <c r="N23"/>
      <c r="O23"/>
      <c r="P23"/>
      <c r="Q23" s="7"/>
      <c r="R23" s="27" t="str">
        <f t="shared" si="0"/>
        <v/>
      </c>
      <c r="S23" s="27" t="str">
        <f>IF(SUM(COUNTIFS('10_14_10_20'!E:E,'10_14_10_20 Acc Rate'!C23,'10_14_10_20'!O:O,"*M*"),COUNTIFS('10_14_10_20'!E:E,'10_14_10_20 Acc Rate'!C23,'10_14_10_20'!R:R,"*M*"))=0,"",SUM(COUNTIFS('10_14_10_20'!E:E,'10_14_10_20 Acc Rate'!C23,'10_14_10_20'!O:O,"*M*"),COUNTIFS('10_14_10_20'!E:E,'10_14_10_20 Acc Rate'!C23,'10_14_10_20'!R:R,"*M*")))</f>
        <v/>
      </c>
      <c r="T23" s="1" t="str">
        <f>IF(SUM(COUNTIFS('10_14_10_20'!E:E,'10_14_10_20 Acc Rate'!C23,'10_14_10_20'!P:P,"*E*"),COUNTIFS('10_14_10_20'!E:E,'10_14_10_20 Acc Rate'!C23,'10_14_10_20'!S:S,"*E*"))=0,"",SUM(COUNTIFS('10_14_10_20'!E:E,'10_14_10_20 Acc Rate'!C23,'10_14_10_20'!P:P,"*E*"),COUNTIFS('10_14_10_20'!E:E,'10_14_10_20 Acc Rate'!C23,'10_14_10_20'!S:S,"*E*")))</f>
        <v/>
      </c>
      <c r="U23" s="9" t="str">
        <f t="shared" si="1"/>
        <v/>
      </c>
    </row>
    <row r="24" spans="2:21" s="1" customFormat="1" ht="15" customHeight="1" x14ac:dyDescent="0.25">
      <c r="B24" s="1" t="s">
        <v>597</v>
      </c>
      <c r="C24" s="1" t="s">
        <v>423</v>
      </c>
      <c r="D24" s="1" t="s">
        <v>424</v>
      </c>
      <c r="E24"/>
      <c r="F24" t="s">
        <v>598</v>
      </c>
      <c r="G24" t="s">
        <v>599</v>
      </c>
      <c r="H24" t="s">
        <v>583</v>
      </c>
      <c r="I24" t="s">
        <v>600</v>
      </c>
      <c r="J24" t="s">
        <v>601</v>
      </c>
      <c r="K24"/>
      <c r="L24"/>
      <c r="M24">
        <v>1</v>
      </c>
      <c r="N24"/>
      <c r="O24"/>
      <c r="P24"/>
      <c r="Q24" s="7"/>
      <c r="R24" s="27" t="str">
        <f t="shared" si="0"/>
        <v/>
      </c>
      <c r="S24" s="27" t="str">
        <f>IF(SUM(COUNTIFS('10_14_10_20'!E:E,'10_14_10_20 Acc Rate'!C24,'10_14_10_20'!O:O,"*M*"),COUNTIFS('10_14_10_20'!E:E,'10_14_10_20 Acc Rate'!C24,'10_14_10_20'!R:R,"*M*"))=0,"",SUM(COUNTIFS('10_14_10_20'!E:E,'10_14_10_20 Acc Rate'!C24,'10_14_10_20'!O:O,"*M*"),COUNTIFS('10_14_10_20'!E:E,'10_14_10_20 Acc Rate'!C24,'10_14_10_20'!R:R,"*M*")))</f>
        <v/>
      </c>
      <c r="T24" s="1" t="str">
        <f>IF(SUM(COUNTIFS('10_14_10_20'!E:E,'10_14_10_20 Acc Rate'!C24,'10_14_10_20'!P:P,"*E*"),COUNTIFS('10_14_10_20'!E:E,'10_14_10_20 Acc Rate'!C24,'10_14_10_20'!S:S,"*E*"))=0,"",SUM(COUNTIFS('10_14_10_20'!E:E,'10_14_10_20 Acc Rate'!C24,'10_14_10_20'!P:P,"*E*"),COUNTIFS('10_14_10_20'!E:E,'10_14_10_20 Acc Rate'!C24,'10_14_10_20'!S:S,"*E*")))</f>
        <v/>
      </c>
      <c r="U24" s="9" t="str">
        <f t="shared" si="1"/>
        <v/>
      </c>
    </row>
    <row r="25" spans="2:21" s="1" customFormat="1" ht="15" customHeight="1" x14ac:dyDescent="0.25">
      <c r="B25" s="1" t="s">
        <v>602</v>
      </c>
      <c r="C25" s="1" t="s">
        <v>603</v>
      </c>
      <c r="D25" s="1" t="s">
        <v>1175</v>
      </c>
      <c r="E25"/>
      <c r="F25" t="s">
        <v>565</v>
      </c>
      <c r="G25" t="s">
        <v>1176</v>
      </c>
      <c r="H25" t="s">
        <v>583</v>
      </c>
      <c r="I25" t="s">
        <v>606</v>
      </c>
      <c r="J25" t="s">
        <v>607</v>
      </c>
      <c r="K25"/>
      <c r="L25"/>
      <c r="M25">
        <v>1</v>
      </c>
      <c r="N25"/>
      <c r="O25"/>
      <c r="P25"/>
      <c r="Q25" s="7"/>
      <c r="R25" s="27" t="str">
        <f t="shared" si="0"/>
        <v/>
      </c>
      <c r="S25" s="27" t="str">
        <f>IF(SUM(COUNTIFS('10_14_10_20'!E:E,'10_14_10_20 Acc Rate'!C25,'10_14_10_20'!O:O,"*M*"),COUNTIFS('10_14_10_20'!E:E,'10_14_10_20 Acc Rate'!C25,'10_14_10_20'!R:R,"*M*"))=0,"",SUM(COUNTIFS('10_14_10_20'!E:E,'10_14_10_20 Acc Rate'!C25,'10_14_10_20'!O:O,"*M*"),COUNTIFS('10_14_10_20'!E:E,'10_14_10_20 Acc Rate'!C25,'10_14_10_20'!R:R,"*M*")))</f>
        <v/>
      </c>
      <c r="T25" s="1" t="str">
        <f>IF(SUM(COUNTIFS('10_14_10_20'!E:E,'10_14_10_20 Acc Rate'!C25,'10_14_10_20'!P:P,"*E*"),COUNTIFS('10_14_10_20'!E:E,'10_14_10_20 Acc Rate'!C25,'10_14_10_20'!S:S,"*E*"))=0,"",SUM(COUNTIFS('10_14_10_20'!E:E,'10_14_10_20 Acc Rate'!C25,'10_14_10_20'!P:P,"*E*"),COUNTIFS('10_14_10_20'!E:E,'10_14_10_20 Acc Rate'!C25,'10_14_10_20'!S:S,"*E*")))</f>
        <v/>
      </c>
      <c r="U25" s="9" t="str">
        <f t="shared" si="1"/>
        <v/>
      </c>
    </row>
    <row r="26" spans="2:21" s="1" customFormat="1" ht="15" customHeight="1" x14ac:dyDescent="0.25">
      <c r="B26" s="1" t="s">
        <v>608</v>
      </c>
      <c r="C26" s="1" t="s">
        <v>609</v>
      </c>
      <c r="D26" s="1" t="s">
        <v>610</v>
      </c>
      <c r="E26"/>
      <c r="F26" t="s">
        <v>611</v>
      </c>
      <c r="G26" t="s">
        <v>612</v>
      </c>
      <c r="H26" t="s">
        <v>583</v>
      </c>
      <c r="I26" t="s">
        <v>613</v>
      </c>
      <c r="J26" t="s">
        <v>614</v>
      </c>
      <c r="K26" t="s">
        <v>606</v>
      </c>
      <c r="L26"/>
      <c r="M26">
        <v>1</v>
      </c>
      <c r="N26"/>
      <c r="O26"/>
      <c r="P26"/>
      <c r="Q26" s="7">
        <v>1</v>
      </c>
      <c r="R26" s="27">
        <f t="shared" si="0"/>
        <v>1</v>
      </c>
      <c r="S26" s="27" t="str">
        <f>IF(SUM(COUNTIFS('10_14_10_20'!E:E,'10_14_10_20 Acc Rate'!C26,'10_14_10_20'!O:O,"*M*"),COUNTIFS('10_14_10_20'!E:E,'10_14_10_20 Acc Rate'!C26,'10_14_10_20'!R:R,"*M*"))=0,"",SUM(COUNTIFS('10_14_10_20'!E:E,'10_14_10_20 Acc Rate'!C26,'10_14_10_20'!O:O,"*M*"),COUNTIFS('10_14_10_20'!E:E,'10_14_10_20 Acc Rate'!C26,'10_14_10_20'!R:R,"*M*")))</f>
        <v/>
      </c>
      <c r="T26" s="1" t="str">
        <f>IF(SUM(COUNTIFS('10_14_10_20'!E:E,'10_14_10_20 Acc Rate'!C26,'10_14_10_20'!P:P,"*E*"),COUNTIFS('10_14_10_20'!E:E,'10_14_10_20 Acc Rate'!C26,'10_14_10_20'!S:S,"*E*"))=0,"",SUM(COUNTIFS('10_14_10_20'!E:E,'10_14_10_20 Acc Rate'!C26,'10_14_10_20'!P:P,"*E*"),COUNTIFS('10_14_10_20'!E:E,'10_14_10_20 Acc Rate'!C26,'10_14_10_20'!S:S,"*E*")))</f>
        <v/>
      </c>
      <c r="U26" s="9">
        <f t="shared" si="1"/>
        <v>0</v>
      </c>
    </row>
    <row r="27" spans="2:21" s="1" customFormat="1" ht="15" customHeight="1" x14ac:dyDescent="0.25">
      <c r="B27" s="1" t="s">
        <v>615</v>
      </c>
      <c r="C27" s="1" t="s">
        <v>616</v>
      </c>
      <c r="D27" s="1" t="s">
        <v>617</v>
      </c>
      <c r="E27"/>
      <c r="F27" t="s">
        <v>618</v>
      </c>
      <c r="G27" t="s">
        <v>619</v>
      </c>
      <c r="H27" t="s">
        <v>583</v>
      </c>
      <c r="I27" t="s">
        <v>620</v>
      </c>
      <c r="J27" t="s">
        <v>614</v>
      </c>
      <c r="K27" t="s">
        <v>606</v>
      </c>
      <c r="L27"/>
      <c r="M27">
        <v>1</v>
      </c>
      <c r="N27"/>
      <c r="O27"/>
      <c r="P27"/>
      <c r="Q27" s="7">
        <v>1</v>
      </c>
      <c r="R27" s="27">
        <f t="shared" si="0"/>
        <v>1</v>
      </c>
      <c r="S27" s="27" t="str">
        <f>IF(SUM(COUNTIFS('10_14_10_20'!E:E,'10_14_10_20 Acc Rate'!C27,'10_14_10_20'!O:O,"*M*"),COUNTIFS('10_14_10_20'!E:E,'10_14_10_20 Acc Rate'!C27,'10_14_10_20'!R:R,"*M*"))=0,"",SUM(COUNTIFS('10_14_10_20'!E:E,'10_14_10_20 Acc Rate'!C27,'10_14_10_20'!O:O,"*M*"),COUNTIFS('10_14_10_20'!E:E,'10_14_10_20 Acc Rate'!C27,'10_14_10_20'!R:R,"*M*")))</f>
        <v/>
      </c>
      <c r="T27" s="1" t="str">
        <f>IF(SUM(COUNTIFS('10_14_10_20'!E:E,'10_14_10_20 Acc Rate'!C27,'10_14_10_20'!P:P,"*E*"),COUNTIFS('10_14_10_20'!E:E,'10_14_10_20 Acc Rate'!C27,'10_14_10_20'!S:S,"*E*"))=0,"",SUM(COUNTIFS('10_14_10_20'!E:E,'10_14_10_20 Acc Rate'!C27,'10_14_10_20'!P:P,"*E*"),COUNTIFS('10_14_10_20'!E:E,'10_14_10_20 Acc Rate'!C27,'10_14_10_20'!S:S,"*E*")))</f>
        <v/>
      </c>
      <c r="U27" s="9">
        <f t="shared" si="1"/>
        <v>0</v>
      </c>
    </row>
    <row r="28" spans="2:21" s="1" customFormat="1" ht="15" customHeight="1" x14ac:dyDescent="0.25">
      <c r="B28" s="1" t="s">
        <v>621</v>
      </c>
      <c r="C28" s="1" t="s">
        <v>622</v>
      </c>
      <c r="D28" s="1" t="s">
        <v>267</v>
      </c>
      <c r="E28"/>
      <c r="F28" t="s">
        <v>623</v>
      </c>
      <c r="G28" t="s">
        <v>624</v>
      </c>
      <c r="H28" t="s">
        <v>583</v>
      </c>
      <c r="I28" t="s">
        <v>625</v>
      </c>
      <c r="J28" t="s">
        <v>614</v>
      </c>
      <c r="K28" t="s">
        <v>606</v>
      </c>
      <c r="L28"/>
      <c r="M28">
        <v>1</v>
      </c>
      <c r="N28"/>
      <c r="O28"/>
      <c r="P28"/>
      <c r="Q28" s="7"/>
      <c r="R28" s="27" t="str">
        <f t="shared" si="0"/>
        <v/>
      </c>
      <c r="S28" s="27" t="str">
        <f>IF(SUM(COUNTIFS('10_14_10_20'!E:E,'10_14_10_20 Acc Rate'!C28,'10_14_10_20'!O:O,"*M*"),COUNTIFS('10_14_10_20'!E:E,'10_14_10_20 Acc Rate'!C28,'10_14_10_20'!R:R,"*M*"))=0,"",SUM(COUNTIFS('10_14_10_20'!E:E,'10_14_10_20 Acc Rate'!C28,'10_14_10_20'!O:O,"*M*"),COUNTIFS('10_14_10_20'!E:E,'10_14_10_20 Acc Rate'!C28,'10_14_10_20'!R:R,"*M*")))</f>
        <v/>
      </c>
      <c r="T28" s="1" t="str">
        <f>IF(SUM(COUNTIFS('10_14_10_20'!E:E,'10_14_10_20 Acc Rate'!C28,'10_14_10_20'!P:P,"*E*"),COUNTIFS('10_14_10_20'!E:E,'10_14_10_20 Acc Rate'!C28,'10_14_10_20'!S:S,"*E*"))=0,"",SUM(COUNTIFS('10_14_10_20'!E:E,'10_14_10_20 Acc Rate'!C28,'10_14_10_20'!P:P,"*E*"),COUNTIFS('10_14_10_20'!E:E,'10_14_10_20 Acc Rate'!C28,'10_14_10_20'!S:S,"*E*")))</f>
        <v/>
      </c>
      <c r="U28" s="8" t="str">
        <f t="shared" si="1"/>
        <v/>
      </c>
    </row>
    <row r="29" spans="2:21" s="1" customFormat="1" ht="15" customHeight="1" x14ac:dyDescent="0.25">
      <c r="B29" s="1" t="s">
        <v>626</v>
      </c>
      <c r="C29" s="1" t="s">
        <v>362</v>
      </c>
      <c r="D29" s="1" t="s">
        <v>409</v>
      </c>
      <c r="E29"/>
      <c r="F29" t="s">
        <v>627</v>
      </c>
      <c r="G29" t="s">
        <v>628</v>
      </c>
      <c r="H29" t="s">
        <v>583</v>
      </c>
      <c r="I29" t="s">
        <v>629</v>
      </c>
      <c r="J29" t="s">
        <v>614</v>
      </c>
      <c r="K29" t="s">
        <v>606</v>
      </c>
      <c r="L29"/>
      <c r="M29">
        <v>1</v>
      </c>
      <c r="N29"/>
      <c r="O29"/>
      <c r="P29"/>
      <c r="Q29" s="7"/>
      <c r="R29" s="27" t="str">
        <f t="shared" si="0"/>
        <v/>
      </c>
      <c r="S29" s="27" t="str">
        <f>IF(SUM(COUNTIFS('10_14_10_20'!E:E,'10_14_10_20 Acc Rate'!C29,'10_14_10_20'!O:O,"*M*"),COUNTIFS('10_14_10_20'!E:E,'10_14_10_20 Acc Rate'!C29,'10_14_10_20'!R:R,"*M*"))=0,"",SUM(COUNTIFS('10_14_10_20'!E:E,'10_14_10_20 Acc Rate'!C29,'10_14_10_20'!O:O,"*M*"),COUNTIFS('10_14_10_20'!E:E,'10_14_10_20 Acc Rate'!C29,'10_14_10_20'!R:R,"*M*")))</f>
        <v/>
      </c>
      <c r="T29" s="1" t="str">
        <f>IF(SUM(COUNTIFS('10_14_10_20'!E:E,'10_14_10_20 Acc Rate'!C29,'10_14_10_20'!P:P,"*E*"),COUNTIFS('10_14_10_20'!E:E,'10_14_10_20 Acc Rate'!C29,'10_14_10_20'!S:S,"*E*"))=0,"",SUM(COUNTIFS('10_14_10_20'!E:E,'10_14_10_20 Acc Rate'!C29,'10_14_10_20'!P:P,"*E*"),COUNTIFS('10_14_10_20'!E:E,'10_14_10_20 Acc Rate'!C29,'10_14_10_20'!S:S,"*E*")))</f>
        <v/>
      </c>
      <c r="U29" s="9" t="str">
        <f t="shared" si="1"/>
        <v/>
      </c>
    </row>
    <row r="30" spans="2:21" s="1" customFormat="1" ht="15" customHeight="1" x14ac:dyDescent="0.25">
      <c r="B30" s="1" t="s">
        <v>630</v>
      </c>
      <c r="C30" s="1" t="s">
        <v>425</v>
      </c>
      <c r="D30" s="1" t="s">
        <v>426</v>
      </c>
      <c r="E30"/>
      <c r="F30" t="s">
        <v>631</v>
      </c>
      <c r="G30" t="s">
        <v>632</v>
      </c>
      <c r="H30" t="s">
        <v>583</v>
      </c>
      <c r="I30" t="s">
        <v>633</v>
      </c>
      <c r="J30" t="s">
        <v>614</v>
      </c>
      <c r="K30" t="s">
        <v>606</v>
      </c>
      <c r="L30"/>
      <c r="M30">
        <v>15</v>
      </c>
      <c r="N30"/>
      <c r="O30"/>
      <c r="P30"/>
      <c r="Q30" s="7">
        <v>9</v>
      </c>
      <c r="R30" s="27">
        <f t="shared" si="0"/>
        <v>9</v>
      </c>
      <c r="S30" s="27" t="str">
        <f>IF(SUM(COUNTIFS('10_14_10_20'!E:E,'10_14_10_20 Acc Rate'!C30,'10_14_10_20'!O:O,"*M*"),COUNTIFS('10_14_10_20'!E:E,'10_14_10_20 Acc Rate'!C30,'10_14_10_20'!R:R,"*M*"))=0,"",SUM(COUNTIFS('10_14_10_20'!E:E,'10_14_10_20 Acc Rate'!C30,'10_14_10_20'!O:O,"*M*"),COUNTIFS('10_14_10_20'!E:E,'10_14_10_20 Acc Rate'!C30,'10_14_10_20'!R:R,"*M*")))</f>
        <v/>
      </c>
      <c r="T30" s="1" t="str">
        <f>IF(SUM(COUNTIFS('10_14_10_20'!E:E,'10_14_10_20 Acc Rate'!C30,'10_14_10_20'!P:P,"*E*"),COUNTIFS('10_14_10_20'!E:E,'10_14_10_20 Acc Rate'!C30,'10_14_10_20'!S:S,"*E*"))=0,"",SUM(COUNTIFS('10_14_10_20'!E:E,'10_14_10_20 Acc Rate'!C30,'10_14_10_20'!P:P,"*E*"),COUNTIFS('10_14_10_20'!E:E,'10_14_10_20 Acc Rate'!C30,'10_14_10_20'!S:S,"*E*")))</f>
        <v/>
      </c>
      <c r="U30" s="9">
        <f t="shared" si="1"/>
        <v>0</v>
      </c>
    </row>
    <row r="31" spans="2:21" s="1" customFormat="1" ht="15" customHeight="1" x14ac:dyDescent="0.25">
      <c r="B31" s="1" t="s">
        <v>634</v>
      </c>
      <c r="C31" s="1" t="s">
        <v>635</v>
      </c>
      <c r="D31" s="1" t="s">
        <v>636</v>
      </c>
      <c r="E31"/>
      <c r="F31" t="s">
        <v>21</v>
      </c>
      <c r="G31" t="s">
        <v>637</v>
      </c>
      <c r="H31" t="s">
        <v>583</v>
      </c>
      <c r="I31" t="s">
        <v>638</v>
      </c>
      <c r="J31" t="s">
        <v>607</v>
      </c>
      <c r="K31"/>
      <c r="L31"/>
      <c r="M31">
        <v>1</v>
      </c>
      <c r="N31"/>
      <c r="O31"/>
      <c r="P31"/>
      <c r="Q31" s="7"/>
      <c r="R31" s="27" t="str">
        <f t="shared" si="0"/>
        <v/>
      </c>
      <c r="S31" s="27" t="str">
        <f>IF(SUM(COUNTIFS('10_14_10_20'!E:E,'10_14_10_20 Acc Rate'!C31,'10_14_10_20'!O:O,"*M*"),COUNTIFS('10_14_10_20'!E:E,'10_14_10_20 Acc Rate'!C31,'10_14_10_20'!R:R,"*M*"))=0,"",SUM(COUNTIFS('10_14_10_20'!E:E,'10_14_10_20 Acc Rate'!C31,'10_14_10_20'!O:O,"*M*"),COUNTIFS('10_14_10_20'!E:E,'10_14_10_20 Acc Rate'!C31,'10_14_10_20'!R:R,"*M*")))</f>
        <v/>
      </c>
      <c r="T31" s="1" t="str">
        <f>IF(SUM(COUNTIFS('10_14_10_20'!E:E,'10_14_10_20 Acc Rate'!C31,'10_14_10_20'!P:P,"*E*"),COUNTIFS('10_14_10_20'!E:E,'10_14_10_20 Acc Rate'!C31,'10_14_10_20'!S:S,"*E*"))=0,"",SUM(COUNTIFS('10_14_10_20'!E:E,'10_14_10_20 Acc Rate'!C31,'10_14_10_20'!P:P,"*E*"),COUNTIFS('10_14_10_20'!E:E,'10_14_10_20 Acc Rate'!C31,'10_14_10_20'!S:S,"*E*")))</f>
        <v/>
      </c>
      <c r="U31" s="9" t="str">
        <f t="shared" si="1"/>
        <v/>
      </c>
    </row>
    <row r="32" spans="2:21" ht="15" customHeight="1" x14ac:dyDescent="0.25">
      <c r="B32" s="1" t="s">
        <v>639</v>
      </c>
      <c r="C32" s="1" t="s">
        <v>635</v>
      </c>
      <c r="D32" s="1" t="s">
        <v>640</v>
      </c>
      <c r="E32"/>
      <c r="F32" t="s">
        <v>641</v>
      </c>
      <c r="G32" t="s">
        <v>642</v>
      </c>
      <c r="H32" t="s">
        <v>583</v>
      </c>
      <c r="I32" t="s">
        <v>643</v>
      </c>
      <c r="J32" t="s">
        <v>607</v>
      </c>
      <c r="K32"/>
      <c r="L32"/>
      <c r="M32">
        <v>1</v>
      </c>
      <c r="N32"/>
      <c r="O32"/>
      <c r="P32"/>
      <c r="Q32" s="7"/>
      <c r="R32" s="27" t="str">
        <f t="shared" si="0"/>
        <v/>
      </c>
      <c r="S32" s="27" t="str">
        <f>IF(SUM(COUNTIFS('10_14_10_20'!E:E,'10_14_10_20 Acc Rate'!C32,'10_14_10_20'!O:O,"*M*"),COUNTIFS('10_14_10_20'!E:E,'10_14_10_20 Acc Rate'!C32,'10_14_10_20'!R:R,"*M*"))=0,"",SUM(COUNTIFS('10_14_10_20'!E:E,'10_14_10_20 Acc Rate'!C32,'10_14_10_20'!O:O,"*M*"),COUNTIFS('10_14_10_20'!E:E,'10_14_10_20 Acc Rate'!C32,'10_14_10_20'!R:R,"*M*")))</f>
        <v/>
      </c>
      <c r="T32" s="1" t="str">
        <f>IF(SUM(COUNTIFS('10_14_10_20'!E:E,'10_14_10_20 Acc Rate'!C32,'10_14_10_20'!P:P,"*E*"),COUNTIFS('10_14_10_20'!E:E,'10_14_10_20 Acc Rate'!C32,'10_14_10_20'!S:S,"*E*"))=0,"",SUM(COUNTIFS('10_14_10_20'!E:E,'10_14_10_20 Acc Rate'!C32,'10_14_10_20'!P:P,"*E*"),COUNTIFS('10_14_10_20'!E:E,'10_14_10_20 Acc Rate'!C32,'10_14_10_20'!S:S,"*E*")))</f>
        <v/>
      </c>
      <c r="U32" s="8" t="str">
        <f t="shared" si="1"/>
        <v/>
      </c>
    </row>
    <row r="33" spans="2:21" ht="15" customHeight="1" x14ac:dyDescent="0.25">
      <c r="B33" s="1" t="s">
        <v>644</v>
      </c>
      <c r="C33" s="1" t="s">
        <v>162</v>
      </c>
      <c r="D33" s="1" t="s">
        <v>163</v>
      </c>
      <c r="E33"/>
      <c r="F33" t="s">
        <v>645</v>
      </c>
      <c r="G33" t="s">
        <v>646</v>
      </c>
      <c r="H33" t="s">
        <v>583</v>
      </c>
      <c r="I33" t="s">
        <v>647</v>
      </c>
      <c r="J33" t="s">
        <v>648</v>
      </c>
      <c r="K33" t="s">
        <v>643</v>
      </c>
      <c r="L33"/>
      <c r="M33">
        <v>1</v>
      </c>
      <c r="N33"/>
      <c r="O33"/>
      <c r="P33"/>
      <c r="Q33" s="7">
        <v>1</v>
      </c>
      <c r="R33" s="27">
        <f t="shared" si="0"/>
        <v>1</v>
      </c>
      <c r="S33" s="27" t="str">
        <f>IF(SUM(COUNTIFS('10_14_10_20'!E:E,'10_14_10_20 Acc Rate'!C33,'10_14_10_20'!O:O,"*M*"),COUNTIFS('10_14_10_20'!E:E,'10_14_10_20 Acc Rate'!C33,'10_14_10_20'!R:R,"*M*"))=0,"",SUM(COUNTIFS('10_14_10_20'!E:E,'10_14_10_20 Acc Rate'!C33,'10_14_10_20'!O:O,"*M*"),COUNTIFS('10_14_10_20'!E:E,'10_14_10_20 Acc Rate'!C33,'10_14_10_20'!R:R,"*M*")))</f>
        <v/>
      </c>
      <c r="T33" s="1" t="str">
        <f>IF(SUM(COUNTIFS('10_14_10_20'!E:E,'10_14_10_20 Acc Rate'!C33,'10_14_10_20'!P:P,"*E*"),COUNTIFS('10_14_10_20'!E:E,'10_14_10_20 Acc Rate'!C33,'10_14_10_20'!S:S,"*E*"))=0,"",SUM(COUNTIFS('10_14_10_20'!E:E,'10_14_10_20 Acc Rate'!C33,'10_14_10_20'!P:P,"*E*"),COUNTIFS('10_14_10_20'!E:E,'10_14_10_20 Acc Rate'!C33,'10_14_10_20'!S:S,"*E*")))</f>
        <v/>
      </c>
      <c r="U33" s="8">
        <f t="shared" si="1"/>
        <v>0</v>
      </c>
    </row>
    <row r="34" spans="2:21" ht="15" customHeight="1" x14ac:dyDescent="0.25">
      <c r="B34" s="1" t="s">
        <v>649</v>
      </c>
      <c r="C34" s="1" t="s">
        <v>264</v>
      </c>
      <c r="D34" s="1" t="s">
        <v>650</v>
      </c>
      <c r="E34"/>
      <c r="F34" t="s">
        <v>651</v>
      </c>
      <c r="G34" t="s">
        <v>652</v>
      </c>
      <c r="H34" t="s">
        <v>583</v>
      </c>
      <c r="I34" t="s">
        <v>653</v>
      </c>
      <c r="J34" t="s">
        <v>648</v>
      </c>
      <c r="K34" t="s">
        <v>643</v>
      </c>
      <c r="L34"/>
      <c r="M34">
        <v>1</v>
      </c>
      <c r="N34"/>
      <c r="O34"/>
      <c r="P34"/>
      <c r="Q34" s="7"/>
      <c r="R34" s="27" t="str">
        <f t="shared" si="0"/>
        <v/>
      </c>
      <c r="S34" s="27" t="str">
        <f>IF(SUM(COUNTIFS('10_14_10_20'!E:E,'10_14_10_20 Acc Rate'!C34,'10_14_10_20'!O:O,"*M*"),COUNTIFS('10_14_10_20'!E:E,'10_14_10_20 Acc Rate'!C34,'10_14_10_20'!R:R,"*M*"))=0,"",SUM(COUNTIFS('10_14_10_20'!E:E,'10_14_10_20 Acc Rate'!C34,'10_14_10_20'!O:O,"*M*"),COUNTIFS('10_14_10_20'!E:E,'10_14_10_20 Acc Rate'!C34,'10_14_10_20'!R:R,"*M*")))</f>
        <v/>
      </c>
      <c r="T34" s="1" t="str">
        <f>IF(SUM(COUNTIFS('10_14_10_20'!E:E,'10_14_10_20 Acc Rate'!C34,'10_14_10_20'!P:P,"*E*"),COUNTIFS('10_14_10_20'!E:E,'10_14_10_20 Acc Rate'!C34,'10_14_10_20'!S:S,"*E*"))=0,"",SUM(COUNTIFS('10_14_10_20'!E:E,'10_14_10_20 Acc Rate'!C34,'10_14_10_20'!P:P,"*E*"),COUNTIFS('10_14_10_20'!E:E,'10_14_10_20 Acc Rate'!C34,'10_14_10_20'!S:S,"*E*")))</f>
        <v/>
      </c>
      <c r="U34" s="8" t="str">
        <f t="shared" si="1"/>
        <v/>
      </c>
    </row>
    <row r="35" spans="2:21" ht="15" customHeight="1" x14ac:dyDescent="0.25">
      <c r="B35" s="1" t="s">
        <v>654</v>
      </c>
      <c r="C35" s="1" t="s">
        <v>417</v>
      </c>
      <c r="D35" s="1" t="s">
        <v>418</v>
      </c>
      <c r="E35"/>
      <c r="F35" t="s">
        <v>655</v>
      </c>
      <c r="G35" t="s">
        <v>656</v>
      </c>
      <c r="H35" t="s">
        <v>583</v>
      </c>
      <c r="I35" t="s">
        <v>657</v>
      </c>
      <c r="J35" t="s">
        <v>648</v>
      </c>
      <c r="K35" t="s">
        <v>643</v>
      </c>
      <c r="L35"/>
      <c r="M35">
        <v>1</v>
      </c>
      <c r="N35"/>
      <c r="O35"/>
      <c r="P35"/>
      <c r="Q35" s="7">
        <v>3</v>
      </c>
      <c r="R35" s="27">
        <f t="shared" si="0"/>
        <v>3</v>
      </c>
      <c r="S35" s="27" t="str">
        <f>IF(SUM(COUNTIFS('10_14_10_20'!E:E,'10_14_10_20 Acc Rate'!C35,'10_14_10_20'!O:O,"*M*"),COUNTIFS('10_14_10_20'!E:E,'10_14_10_20 Acc Rate'!C35,'10_14_10_20'!R:R,"*M*"))=0,"",SUM(COUNTIFS('10_14_10_20'!E:E,'10_14_10_20 Acc Rate'!C35,'10_14_10_20'!O:O,"*M*"),COUNTIFS('10_14_10_20'!E:E,'10_14_10_20 Acc Rate'!C35,'10_14_10_20'!R:R,"*M*")))</f>
        <v/>
      </c>
      <c r="T35" s="1" t="str">
        <f>IF(SUM(COUNTIFS('10_14_10_20'!E:E,'10_14_10_20 Acc Rate'!C35,'10_14_10_20'!P:P,"*E*"),COUNTIFS('10_14_10_20'!E:E,'10_14_10_20 Acc Rate'!C35,'10_14_10_20'!S:S,"*E*"))=0,"",SUM(COUNTIFS('10_14_10_20'!E:E,'10_14_10_20 Acc Rate'!C35,'10_14_10_20'!P:P,"*E*"),COUNTIFS('10_14_10_20'!E:E,'10_14_10_20 Acc Rate'!C35,'10_14_10_20'!S:S,"*E*")))</f>
        <v/>
      </c>
      <c r="U35" s="8">
        <f t="shared" si="1"/>
        <v>0</v>
      </c>
    </row>
    <row r="36" spans="2:21" ht="15" customHeight="1" x14ac:dyDescent="0.25">
      <c r="B36" s="1" t="s">
        <v>658</v>
      </c>
      <c r="C36" s="1" t="s">
        <v>659</v>
      </c>
      <c r="D36" s="1" t="s">
        <v>660</v>
      </c>
      <c r="E36"/>
      <c r="F36" t="s">
        <v>661</v>
      </c>
      <c r="G36" t="s">
        <v>662</v>
      </c>
      <c r="H36" t="s">
        <v>583</v>
      </c>
      <c r="I36" t="s">
        <v>663</v>
      </c>
      <c r="J36" t="s">
        <v>607</v>
      </c>
      <c r="K36"/>
      <c r="L36"/>
      <c r="M36">
        <v>1</v>
      </c>
      <c r="N36"/>
      <c r="O36"/>
      <c r="P36"/>
      <c r="Q36" s="7">
        <v>2</v>
      </c>
      <c r="R36" s="27">
        <f t="shared" si="0"/>
        <v>2</v>
      </c>
      <c r="S36" s="27" t="str">
        <f>IF(SUM(COUNTIFS('10_14_10_20'!E:E,'10_14_10_20 Acc Rate'!C36,'10_14_10_20'!O:O,"*M*"),COUNTIFS('10_14_10_20'!E:E,'10_14_10_20 Acc Rate'!C36,'10_14_10_20'!R:R,"*M*"))=0,"",SUM(COUNTIFS('10_14_10_20'!E:E,'10_14_10_20 Acc Rate'!C36,'10_14_10_20'!O:O,"*M*"),COUNTIFS('10_14_10_20'!E:E,'10_14_10_20 Acc Rate'!C36,'10_14_10_20'!R:R,"*M*")))</f>
        <v/>
      </c>
      <c r="T36" s="1" t="str">
        <f>IF(SUM(COUNTIFS('10_14_10_20'!E:E,'10_14_10_20 Acc Rate'!C36,'10_14_10_20'!P:P,"*E*"),COUNTIFS('10_14_10_20'!E:E,'10_14_10_20 Acc Rate'!C36,'10_14_10_20'!S:S,"*E*"))=0,"",SUM(COUNTIFS('10_14_10_20'!E:E,'10_14_10_20 Acc Rate'!C36,'10_14_10_20'!P:P,"*E*"),COUNTIFS('10_14_10_20'!E:E,'10_14_10_20 Acc Rate'!C36,'10_14_10_20'!S:S,"*E*")))</f>
        <v/>
      </c>
      <c r="U36" s="8">
        <f t="shared" si="1"/>
        <v>0</v>
      </c>
    </row>
    <row r="37" spans="2:21" ht="15" customHeight="1" x14ac:dyDescent="0.25">
      <c r="B37" s="1" t="s">
        <v>664</v>
      </c>
      <c r="C37" s="1" t="s">
        <v>155</v>
      </c>
      <c r="D37" s="1" t="s">
        <v>156</v>
      </c>
      <c r="E37"/>
      <c r="F37" t="s">
        <v>550</v>
      </c>
      <c r="G37" t="s">
        <v>665</v>
      </c>
      <c r="H37" t="s">
        <v>583</v>
      </c>
      <c r="I37" t="s">
        <v>666</v>
      </c>
      <c r="J37" t="s">
        <v>667</v>
      </c>
      <c r="K37" t="s">
        <v>663</v>
      </c>
      <c r="L37"/>
      <c r="M37">
        <v>1</v>
      </c>
      <c r="N37"/>
      <c r="O37"/>
      <c r="P37"/>
      <c r="Q37" s="7"/>
      <c r="R37" s="27" t="str">
        <f t="shared" si="0"/>
        <v/>
      </c>
      <c r="S37" s="27" t="str">
        <f>IF(SUM(COUNTIFS('10_14_10_20'!E:E,'10_14_10_20 Acc Rate'!C37,'10_14_10_20'!O:O,"*M*"),COUNTIFS('10_14_10_20'!E:E,'10_14_10_20 Acc Rate'!C37,'10_14_10_20'!R:R,"*M*"))=0,"",SUM(COUNTIFS('10_14_10_20'!E:E,'10_14_10_20 Acc Rate'!C37,'10_14_10_20'!O:O,"*M*"),COUNTIFS('10_14_10_20'!E:E,'10_14_10_20 Acc Rate'!C37,'10_14_10_20'!R:R,"*M*")))</f>
        <v/>
      </c>
      <c r="T37" s="1" t="str">
        <f>IF(SUM(COUNTIFS('10_14_10_20'!E:E,'10_14_10_20 Acc Rate'!C37,'10_14_10_20'!P:P,"*E*"),COUNTIFS('10_14_10_20'!E:E,'10_14_10_20 Acc Rate'!C37,'10_14_10_20'!S:S,"*E*"))=0,"",SUM(COUNTIFS('10_14_10_20'!E:E,'10_14_10_20 Acc Rate'!C37,'10_14_10_20'!P:P,"*E*"),COUNTIFS('10_14_10_20'!E:E,'10_14_10_20 Acc Rate'!C37,'10_14_10_20'!S:S,"*E*")))</f>
        <v/>
      </c>
      <c r="U37" s="8" t="str">
        <f t="shared" si="1"/>
        <v/>
      </c>
    </row>
    <row r="38" spans="2:21" ht="15" customHeight="1" x14ac:dyDescent="0.25">
      <c r="B38" s="1" t="s">
        <v>668</v>
      </c>
      <c r="C38" s="1" t="s">
        <v>669</v>
      </c>
      <c r="D38" s="1" t="s">
        <v>670</v>
      </c>
      <c r="E38"/>
      <c r="F38" t="s">
        <v>671</v>
      </c>
      <c r="G38" t="s">
        <v>672</v>
      </c>
      <c r="H38" t="s">
        <v>583</v>
      </c>
      <c r="I38" t="s">
        <v>673</v>
      </c>
      <c r="J38" t="s">
        <v>667</v>
      </c>
      <c r="K38" t="s">
        <v>663</v>
      </c>
      <c r="L38"/>
      <c r="M38">
        <v>1</v>
      </c>
      <c r="N38"/>
      <c r="O38"/>
      <c r="P38"/>
      <c r="Q38" s="7">
        <v>1</v>
      </c>
      <c r="R38" s="27">
        <f t="shared" si="0"/>
        <v>1</v>
      </c>
      <c r="S38" s="27" t="str">
        <f>IF(SUM(COUNTIFS('10_14_10_20'!E:E,'10_14_10_20 Acc Rate'!C38,'10_14_10_20'!O:O,"*M*"),COUNTIFS('10_14_10_20'!E:E,'10_14_10_20 Acc Rate'!C38,'10_14_10_20'!R:R,"*M*"))=0,"",SUM(COUNTIFS('10_14_10_20'!E:E,'10_14_10_20 Acc Rate'!C38,'10_14_10_20'!O:O,"*M*"),COUNTIFS('10_14_10_20'!E:E,'10_14_10_20 Acc Rate'!C38,'10_14_10_20'!R:R,"*M*")))</f>
        <v/>
      </c>
      <c r="T38" s="1" t="str">
        <f>IF(SUM(COUNTIFS('10_14_10_20'!E:E,'10_14_10_20 Acc Rate'!C38,'10_14_10_20'!P:P,"*E*"),COUNTIFS('10_14_10_20'!E:E,'10_14_10_20 Acc Rate'!C38,'10_14_10_20'!S:S,"*E*"))=0,"",SUM(COUNTIFS('10_14_10_20'!E:E,'10_14_10_20 Acc Rate'!C38,'10_14_10_20'!P:P,"*E*"),COUNTIFS('10_14_10_20'!E:E,'10_14_10_20 Acc Rate'!C38,'10_14_10_20'!S:S,"*E*")))</f>
        <v/>
      </c>
      <c r="U38" s="8">
        <f t="shared" si="1"/>
        <v>0</v>
      </c>
    </row>
    <row r="39" spans="2:21" ht="15" customHeight="1" x14ac:dyDescent="0.25">
      <c r="B39" s="1" t="s">
        <v>674</v>
      </c>
      <c r="C39" s="1" t="s">
        <v>411</v>
      </c>
      <c r="D39" s="1" t="s">
        <v>412</v>
      </c>
      <c r="E39"/>
      <c r="F39" t="s">
        <v>675</v>
      </c>
      <c r="G39" t="s">
        <v>676</v>
      </c>
      <c r="H39" t="s">
        <v>583</v>
      </c>
      <c r="I39" t="s">
        <v>677</v>
      </c>
      <c r="J39" t="s">
        <v>667</v>
      </c>
      <c r="K39" t="s">
        <v>663</v>
      </c>
      <c r="L39"/>
      <c r="M39">
        <v>1</v>
      </c>
      <c r="N39"/>
      <c r="O39"/>
      <c r="P39"/>
      <c r="Q39" s="7">
        <v>3</v>
      </c>
      <c r="R39" s="27">
        <f t="shared" si="0"/>
        <v>3</v>
      </c>
      <c r="S39" s="27" t="str">
        <f>IF(SUM(COUNTIFS('10_14_10_20'!E:E,'10_14_10_20 Acc Rate'!C39,'10_14_10_20'!O:O,"*M*"),COUNTIFS('10_14_10_20'!E:E,'10_14_10_20 Acc Rate'!C39,'10_14_10_20'!R:R,"*M*"))=0,"",SUM(COUNTIFS('10_14_10_20'!E:E,'10_14_10_20 Acc Rate'!C39,'10_14_10_20'!O:O,"*M*"),COUNTIFS('10_14_10_20'!E:E,'10_14_10_20 Acc Rate'!C39,'10_14_10_20'!R:R,"*M*")))</f>
        <v/>
      </c>
      <c r="T39" s="1" t="str">
        <f>IF(SUM(COUNTIFS('10_14_10_20'!E:E,'10_14_10_20 Acc Rate'!C39,'10_14_10_20'!P:P,"*E*"),COUNTIFS('10_14_10_20'!E:E,'10_14_10_20 Acc Rate'!C39,'10_14_10_20'!S:S,"*E*"))=0,"",SUM(COUNTIFS('10_14_10_20'!E:E,'10_14_10_20 Acc Rate'!C39,'10_14_10_20'!P:P,"*E*"),COUNTIFS('10_14_10_20'!E:E,'10_14_10_20 Acc Rate'!C39,'10_14_10_20'!S:S,"*E*")))</f>
        <v/>
      </c>
      <c r="U39" s="8">
        <f t="shared" si="1"/>
        <v>0</v>
      </c>
    </row>
    <row r="40" spans="2:21" ht="15" customHeight="1" x14ac:dyDescent="0.25">
      <c r="B40" s="1" t="s">
        <v>678</v>
      </c>
      <c r="C40" s="1" t="s">
        <v>679</v>
      </c>
      <c r="D40" s="1" t="s">
        <v>680</v>
      </c>
      <c r="E40"/>
      <c r="F40" t="s">
        <v>681</v>
      </c>
      <c r="G40" t="s">
        <v>682</v>
      </c>
      <c r="H40" t="s">
        <v>583</v>
      </c>
      <c r="I40" t="s">
        <v>683</v>
      </c>
      <c r="J40" t="s">
        <v>607</v>
      </c>
      <c r="K40"/>
      <c r="L40"/>
      <c r="M40">
        <v>1</v>
      </c>
      <c r="N40"/>
      <c r="O40"/>
      <c r="P40"/>
      <c r="Q40" s="7"/>
      <c r="R40" s="27" t="str">
        <f t="shared" si="0"/>
        <v/>
      </c>
      <c r="S40" s="27" t="str">
        <f>IF(SUM(COUNTIFS('10_14_10_20'!E:E,'10_14_10_20 Acc Rate'!C40,'10_14_10_20'!O:O,"*M*"),COUNTIFS('10_14_10_20'!E:E,'10_14_10_20 Acc Rate'!C40,'10_14_10_20'!R:R,"*M*"))=0,"",SUM(COUNTIFS('10_14_10_20'!E:E,'10_14_10_20 Acc Rate'!C40,'10_14_10_20'!O:O,"*M*"),COUNTIFS('10_14_10_20'!E:E,'10_14_10_20 Acc Rate'!C40,'10_14_10_20'!R:R,"*M*")))</f>
        <v/>
      </c>
      <c r="T40" s="1" t="str">
        <f>IF(SUM(COUNTIFS('10_14_10_20'!E:E,'10_14_10_20 Acc Rate'!C40,'10_14_10_20'!P:P,"*E*"),COUNTIFS('10_14_10_20'!E:E,'10_14_10_20 Acc Rate'!C40,'10_14_10_20'!S:S,"*E*"))=0,"",SUM(COUNTIFS('10_14_10_20'!E:E,'10_14_10_20 Acc Rate'!C40,'10_14_10_20'!P:P,"*E*"),COUNTIFS('10_14_10_20'!E:E,'10_14_10_20 Acc Rate'!C40,'10_14_10_20'!S:S,"*E*")))</f>
        <v/>
      </c>
      <c r="U40" s="8" t="str">
        <f t="shared" si="1"/>
        <v/>
      </c>
    </row>
    <row r="41" spans="2:21" ht="15" customHeight="1" x14ac:dyDescent="0.25">
      <c r="B41" s="1" t="s">
        <v>684</v>
      </c>
      <c r="C41" s="1" t="s">
        <v>84</v>
      </c>
      <c r="D41" s="1" t="s">
        <v>273</v>
      </c>
      <c r="E41"/>
      <c r="F41" t="s">
        <v>685</v>
      </c>
      <c r="G41" t="s">
        <v>686</v>
      </c>
      <c r="H41" t="s">
        <v>583</v>
      </c>
      <c r="I41" t="s">
        <v>687</v>
      </c>
      <c r="J41" t="s">
        <v>688</v>
      </c>
      <c r="K41" t="s">
        <v>683</v>
      </c>
      <c r="L41"/>
      <c r="M41">
        <v>1</v>
      </c>
      <c r="N41"/>
      <c r="O41"/>
      <c r="P41"/>
      <c r="Q41" s="7"/>
      <c r="R41" s="27" t="str">
        <f t="shared" si="0"/>
        <v/>
      </c>
      <c r="S41" s="27" t="str">
        <f>IF(SUM(COUNTIFS('10_14_10_20'!E:E,'10_14_10_20 Acc Rate'!C41,'10_14_10_20'!O:O,"*M*"),COUNTIFS('10_14_10_20'!E:E,'10_14_10_20 Acc Rate'!C41,'10_14_10_20'!R:R,"*M*"))=0,"",SUM(COUNTIFS('10_14_10_20'!E:E,'10_14_10_20 Acc Rate'!C41,'10_14_10_20'!O:O,"*M*"),COUNTIFS('10_14_10_20'!E:E,'10_14_10_20 Acc Rate'!C41,'10_14_10_20'!R:R,"*M*")))</f>
        <v/>
      </c>
      <c r="T41" s="1" t="str">
        <f>IF(SUM(COUNTIFS('10_14_10_20'!E:E,'10_14_10_20 Acc Rate'!C41,'10_14_10_20'!P:P,"*E*"),COUNTIFS('10_14_10_20'!E:E,'10_14_10_20 Acc Rate'!C41,'10_14_10_20'!S:S,"*E*"))=0,"",SUM(COUNTIFS('10_14_10_20'!E:E,'10_14_10_20 Acc Rate'!C41,'10_14_10_20'!P:P,"*E*"),COUNTIFS('10_14_10_20'!E:E,'10_14_10_20 Acc Rate'!C41,'10_14_10_20'!S:S,"*E*")))</f>
        <v/>
      </c>
      <c r="U41" s="8" t="str">
        <f t="shared" si="1"/>
        <v/>
      </c>
    </row>
    <row r="42" spans="2:21" ht="15" customHeight="1" x14ac:dyDescent="0.25">
      <c r="B42" s="1" t="s">
        <v>689</v>
      </c>
      <c r="C42" s="1" t="s">
        <v>690</v>
      </c>
      <c r="D42" s="1" t="s">
        <v>691</v>
      </c>
      <c r="E42"/>
      <c r="F42" t="s">
        <v>692</v>
      </c>
      <c r="G42" t="s">
        <v>693</v>
      </c>
      <c r="H42" t="s">
        <v>583</v>
      </c>
      <c r="I42" t="s">
        <v>694</v>
      </c>
      <c r="J42" t="s">
        <v>688</v>
      </c>
      <c r="K42" t="s">
        <v>683</v>
      </c>
      <c r="L42"/>
      <c r="M42">
        <v>1</v>
      </c>
      <c r="N42"/>
      <c r="O42"/>
      <c r="P42"/>
      <c r="Q42" s="7"/>
      <c r="R42" s="27" t="str">
        <f t="shared" si="0"/>
        <v/>
      </c>
      <c r="S42" s="27" t="str">
        <f>IF(SUM(COUNTIFS('10_14_10_20'!E:E,'10_14_10_20 Acc Rate'!C42,'10_14_10_20'!O:O,"*M*"),COUNTIFS('10_14_10_20'!E:E,'10_14_10_20 Acc Rate'!C42,'10_14_10_20'!R:R,"*M*"))=0,"",SUM(COUNTIFS('10_14_10_20'!E:E,'10_14_10_20 Acc Rate'!C42,'10_14_10_20'!O:O,"*M*"),COUNTIFS('10_14_10_20'!E:E,'10_14_10_20 Acc Rate'!C42,'10_14_10_20'!R:R,"*M*")))</f>
        <v/>
      </c>
      <c r="T42" s="1" t="str">
        <f>IF(SUM(COUNTIFS('10_14_10_20'!E:E,'10_14_10_20 Acc Rate'!C42,'10_14_10_20'!P:P,"*E*"),COUNTIFS('10_14_10_20'!E:E,'10_14_10_20 Acc Rate'!C42,'10_14_10_20'!S:S,"*E*"))=0,"",SUM(COUNTIFS('10_14_10_20'!E:E,'10_14_10_20 Acc Rate'!C42,'10_14_10_20'!P:P,"*E*"),COUNTIFS('10_14_10_20'!E:E,'10_14_10_20 Acc Rate'!C42,'10_14_10_20'!S:S,"*E*")))</f>
        <v/>
      </c>
      <c r="U42" s="8" t="str">
        <f t="shared" si="1"/>
        <v/>
      </c>
    </row>
    <row r="43" spans="2:21" ht="15" customHeight="1" x14ac:dyDescent="0.25">
      <c r="B43" s="1" t="s">
        <v>695</v>
      </c>
      <c r="C43" s="1" t="s">
        <v>696</v>
      </c>
      <c r="D43" s="1" t="s">
        <v>697</v>
      </c>
      <c r="E43"/>
      <c r="F43" t="s">
        <v>698</v>
      </c>
      <c r="G43" t="s">
        <v>699</v>
      </c>
      <c r="H43" t="s">
        <v>583</v>
      </c>
      <c r="I43" t="s">
        <v>700</v>
      </c>
      <c r="J43" t="s">
        <v>607</v>
      </c>
      <c r="K43"/>
      <c r="L43"/>
      <c r="M43">
        <v>1</v>
      </c>
      <c r="N43"/>
      <c r="O43"/>
      <c r="P43"/>
      <c r="Q43" s="7">
        <v>1</v>
      </c>
      <c r="R43" s="27">
        <f t="shared" si="0"/>
        <v>1</v>
      </c>
      <c r="S43" s="27" t="str">
        <f>IF(SUM(COUNTIFS('10_14_10_20'!E:E,'10_14_10_20 Acc Rate'!C43,'10_14_10_20'!O:O,"*M*"),COUNTIFS('10_14_10_20'!E:E,'10_14_10_20 Acc Rate'!C43,'10_14_10_20'!R:R,"*M*"))=0,"",SUM(COUNTIFS('10_14_10_20'!E:E,'10_14_10_20 Acc Rate'!C43,'10_14_10_20'!O:O,"*M*"),COUNTIFS('10_14_10_20'!E:E,'10_14_10_20 Acc Rate'!C43,'10_14_10_20'!R:R,"*M*")))</f>
        <v/>
      </c>
      <c r="T43" s="1" t="str">
        <f>IF(SUM(COUNTIFS('10_14_10_20'!E:E,'10_14_10_20 Acc Rate'!C43,'10_14_10_20'!P:P,"*E*"),COUNTIFS('10_14_10_20'!E:E,'10_14_10_20 Acc Rate'!C43,'10_14_10_20'!S:S,"*E*"))=0,"",SUM(COUNTIFS('10_14_10_20'!E:E,'10_14_10_20 Acc Rate'!C43,'10_14_10_20'!P:P,"*E*"),COUNTIFS('10_14_10_20'!E:E,'10_14_10_20 Acc Rate'!C43,'10_14_10_20'!S:S,"*E*")))</f>
        <v/>
      </c>
      <c r="U43" s="8">
        <f t="shared" si="1"/>
        <v>0</v>
      </c>
    </row>
    <row r="44" spans="2:21" ht="15" customHeight="1" x14ac:dyDescent="0.25">
      <c r="B44" s="1" t="s">
        <v>701</v>
      </c>
      <c r="C44" s="1" t="s">
        <v>696</v>
      </c>
      <c r="D44" s="1" t="s">
        <v>702</v>
      </c>
      <c r="E44"/>
      <c r="F44" t="s">
        <v>703</v>
      </c>
      <c r="G44" t="s">
        <v>704</v>
      </c>
      <c r="H44" t="s">
        <v>583</v>
      </c>
      <c r="I44" t="s">
        <v>705</v>
      </c>
      <c r="J44" t="s">
        <v>706</v>
      </c>
      <c r="K44" t="s">
        <v>700</v>
      </c>
      <c r="L44"/>
      <c r="M44">
        <v>1</v>
      </c>
      <c r="N44"/>
      <c r="O44"/>
      <c r="P44"/>
      <c r="Q44" s="7"/>
      <c r="R44" s="27" t="str">
        <f t="shared" si="0"/>
        <v/>
      </c>
      <c r="S44" s="27" t="str">
        <f>IF(SUM(COUNTIFS('10_14_10_20'!E:E,'10_14_10_20 Acc Rate'!C44,'10_14_10_20'!O:O,"*M*"),COUNTIFS('10_14_10_20'!E:E,'10_14_10_20 Acc Rate'!C44,'10_14_10_20'!R:R,"*M*"))=0,"",SUM(COUNTIFS('10_14_10_20'!E:E,'10_14_10_20 Acc Rate'!C44,'10_14_10_20'!O:O,"*M*"),COUNTIFS('10_14_10_20'!E:E,'10_14_10_20 Acc Rate'!C44,'10_14_10_20'!R:R,"*M*")))</f>
        <v/>
      </c>
      <c r="T44" s="1" t="str">
        <f>IF(SUM(COUNTIFS('10_14_10_20'!E:E,'10_14_10_20 Acc Rate'!C44,'10_14_10_20'!P:P,"*E*"),COUNTIFS('10_14_10_20'!E:E,'10_14_10_20 Acc Rate'!C44,'10_14_10_20'!S:S,"*E*"))=0,"",SUM(COUNTIFS('10_14_10_20'!E:E,'10_14_10_20 Acc Rate'!C44,'10_14_10_20'!P:P,"*E*"),COUNTIFS('10_14_10_20'!E:E,'10_14_10_20 Acc Rate'!C44,'10_14_10_20'!S:S,"*E*")))</f>
        <v/>
      </c>
      <c r="U44" s="8" t="str">
        <f t="shared" si="1"/>
        <v/>
      </c>
    </row>
    <row r="45" spans="2:21" ht="15" customHeight="1" x14ac:dyDescent="0.25">
      <c r="B45" s="1" t="s">
        <v>707</v>
      </c>
      <c r="C45" s="1" t="s">
        <v>708</v>
      </c>
      <c r="D45" s="1" t="s">
        <v>709</v>
      </c>
      <c r="E45"/>
      <c r="F45" t="s">
        <v>710</v>
      </c>
      <c r="G45" t="s">
        <v>711</v>
      </c>
      <c r="H45" t="s">
        <v>583</v>
      </c>
      <c r="I45" t="s">
        <v>712</v>
      </c>
      <c r="J45" t="s">
        <v>706</v>
      </c>
      <c r="K45" t="s">
        <v>700</v>
      </c>
      <c r="L45"/>
      <c r="M45">
        <v>1</v>
      </c>
      <c r="N45"/>
      <c r="O45"/>
      <c r="P45"/>
      <c r="Q45" s="7"/>
      <c r="R45" s="27" t="str">
        <f t="shared" si="0"/>
        <v/>
      </c>
      <c r="S45" s="27" t="str">
        <f>IF(SUM(COUNTIFS('10_14_10_20'!E:E,'10_14_10_20 Acc Rate'!C45,'10_14_10_20'!O:O,"*M*"),COUNTIFS('10_14_10_20'!E:E,'10_14_10_20 Acc Rate'!C45,'10_14_10_20'!R:R,"*M*"))=0,"",SUM(COUNTIFS('10_14_10_20'!E:E,'10_14_10_20 Acc Rate'!C45,'10_14_10_20'!O:O,"*M*"),COUNTIFS('10_14_10_20'!E:E,'10_14_10_20 Acc Rate'!C45,'10_14_10_20'!R:R,"*M*")))</f>
        <v/>
      </c>
      <c r="T45" s="1" t="str">
        <f>IF(SUM(COUNTIFS('10_14_10_20'!E:E,'10_14_10_20 Acc Rate'!C45,'10_14_10_20'!P:P,"*E*"),COUNTIFS('10_14_10_20'!E:E,'10_14_10_20 Acc Rate'!C45,'10_14_10_20'!S:S,"*E*"))=0,"",SUM(COUNTIFS('10_14_10_20'!E:E,'10_14_10_20 Acc Rate'!C45,'10_14_10_20'!P:P,"*E*"),COUNTIFS('10_14_10_20'!E:E,'10_14_10_20 Acc Rate'!C45,'10_14_10_20'!S:S,"*E*")))</f>
        <v/>
      </c>
      <c r="U45" s="8" t="str">
        <f t="shared" si="1"/>
        <v/>
      </c>
    </row>
    <row r="46" spans="2:21" ht="15" customHeight="1" x14ac:dyDescent="0.25">
      <c r="B46" s="1" t="s">
        <v>713</v>
      </c>
      <c r="C46" s="1" t="s">
        <v>714</v>
      </c>
      <c r="D46" s="1" t="s">
        <v>715</v>
      </c>
      <c r="E46"/>
      <c r="F46" t="s">
        <v>716</v>
      </c>
      <c r="G46" t="s">
        <v>717</v>
      </c>
      <c r="H46" t="s">
        <v>583</v>
      </c>
      <c r="I46" t="s">
        <v>718</v>
      </c>
      <c r="J46" t="s">
        <v>706</v>
      </c>
      <c r="K46" t="s">
        <v>700</v>
      </c>
      <c r="L46"/>
      <c r="M46">
        <v>1</v>
      </c>
      <c r="N46"/>
      <c r="O46"/>
      <c r="P46"/>
      <c r="Q46" s="7"/>
      <c r="R46" s="27" t="str">
        <f t="shared" si="0"/>
        <v/>
      </c>
      <c r="S46" s="27" t="str">
        <f>IF(SUM(COUNTIFS('10_14_10_20'!E:E,'10_14_10_20 Acc Rate'!C46,'10_14_10_20'!O:O,"*M*"),COUNTIFS('10_14_10_20'!E:E,'10_14_10_20 Acc Rate'!C46,'10_14_10_20'!R:R,"*M*"))=0,"",SUM(COUNTIFS('10_14_10_20'!E:E,'10_14_10_20 Acc Rate'!C46,'10_14_10_20'!O:O,"*M*"),COUNTIFS('10_14_10_20'!E:E,'10_14_10_20 Acc Rate'!C46,'10_14_10_20'!R:R,"*M*")))</f>
        <v/>
      </c>
      <c r="T46" s="1" t="str">
        <f>IF(SUM(COUNTIFS('10_14_10_20'!E:E,'10_14_10_20 Acc Rate'!C46,'10_14_10_20'!P:P,"*E*"),COUNTIFS('10_14_10_20'!E:E,'10_14_10_20 Acc Rate'!C46,'10_14_10_20'!S:S,"*E*"))=0,"",SUM(COUNTIFS('10_14_10_20'!E:E,'10_14_10_20 Acc Rate'!C46,'10_14_10_20'!P:P,"*E*"),COUNTIFS('10_14_10_20'!E:E,'10_14_10_20 Acc Rate'!C46,'10_14_10_20'!S:S,"*E*")))</f>
        <v/>
      </c>
      <c r="U46" s="8" t="str">
        <f t="shared" si="1"/>
        <v/>
      </c>
    </row>
    <row r="47" spans="2:21" ht="15" customHeight="1" x14ac:dyDescent="0.25">
      <c r="B47" s="1" t="s">
        <v>719</v>
      </c>
      <c r="C47" s="1" t="s">
        <v>556</v>
      </c>
      <c r="D47" s="1" t="s">
        <v>720</v>
      </c>
      <c r="E47"/>
      <c r="F47" t="s">
        <v>721</v>
      </c>
      <c r="G47" t="s">
        <v>722</v>
      </c>
      <c r="H47" t="s">
        <v>583</v>
      </c>
      <c r="I47" t="s">
        <v>723</v>
      </c>
      <c r="J47" t="s">
        <v>706</v>
      </c>
      <c r="K47" t="s">
        <v>700</v>
      </c>
      <c r="L47"/>
      <c r="M47">
        <v>1</v>
      </c>
      <c r="N47"/>
      <c r="O47"/>
      <c r="P47"/>
      <c r="Q47" s="7">
        <v>1</v>
      </c>
      <c r="R47" s="27">
        <f t="shared" si="0"/>
        <v>1</v>
      </c>
      <c r="S47" s="27" t="str">
        <f>IF(SUM(COUNTIFS('10_14_10_20'!E:E,'10_14_10_20 Acc Rate'!C47,'10_14_10_20'!O:O,"*M*"),COUNTIFS('10_14_10_20'!E:E,'10_14_10_20 Acc Rate'!C47,'10_14_10_20'!R:R,"*M*"))=0,"",SUM(COUNTIFS('10_14_10_20'!E:E,'10_14_10_20 Acc Rate'!C47,'10_14_10_20'!O:O,"*M*"),COUNTIFS('10_14_10_20'!E:E,'10_14_10_20 Acc Rate'!C47,'10_14_10_20'!R:R,"*M*")))</f>
        <v/>
      </c>
      <c r="T47" s="1" t="str">
        <f>IF(SUM(COUNTIFS('10_14_10_20'!E:E,'10_14_10_20 Acc Rate'!C47,'10_14_10_20'!P:P,"*E*"),COUNTIFS('10_14_10_20'!E:E,'10_14_10_20 Acc Rate'!C47,'10_14_10_20'!S:S,"*E*"))=0,"",SUM(COUNTIFS('10_14_10_20'!E:E,'10_14_10_20 Acc Rate'!C47,'10_14_10_20'!P:P,"*E*"),COUNTIFS('10_14_10_20'!E:E,'10_14_10_20 Acc Rate'!C47,'10_14_10_20'!S:S,"*E*")))</f>
        <v/>
      </c>
      <c r="U47" s="8"/>
    </row>
    <row r="48" spans="2:21" x14ac:dyDescent="0.25">
      <c r="M48" s="1" t="s">
        <v>724</v>
      </c>
      <c r="Q48" s="1">
        <f>SUM(Q3:Q46)</f>
        <v>5674</v>
      </c>
      <c r="R48" s="27">
        <f>SUM(R3:R46)</f>
        <v>5671</v>
      </c>
      <c r="S48" s="27">
        <f>SUM(S3:S46)</f>
        <v>2</v>
      </c>
      <c r="T48" s="1">
        <f>SUM(T3:T46)</f>
        <v>1</v>
      </c>
      <c r="U48" s="2">
        <f>IFERROR(SUM(S47*8+T47*2)/Q47,0)</f>
        <v>0</v>
      </c>
    </row>
  </sheetData>
  <mergeCells count="3">
    <mergeCell ref="W3:X3"/>
    <mergeCell ref="W7:X7"/>
    <mergeCell ref="W8:X8"/>
  </mergeCells>
  <conditionalFormatting sqref="B1:P1048576">
    <cfRule type="expression" dxfId="191" priority="6">
      <formula>$H1="Service Center"</formula>
    </cfRule>
    <cfRule type="expression" dxfId="190" priority="7">
      <formula>$H1="COBRA"</formula>
    </cfRule>
    <cfRule type="expression" dxfId="189" priority="8">
      <formula>$H1="Claims"</formula>
    </cfRule>
  </conditionalFormatting>
  <conditionalFormatting sqref="B1:U1048576">
    <cfRule type="expression" dxfId="188" priority="4">
      <formula>NOT(ISBLANK($B1))</formula>
    </cfRule>
    <cfRule type="expression" dxfId="187" priority="5">
      <formula>AND($H1="Service Center",$M1=15)</formula>
    </cfRule>
    <cfRule type="expression" dxfId="186" priority="9">
      <formula>$B1="Full Name"</formula>
    </cfRule>
    <cfRule type="expression" dxfId="185" priority="10">
      <formula>$M1="Totals"</formula>
    </cfRule>
  </conditionalFormatting>
  <conditionalFormatting sqref="Q2">
    <cfRule type="expression" dxfId="184" priority="1">
      <formula>$H2="Service Center"</formula>
    </cfRule>
    <cfRule type="expression" dxfId="183" priority="2">
      <formula>$H2="COBRA"</formula>
    </cfRule>
    <cfRule type="expression" dxfId="182" priority="3">
      <formula>$H2="Claims"</formula>
    </cfRule>
  </conditionalFormatting>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3AA55-2D41-41E0-B146-A18AFBA8D22D}">
  <sheetPr codeName="Sheet4"/>
  <dimension ref="A1:U190"/>
  <sheetViews>
    <sheetView topLeftCell="A149" zoomScale="80" zoomScaleNormal="80" workbookViewId="0">
      <selection activeCell="C92" sqref="C92"/>
    </sheetView>
  </sheetViews>
  <sheetFormatPr defaultRowHeight="15" x14ac:dyDescent="0.25"/>
  <cols>
    <col min="1" max="1" width="8.7109375" customWidth="1"/>
    <col min="2" max="2" width="10.7109375" customWidth="1"/>
    <col min="3" max="3" width="8.7109375" customWidth="1"/>
    <col min="4" max="4" width="12.7109375" customWidth="1"/>
    <col min="5" max="6" width="15.7109375" customWidth="1"/>
    <col min="7" max="7" width="40.7109375" customWidth="1"/>
    <col min="8" max="9" width="15.7109375" customWidth="1"/>
    <col min="10" max="12" width="10.7109375" customWidth="1"/>
    <col min="13" max="13" width="13.7109375" style="21" customWidth="1"/>
    <col min="14" max="14" width="12.7109375" customWidth="1"/>
    <col min="15" max="16" width="10.7109375" customWidth="1"/>
    <col min="17" max="17" width="30.7109375" customWidth="1"/>
    <col min="18" max="19" width="17.7109375" customWidth="1"/>
    <col min="20" max="20" width="30.7109375" customWidth="1"/>
    <col min="21" max="21" width="8.7109375" customWidth="1"/>
  </cols>
  <sheetData>
    <row r="1" spans="1:21" ht="38.25" x14ac:dyDescent="0.25">
      <c r="A1" s="42" t="s">
        <v>0</v>
      </c>
      <c r="B1" s="42" t="s">
        <v>1</v>
      </c>
      <c r="C1" s="42" t="s">
        <v>2</v>
      </c>
      <c r="D1" s="42" t="s">
        <v>3</v>
      </c>
      <c r="E1" s="42" t="s">
        <v>4</v>
      </c>
      <c r="F1" s="42" t="s">
        <v>5</v>
      </c>
      <c r="G1" s="42" t="s">
        <v>6</v>
      </c>
      <c r="H1" s="42" t="s">
        <v>7</v>
      </c>
      <c r="I1" s="42" t="s">
        <v>8</v>
      </c>
      <c r="J1" s="42" t="s">
        <v>9</v>
      </c>
      <c r="K1" s="42" t="s">
        <v>10</v>
      </c>
      <c r="L1" s="42" t="s">
        <v>11</v>
      </c>
      <c r="M1" s="43" t="s">
        <v>12</v>
      </c>
      <c r="N1" s="42" t="s">
        <v>13</v>
      </c>
      <c r="O1" s="42" t="s">
        <v>14</v>
      </c>
      <c r="P1" s="42" t="s">
        <v>15</v>
      </c>
      <c r="Q1" s="42" t="s">
        <v>16</v>
      </c>
      <c r="R1" s="42" t="s">
        <v>17</v>
      </c>
      <c r="S1" s="42" t="s">
        <v>18</v>
      </c>
      <c r="T1" s="42" t="s">
        <v>16</v>
      </c>
      <c r="U1" s="44" t="s">
        <v>19</v>
      </c>
    </row>
    <row r="2" spans="1:21" x14ac:dyDescent="0.25">
      <c r="A2" s="45" t="s">
        <v>20</v>
      </c>
      <c r="B2" s="46">
        <v>45632</v>
      </c>
      <c r="C2" s="45" t="s">
        <v>21</v>
      </c>
      <c r="D2" s="47"/>
      <c r="E2" s="45" t="s">
        <v>22</v>
      </c>
      <c r="F2" s="45" t="s">
        <v>23</v>
      </c>
      <c r="G2" s="45" t="s">
        <v>30</v>
      </c>
      <c r="H2" s="45" t="s">
        <v>1177</v>
      </c>
      <c r="I2" s="45" t="s">
        <v>1178</v>
      </c>
      <c r="J2" s="45">
        <v>575061927</v>
      </c>
      <c r="K2" s="45" t="s">
        <v>223</v>
      </c>
      <c r="L2" s="48">
        <v>61.04</v>
      </c>
      <c r="M2" s="49">
        <v>20241022583</v>
      </c>
      <c r="N2" s="50" t="s">
        <v>28</v>
      </c>
      <c r="O2" s="50"/>
      <c r="P2" s="50"/>
      <c r="Q2" s="51"/>
      <c r="R2" s="50"/>
      <c r="S2" s="50"/>
      <c r="T2" s="51"/>
      <c r="U2" s="50"/>
    </row>
    <row r="3" spans="1:21" x14ac:dyDescent="0.25">
      <c r="A3" s="45" t="s">
        <v>20</v>
      </c>
      <c r="B3" s="46">
        <v>45632</v>
      </c>
      <c r="C3" s="45" t="s">
        <v>21</v>
      </c>
      <c r="D3" s="47"/>
      <c r="E3" s="45" t="s">
        <v>22</v>
      </c>
      <c r="F3" s="45" t="s">
        <v>23</v>
      </c>
      <c r="G3" s="45" t="s">
        <v>30</v>
      </c>
      <c r="H3" s="45" t="s">
        <v>1177</v>
      </c>
      <c r="I3" s="45" t="s">
        <v>1178</v>
      </c>
      <c r="J3" s="45">
        <v>575061927</v>
      </c>
      <c r="K3" s="45" t="s">
        <v>250</v>
      </c>
      <c r="L3" s="48">
        <v>26.04</v>
      </c>
      <c r="M3" s="49">
        <v>20241022584</v>
      </c>
      <c r="N3" s="50" t="s">
        <v>28</v>
      </c>
      <c r="O3" s="50"/>
      <c r="P3" s="50"/>
      <c r="Q3" s="51"/>
      <c r="R3" s="50"/>
      <c r="S3" s="50"/>
      <c r="T3" s="51"/>
      <c r="U3" s="50"/>
    </row>
    <row r="4" spans="1:21" x14ac:dyDescent="0.25">
      <c r="A4" s="45" t="s">
        <v>20</v>
      </c>
      <c r="B4" s="46">
        <v>45632</v>
      </c>
      <c r="C4" s="45" t="s">
        <v>21</v>
      </c>
      <c r="D4" s="47"/>
      <c r="E4" s="45" t="s">
        <v>22</v>
      </c>
      <c r="F4" s="45" t="s">
        <v>23</v>
      </c>
      <c r="G4" s="45" t="s">
        <v>30</v>
      </c>
      <c r="H4" s="45" t="s">
        <v>1177</v>
      </c>
      <c r="I4" s="45" t="s">
        <v>1178</v>
      </c>
      <c r="J4" s="45">
        <v>575061927</v>
      </c>
      <c r="K4" s="45" t="s">
        <v>1179</v>
      </c>
      <c r="L4" s="48">
        <v>25</v>
      </c>
      <c r="M4" s="49">
        <v>20241022585</v>
      </c>
      <c r="N4" s="50" t="s">
        <v>28</v>
      </c>
      <c r="O4" s="50"/>
      <c r="P4" s="50"/>
      <c r="Q4" s="51"/>
      <c r="R4" s="50"/>
      <c r="S4" s="50"/>
      <c r="T4" s="51"/>
      <c r="U4" s="50"/>
    </row>
    <row r="5" spans="1:21" x14ac:dyDescent="0.25">
      <c r="A5" s="45" t="s">
        <v>20</v>
      </c>
      <c r="B5" s="46">
        <v>45632</v>
      </c>
      <c r="C5" s="45" t="s">
        <v>21</v>
      </c>
      <c r="D5" s="47"/>
      <c r="E5" s="45" t="s">
        <v>22</v>
      </c>
      <c r="F5" s="45" t="s">
        <v>23</v>
      </c>
      <c r="G5" s="45" t="s">
        <v>30</v>
      </c>
      <c r="H5" s="45" t="s">
        <v>1177</v>
      </c>
      <c r="I5" s="45" t="s">
        <v>1178</v>
      </c>
      <c r="J5" s="45">
        <v>575061927</v>
      </c>
      <c r="K5" s="45" t="s">
        <v>269</v>
      </c>
      <c r="L5" s="48">
        <v>10</v>
      </c>
      <c r="M5" s="49">
        <v>20241022586</v>
      </c>
      <c r="N5" s="50" t="s">
        <v>28</v>
      </c>
      <c r="O5" s="50"/>
      <c r="P5" s="50"/>
      <c r="Q5" s="51"/>
      <c r="R5" s="50"/>
      <c r="S5" s="50"/>
      <c r="T5" s="51"/>
      <c r="U5" s="50"/>
    </row>
    <row r="6" spans="1:21" x14ac:dyDescent="0.25">
      <c r="A6" s="45" t="s">
        <v>29</v>
      </c>
      <c r="B6" s="46">
        <v>45632</v>
      </c>
      <c r="C6" s="45" t="s">
        <v>21</v>
      </c>
      <c r="D6" s="47"/>
      <c r="E6" s="45" t="s">
        <v>22</v>
      </c>
      <c r="F6" s="45" t="s">
        <v>23</v>
      </c>
      <c r="G6" s="45" t="s">
        <v>148</v>
      </c>
      <c r="H6" s="45" t="s">
        <v>1180</v>
      </c>
      <c r="I6" s="45" t="s">
        <v>1181</v>
      </c>
      <c r="J6" s="45">
        <v>575451177</v>
      </c>
      <c r="K6" s="45" t="s">
        <v>406</v>
      </c>
      <c r="L6" s="48">
        <v>1100</v>
      </c>
      <c r="M6" s="49">
        <v>20241021617</v>
      </c>
      <c r="N6" s="50" t="s">
        <v>28</v>
      </c>
      <c r="O6" s="50"/>
      <c r="P6" s="50"/>
      <c r="Q6" s="51"/>
      <c r="R6" s="50"/>
      <c r="S6" s="50"/>
      <c r="T6" s="51"/>
      <c r="U6" s="50"/>
    </row>
    <row r="7" spans="1:21" x14ac:dyDescent="0.25">
      <c r="A7" s="45" t="s">
        <v>29</v>
      </c>
      <c r="B7" s="46">
        <v>45632</v>
      </c>
      <c r="C7" s="45" t="s">
        <v>21</v>
      </c>
      <c r="D7" s="47"/>
      <c r="E7" s="45" t="s">
        <v>22</v>
      </c>
      <c r="F7" s="45" t="s">
        <v>23</v>
      </c>
      <c r="G7" s="45" t="s">
        <v>148</v>
      </c>
      <c r="H7" s="45" t="s">
        <v>1180</v>
      </c>
      <c r="I7" s="45" t="s">
        <v>1181</v>
      </c>
      <c r="J7" s="45">
        <v>575451177</v>
      </c>
      <c r="K7" s="45" t="s">
        <v>160</v>
      </c>
      <c r="L7" s="48">
        <v>1100</v>
      </c>
      <c r="M7" s="49">
        <v>20241021629</v>
      </c>
      <c r="N7" s="50" t="s">
        <v>28</v>
      </c>
      <c r="O7" s="50"/>
      <c r="P7" s="50"/>
      <c r="Q7" s="51"/>
      <c r="R7" s="50"/>
      <c r="S7" s="50"/>
      <c r="T7" s="51"/>
      <c r="U7" s="50"/>
    </row>
    <row r="8" spans="1:21" x14ac:dyDescent="0.25">
      <c r="A8" s="45" t="s">
        <v>20</v>
      </c>
      <c r="B8" s="46">
        <v>45632</v>
      </c>
      <c r="C8" s="45" t="s">
        <v>21</v>
      </c>
      <c r="D8" s="47"/>
      <c r="E8" s="45" t="s">
        <v>22</v>
      </c>
      <c r="F8" s="45" t="s">
        <v>23</v>
      </c>
      <c r="G8" s="45" t="s">
        <v>148</v>
      </c>
      <c r="H8" s="45" t="s">
        <v>1182</v>
      </c>
      <c r="I8" s="45" t="s">
        <v>1183</v>
      </c>
      <c r="J8" s="45">
        <v>575561956</v>
      </c>
      <c r="K8" s="45" t="s">
        <v>856</v>
      </c>
      <c r="L8" s="48">
        <v>10</v>
      </c>
      <c r="M8" s="49">
        <v>20241021606</v>
      </c>
      <c r="N8" s="50" t="s">
        <v>28</v>
      </c>
      <c r="O8" s="50"/>
      <c r="P8" s="50"/>
      <c r="Q8" s="51"/>
      <c r="R8" s="50"/>
      <c r="S8" s="50"/>
      <c r="T8" s="51"/>
      <c r="U8" s="50"/>
    </row>
    <row r="9" spans="1:21" x14ac:dyDescent="0.25">
      <c r="A9" s="45" t="s">
        <v>20</v>
      </c>
      <c r="B9" s="46">
        <v>45632</v>
      </c>
      <c r="C9" s="45" t="s">
        <v>21</v>
      </c>
      <c r="D9" s="47"/>
      <c r="E9" s="45" t="s">
        <v>22</v>
      </c>
      <c r="F9" s="45" t="s">
        <v>23</v>
      </c>
      <c r="G9" s="45" t="s">
        <v>148</v>
      </c>
      <c r="H9" s="45" t="s">
        <v>1182</v>
      </c>
      <c r="I9" s="45" t="s">
        <v>1183</v>
      </c>
      <c r="J9" s="45">
        <v>575561956</v>
      </c>
      <c r="K9" s="45" t="s">
        <v>195</v>
      </c>
      <c r="L9" s="48">
        <v>16.13</v>
      </c>
      <c r="M9" s="49">
        <v>20241021575</v>
      </c>
      <c r="N9" s="50" t="s">
        <v>28</v>
      </c>
      <c r="O9" s="50"/>
      <c r="P9" s="50"/>
      <c r="Q9" s="51"/>
      <c r="R9" s="50"/>
      <c r="S9" s="50"/>
      <c r="T9" s="51"/>
      <c r="U9" s="50"/>
    </row>
    <row r="10" spans="1:21" x14ac:dyDescent="0.25">
      <c r="A10" s="45" t="s">
        <v>20</v>
      </c>
      <c r="B10" s="46">
        <v>45632</v>
      </c>
      <c r="C10" s="45" t="s">
        <v>21</v>
      </c>
      <c r="D10" s="47"/>
      <c r="E10" s="45" t="s">
        <v>22</v>
      </c>
      <c r="F10" s="45" t="s">
        <v>23</v>
      </c>
      <c r="G10" s="45" t="s">
        <v>1184</v>
      </c>
      <c r="H10" s="45" t="s">
        <v>1185</v>
      </c>
      <c r="I10" s="45" t="s">
        <v>1186</v>
      </c>
      <c r="J10" s="45">
        <v>575679862</v>
      </c>
      <c r="K10" s="45" t="s">
        <v>1187</v>
      </c>
      <c r="L10" s="48">
        <v>51.47</v>
      </c>
      <c r="M10" s="49">
        <v>20241021241</v>
      </c>
      <c r="N10" s="50" t="s">
        <v>28</v>
      </c>
      <c r="O10" s="50"/>
      <c r="P10" s="50"/>
      <c r="Q10" s="51"/>
      <c r="R10" s="50"/>
      <c r="S10" s="50"/>
      <c r="T10" s="51"/>
      <c r="U10" s="50"/>
    </row>
    <row r="11" spans="1:21" x14ac:dyDescent="0.25">
      <c r="A11" s="45" t="s">
        <v>20</v>
      </c>
      <c r="B11" s="46">
        <v>45632</v>
      </c>
      <c r="C11" s="45" t="s">
        <v>21</v>
      </c>
      <c r="D11" s="47"/>
      <c r="E11" s="45" t="s">
        <v>22</v>
      </c>
      <c r="F11" s="45" t="s">
        <v>23</v>
      </c>
      <c r="G11" s="45" t="s">
        <v>30</v>
      </c>
      <c r="H11" s="45" t="s">
        <v>1188</v>
      </c>
      <c r="I11" s="45" t="s">
        <v>1189</v>
      </c>
      <c r="J11" s="45">
        <v>575784170</v>
      </c>
      <c r="K11" s="45" t="s">
        <v>1190</v>
      </c>
      <c r="L11" s="48">
        <v>7.95</v>
      </c>
      <c r="M11" s="49">
        <v>20241021664</v>
      </c>
      <c r="N11" s="50" t="s">
        <v>28</v>
      </c>
      <c r="O11" s="50"/>
      <c r="P11" s="50"/>
      <c r="Q11" s="51"/>
      <c r="R11" s="50"/>
      <c r="S11" s="50"/>
      <c r="T11" s="51"/>
      <c r="U11" s="50"/>
    </row>
    <row r="12" spans="1:21" x14ac:dyDescent="0.25">
      <c r="A12" s="45" t="s">
        <v>20</v>
      </c>
      <c r="B12" s="46">
        <v>45632</v>
      </c>
      <c r="C12" s="45" t="s">
        <v>21</v>
      </c>
      <c r="D12" s="47"/>
      <c r="E12" s="45" t="s">
        <v>22</v>
      </c>
      <c r="F12" s="45" t="s">
        <v>23</v>
      </c>
      <c r="G12" s="45" t="s">
        <v>109</v>
      </c>
      <c r="H12" s="45" t="s">
        <v>1191</v>
      </c>
      <c r="I12" s="45" t="s">
        <v>1192</v>
      </c>
      <c r="J12" s="45">
        <v>575821222</v>
      </c>
      <c r="K12" s="45" t="s">
        <v>1190</v>
      </c>
      <c r="L12" s="48">
        <v>165.4</v>
      </c>
      <c r="M12" s="49">
        <v>20241022514</v>
      </c>
      <c r="N12" s="50" t="s">
        <v>28</v>
      </c>
      <c r="O12" s="50"/>
      <c r="P12" s="50"/>
      <c r="Q12" s="51"/>
      <c r="R12" s="50"/>
      <c r="S12" s="50"/>
      <c r="T12" s="51"/>
      <c r="U12" s="50"/>
    </row>
    <row r="13" spans="1:21" x14ac:dyDescent="0.25">
      <c r="A13" s="45" t="s">
        <v>20</v>
      </c>
      <c r="B13" s="46">
        <v>45632</v>
      </c>
      <c r="C13" s="45" t="s">
        <v>21</v>
      </c>
      <c r="D13" s="47"/>
      <c r="E13" s="45" t="s">
        <v>22</v>
      </c>
      <c r="F13" s="45" t="s">
        <v>23</v>
      </c>
      <c r="G13" s="45" t="s">
        <v>109</v>
      </c>
      <c r="H13" s="45" t="s">
        <v>1193</v>
      </c>
      <c r="I13" s="45" t="s">
        <v>1194</v>
      </c>
      <c r="J13" s="45">
        <v>576062512</v>
      </c>
      <c r="K13" s="45" t="s">
        <v>53</v>
      </c>
      <c r="L13" s="48">
        <v>106.8</v>
      </c>
      <c r="M13" s="49">
        <v>20241021694</v>
      </c>
      <c r="N13" s="50" t="s">
        <v>28</v>
      </c>
      <c r="O13" s="50"/>
      <c r="P13" s="50"/>
      <c r="Q13" s="51"/>
      <c r="R13" s="50"/>
      <c r="S13" s="50"/>
      <c r="T13" s="51"/>
      <c r="U13" s="50"/>
    </row>
    <row r="14" spans="1:21" x14ac:dyDescent="0.25">
      <c r="A14" s="45" t="s">
        <v>20</v>
      </c>
      <c r="B14" s="46">
        <v>45632</v>
      </c>
      <c r="C14" s="45" t="s">
        <v>21</v>
      </c>
      <c r="D14" s="47"/>
      <c r="E14" s="45" t="s">
        <v>22</v>
      </c>
      <c r="F14" s="45" t="s">
        <v>23</v>
      </c>
      <c r="G14" s="45" t="s">
        <v>109</v>
      </c>
      <c r="H14" s="45" t="s">
        <v>1193</v>
      </c>
      <c r="I14" s="45" t="s">
        <v>1194</v>
      </c>
      <c r="J14" s="45">
        <v>576062512</v>
      </c>
      <c r="K14" s="45" t="s">
        <v>76</v>
      </c>
      <c r="L14" s="48">
        <v>15.47</v>
      </c>
      <c r="M14" s="49">
        <v>20241021695</v>
      </c>
      <c r="N14" s="50" t="s">
        <v>28</v>
      </c>
      <c r="O14" s="50"/>
      <c r="P14" s="50"/>
      <c r="Q14" s="51"/>
      <c r="R14" s="50"/>
      <c r="S14" s="50"/>
      <c r="T14" s="51"/>
      <c r="U14" s="50"/>
    </row>
    <row r="15" spans="1:21" x14ac:dyDescent="0.25">
      <c r="A15" s="45" t="s">
        <v>20</v>
      </c>
      <c r="B15" s="46">
        <v>45632</v>
      </c>
      <c r="C15" s="45" t="s">
        <v>21</v>
      </c>
      <c r="D15" s="47"/>
      <c r="E15" s="45" t="s">
        <v>22</v>
      </c>
      <c r="F15" s="45" t="s">
        <v>23</v>
      </c>
      <c r="G15" s="45" t="s">
        <v>109</v>
      </c>
      <c r="H15" s="45" t="s">
        <v>1193</v>
      </c>
      <c r="I15" s="45" t="s">
        <v>1194</v>
      </c>
      <c r="J15" s="45">
        <v>576062512</v>
      </c>
      <c r="K15" s="45" t="s">
        <v>62</v>
      </c>
      <c r="L15" s="48">
        <v>1.41</v>
      </c>
      <c r="M15" s="49">
        <v>20241021696</v>
      </c>
      <c r="N15" s="50" t="s">
        <v>28</v>
      </c>
      <c r="O15" s="50"/>
      <c r="P15" s="50"/>
      <c r="Q15" s="51"/>
      <c r="R15" s="50"/>
      <c r="S15" s="50"/>
      <c r="T15" s="51"/>
      <c r="U15" s="50"/>
    </row>
    <row r="16" spans="1:21" x14ac:dyDescent="0.25">
      <c r="A16" s="45" t="s">
        <v>20</v>
      </c>
      <c r="B16" s="46">
        <v>45632</v>
      </c>
      <c r="C16" s="45" t="s">
        <v>21</v>
      </c>
      <c r="D16" s="47"/>
      <c r="E16" s="45" t="s">
        <v>22</v>
      </c>
      <c r="F16" s="45" t="s">
        <v>23</v>
      </c>
      <c r="G16" s="45" t="s">
        <v>109</v>
      </c>
      <c r="H16" s="45" t="s">
        <v>1193</v>
      </c>
      <c r="I16" s="45" t="s">
        <v>1194</v>
      </c>
      <c r="J16" s="45">
        <v>576062512</v>
      </c>
      <c r="K16" s="45" t="s">
        <v>62</v>
      </c>
      <c r="L16" s="48">
        <v>33.75</v>
      </c>
      <c r="M16" s="49">
        <v>20241021697</v>
      </c>
      <c r="N16" s="50" t="s">
        <v>28</v>
      </c>
      <c r="O16" s="50"/>
      <c r="P16" s="50"/>
      <c r="Q16" s="51"/>
      <c r="R16" s="50"/>
      <c r="S16" s="50"/>
      <c r="T16" s="51"/>
      <c r="U16" s="50"/>
    </row>
    <row r="17" spans="1:21" x14ac:dyDescent="0.25">
      <c r="A17" s="45" t="s">
        <v>29</v>
      </c>
      <c r="B17" s="46">
        <v>45632</v>
      </c>
      <c r="C17" s="45" t="s">
        <v>21</v>
      </c>
      <c r="D17" s="47"/>
      <c r="E17" s="45" t="s">
        <v>64</v>
      </c>
      <c r="F17" s="45" t="s">
        <v>65</v>
      </c>
      <c r="G17" s="45" t="s">
        <v>376</v>
      </c>
      <c r="H17" s="45" t="s">
        <v>1195</v>
      </c>
      <c r="I17" s="45" t="s">
        <v>1196</v>
      </c>
      <c r="J17" s="45">
        <v>647050746</v>
      </c>
      <c r="K17" s="45" t="s">
        <v>406</v>
      </c>
      <c r="L17" s="48">
        <v>396</v>
      </c>
      <c r="M17" s="49">
        <v>20241022285</v>
      </c>
      <c r="N17" s="50" t="s">
        <v>28</v>
      </c>
      <c r="O17" s="50"/>
      <c r="P17" s="50"/>
      <c r="Q17" s="51"/>
      <c r="R17" s="50"/>
      <c r="S17" s="50"/>
      <c r="T17" s="51"/>
      <c r="U17" s="50"/>
    </row>
    <row r="18" spans="1:21" x14ac:dyDescent="0.25">
      <c r="A18" s="45" t="s">
        <v>20</v>
      </c>
      <c r="B18" s="46">
        <v>45632</v>
      </c>
      <c r="C18" s="45" t="s">
        <v>21</v>
      </c>
      <c r="D18" s="47"/>
      <c r="E18" s="45" t="s">
        <v>64</v>
      </c>
      <c r="F18" s="45" t="s">
        <v>65</v>
      </c>
      <c r="G18" s="45" t="s">
        <v>376</v>
      </c>
      <c r="H18" s="45" t="s">
        <v>1195</v>
      </c>
      <c r="I18" s="45" t="s">
        <v>1196</v>
      </c>
      <c r="J18" s="45">
        <v>647050746</v>
      </c>
      <c r="K18" s="45" t="s">
        <v>224</v>
      </c>
      <c r="L18" s="48">
        <v>198</v>
      </c>
      <c r="M18" s="49">
        <v>20241022242</v>
      </c>
      <c r="N18" s="50" t="s">
        <v>28</v>
      </c>
      <c r="O18" s="50"/>
      <c r="P18" s="50"/>
      <c r="Q18" s="51"/>
      <c r="R18" s="50"/>
      <c r="S18" s="50"/>
      <c r="T18" s="51"/>
      <c r="U18" s="50"/>
    </row>
    <row r="19" spans="1:21" x14ac:dyDescent="0.25">
      <c r="A19" s="45" t="s">
        <v>29</v>
      </c>
      <c r="B19" s="46">
        <v>45632</v>
      </c>
      <c r="C19" s="45" t="s">
        <v>21</v>
      </c>
      <c r="D19" s="47"/>
      <c r="E19" s="45" t="s">
        <v>64</v>
      </c>
      <c r="F19" s="45" t="s">
        <v>65</v>
      </c>
      <c r="G19" s="45" t="s">
        <v>376</v>
      </c>
      <c r="H19" s="45" t="s">
        <v>1195</v>
      </c>
      <c r="I19" s="45" t="s">
        <v>1196</v>
      </c>
      <c r="J19" s="45">
        <v>647050746</v>
      </c>
      <c r="K19" s="45" t="s">
        <v>1197</v>
      </c>
      <c r="L19" s="48">
        <v>128</v>
      </c>
      <c r="M19" s="49">
        <v>20241022287</v>
      </c>
      <c r="N19" s="50" t="s">
        <v>28</v>
      </c>
      <c r="O19" s="50"/>
      <c r="P19" s="50"/>
      <c r="Q19" s="51"/>
      <c r="R19" s="50"/>
      <c r="S19" s="50"/>
      <c r="T19" s="51"/>
      <c r="U19" s="50"/>
    </row>
    <row r="20" spans="1:21" x14ac:dyDescent="0.25">
      <c r="A20" s="45" t="s">
        <v>29</v>
      </c>
      <c r="B20" s="46">
        <v>45632</v>
      </c>
      <c r="C20" s="45" t="s">
        <v>21</v>
      </c>
      <c r="D20" s="47"/>
      <c r="E20" s="45" t="s">
        <v>64</v>
      </c>
      <c r="F20" s="45" t="s">
        <v>65</v>
      </c>
      <c r="G20" s="45" t="s">
        <v>376</v>
      </c>
      <c r="H20" s="45" t="s">
        <v>1195</v>
      </c>
      <c r="I20" s="45" t="s">
        <v>1196</v>
      </c>
      <c r="J20" s="45">
        <v>647050746</v>
      </c>
      <c r="K20" s="45" t="s">
        <v>93</v>
      </c>
      <c r="L20" s="48">
        <v>128</v>
      </c>
      <c r="M20" s="49">
        <v>20241022259</v>
      </c>
      <c r="N20" s="50" t="s">
        <v>28</v>
      </c>
      <c r="O20" s="50"/>
      <c r="P20" s="50"/>
      <c r="Q20" s="51"/>
      <c r="R20" s="50"/>
      <c r="S20" s="50"/>
      <c r="T20" s="51"/>
      <c r="U20" s="50"/>
    </row>
    <row r="21" spans="1:21" x14ac:dyDescent="0.25">
      <c r="A21" s="45" t="s">
        <v>20</v>
      </c>
      <c r="B21" s="46">
        <v>45632</v>
      </c>
      <c r="C21" s="45" t="s">
        <v>21</v>
      </c>
      <c r="D21" s="47"/>
      <c r="E21" s="45" t="s">
        <v>64</v>
      </c>
      <c r="F21" s="45" t="s">
        <v>65</v>
      </c>
      <c r="G21" s="45" t="s">
        <v>376</v>
      </c>
      <c r="H21" s="45" t="s">
        <v>1195</v>
      </c>
      <c r="I21" s="45" t="s">
        <v>1196</v>
      </c>
      <c r="J21" s="45">
        <v>647050746</v>
      </c>
      <c r="K21" s="45" t="s">
        <v>237</v>
      </c>
      <c r="L21" s="48">
        <v>489</v>
      </c>
      <c r="M21" s="49">
        <v>20241022422</v>
      </c>
      <c r="N21" s="50" t="s">
        <v>28</v>
      </c>
      <c r="O21" s="50"/>
      <c r="P21" s="50"/>
      <c r="Q21" s="51"/>
      <c r="R21" s="50"/>
      <c r="S21" s="50"/>
      <c r="T21" s="51"/>
      <c r="U21" s="50"/>
    </row>
    <row r="22" spans="1:21" x14ac:dyDescent="0.25">
      <c r="A22" s="45" t="s">
        <v>29</v>
      </c>
      <c r="B22" s="46">
        <v>45632</v>
      </c>
      <c r="C22" s="45" t="s">
        <v>21</v>
      </c>
      <c r="D22" s="47"/>
      <c r="E22" s="45" t="s">
        <v>64</v>
      </c>
      <c r="F22" s="45" t="s">
        <v>65</v>
      </c>
      <c r="G22" s="45" t="s">
        <v>376</v>
      </c>
      <c r="H22" s="45" t="s">
        <v>1198</v>
      </c>
      <c r="I22" s="45" t="s">
        <v>1199</v>
      </c>
      <c r="J22" s="45">
        <v>647188347</v>
      </c>
      <c r="K22" s="45" t="s">
        <v>56</v>
      </c>
      <c r="L22" s="48">
        <v>420</v>
      </c>
      <c r="M22" s="49">
        <v>20241021431</v>
      </c>
      <c r="N22" s="50" t="s">
        <v>28</v>
      </c>
      <c r="O22" s="50"/>
      <c r="P22" s="50"/>
      <c r="Q22" s="51"/>
      <c r="R22" s="50"/>
      <c r="S22" s="50"/>
      <c r="T22" s="51"/>
      <c r="U22" s="50"/>
    </row>
    <row r="23" spans="1:21" x14ac:dyDescent="0.25">
      <c r="A23" s="45" t="s">
        <v>314</v>
      </c>
      <c r="B23" s="46">
        <v>45632</v>
      </c>
      <c r="C23" s="45" t="s">
        <v>21</v>
      </c>
      <c r="D23" s="47"/>
      <c r="E23" s="45" t="s">
        <v>64</v>
      </c>
      <c r="F23" s="45" t="s">
        <v>65</v>
      </c>
      <c r="G23" s="45" t="s">
        <v>376</v>
      </c>
      <c r="H23" s="45" t="s">
        <v>1200</v>
      </c>
      <c r="I23" s="45" t="s">
        <v>1201</v>
      </c>
      <c r="J23" s="45">
        <v>647189021</v>
      </c>
      <c r="K23" s="45" t="s">
        <v>1019</v>
      </c>
      <c r="L23" s="48">
        <v>20.67</v>
      </c>
      <c r="M23" s="49">
        <v>20241023469</v>
      </c>
      <c r="N23" s="50" t="s">
        <v>28</v>
      </c>
      <c r="O23" s="50"/>
      <c r="P23" s="50"/>
      <c r="Q23" s="51"/>
      <c r="R23" s="50"/>
      <c r="S23" s="50"/>
      <c r="T23" s="51"/>
      <c r="U23" s="50"/>
    </row>
    <row r="24" spans="1:21" x14ac:dyDescent="0.25">
      <c r="A24" s="45" t="s">
        <v>20</v>
      </c>
      <c r="B24" s="46">
        <v>45632</v>
      </c>
      <c r="C24" s="45" t="s">
        <v>21</v>
      </c>
      <c r="D24" s="47"/>
      <c r="E24" s="45" t="s">
        <v>64</v>
      </c>
      <c r="F24" s="45" t="s">
        <v>65</v>
      </c>
      <c r="G24" s="45" t="s">
        <v>376</v>
      </c>
      <c r="H24" s="45" t="s">
        <v>1200</v>
      </c>
      <c r="I24" s="45" t="s">
        <v>1201</v>
      </c>
      <c r="J24" s="45">
        <v>647189021</v>
      </c>
      <c r="K24" s="45" t="s">
        <v>1190</v>
      </c>
      <c r="L24" s="48">
        <v>11.36</v>
      </c>
      <c r="M24" s="49">
        <v>20241023434</v>
      </c>
      <c r="N24" s="50" t="s">
        <v>28</v>
      </c>
      <c r="O24" s="50"/>
      <c r="P24" s="50"/>
      <c r="Q24" s="51"/>
      <c r="R24" s="50"/>
      <c r="S24" s="50"/>
      <c r="T24" s="51"/>
      <c r="U24" s="50"/>
    </row>
    <row r="25" spans="1:21" x14ac:dyDescent="0.25">
      <c r="A25" s="45" t="s">
        <v>314</v>
      </c>
      <c r="B25" s="46">
        <v>45638</v>
      </c>
      <c r="C25" s="45" t="s">
        <v>244</v>
      </c>
      <c r="D25" s="47"/>
      <c r="E25" s="45" t="s">
        <v>64</v>
      </c>
      <c r="F25" s="45" t="s">
        <v>65</v>
      </c>
      <c r="G25" s="45" t="s">
        <v>376</v>
      </c>
      <c r="H25" s="45" t="s">
        <v>1202</v>
      </c>
      <c r="I25" s="45" t="s">
        <v>1203</v>
      </c>
      <c r="J25" s="45">
        <v>647205105</v>
      </c>
      <c r="K25" s="45" t="s">
        <v>1190</v>
      </c>
      <c r="L25" s="48">
        <v>98</v>
      </c>
      <c r="M25" s="49">
        <v>20241022425</v>
      </c>
      <c r="N25" s="50" t="s">
        <v>28</v>
      </c>
      <c r="O25" s="50"/>
      <c r="P25" s="50"/>
      <c r="Q25" s="51"/>
      <c r="R25" s="50"/>
      <c r="S25" s="50"/>
      <c r="T25" s="51"/>
      <c r="U25" s="50"/>
    </row>
    <row r="26" spans="1:21" x14ac:dyDescent="0.25">
      <c r="A26" s="45" t="s">
        <v>29</v>
      </c>
      <c r="B26" s="46">
        <v>45638</v>
      </c>
      <c r="C26" s="45" t="s">
        <v>244</v>
      </c>
      <c r="D26" s="47"/>
      <c r="E26" s="45" t="s">
        <v>64</v>
      </c>
      <c r="F26" s="45" t="s">
        <v>65</v>
      </c>
      <c r="G26" s="45" t="s">
        <v>1204</v>
      </c>
      <c r="H26" s="45" t="s">
        <v>1205</v>
      </c>
      <c r="I26" s="45" t="s">
        <v>1206</v>
      </c>
      <c r="J26" s="45">
        <v>647249237</v>
      </c>
      <c r="K26" s="45" t="s">
        <v>336</v>
      </c>
      <c r="L26" s="48">
        <v>1508.41</v>
      </c>
      <c r="M26" s="49">
        <v>20241022569</v>
      </c>
      <c r="N26" s="50" t="s">
        <v>28</v>
      </c>
      <c r="O26" s="50"/>
      <c r="P26" s="50"/>
      <c r="Q26" s="51"/>
      <c r="R26" s="50"/>
      <c r="S26" s="50"/>
      <c r="T26" s="51"/>
      <c r="U26" s="50"/>
    </row>
    <row r="27" spans="1:21" x14ac:dyDescent="0.25">
      <c r="A27" s="45" t="s">
        <v>20</v>
      </c>
      <c r="B27" s="46">
        <v>45638</v>
      </c>
      <c r="C27" s="45" t="s">
        <v>244</v>
      </c>
      <c r="D27" s="47"/>
      <c r="E27" s="45" t="s">
        <v>64</v>
      </c>
      <c r="F27" s="45" t="s">
        <v>65</v>
      </c>
      <c r="G27" s="45" t="s">
        <v>1207</v>
      </c>
      <c r="H27" s="45" t="s">
        <v>1208</v>
      </c>
      <c r="I27" s="45" t="s">
        <v>1209</v>
      </c>
      <c r="J27" s="45">
        <v>647385129</v>
      </c>
      <c r="K27" s="45" t="s">
        <v>1187</v>
      </c>
      <c r="L27" s="48">
        <v>110</v>
      </c>
      <c r="M27" s="49">
        <v>20241021980</v>
      </c>
      <c r="N27" s="50" t="s">
        <v>28</v>
      </c>
      <c r="O27" s="50"/>
      <c r="P27" s="50"/>
      <c r="Q27" s="51"/>
      <c r="R27" s="50"/>
      <c r="S27" s="50"/>
      <c r="T27" s="51"/>
      <c r="U27" s="50"/>
    </row>
    <row r="28" spans="1:21" x14ac:dyDescent="0.25">
      <c r="A28" s="45" t="s">
        <v>20</v>
      </c>
      <c r="B28" s="46">
        <v>45638</v>
      </c>
      <c r="C28" s="45" t="s">
        <v>244</v>
      </c>
      <c r="D28" s="47"/>
      <c r="E28" s="45" t="s">
        <v>64</v>
      </c>
      <c r="F28" s="45" t="s">
        <v>65</v>
      </c>
      <c r="G28" s="45" t="s">
        <v>1207</v>
      </c>
      <c r="H28" s="45" t="s">
        <v>1208</v>
      </c>
      <c r="I28" s="45" t="s">
        <v>1209</v>
      </c>
      <c r="J28" s="45">
        <v>647385129</v>
      </c>
      <c r="K28" s="45" t="s">
        <v>1187</v>
      </c>
      <c r="L28" s="48">
        <v>110</v>
      </c>
      <c r="M28" s="49">
        <v>20241021709</v>
      </c>
      <c r="N28" s="50" t="s">
        <v>28</v>
      </c>
      <c r="O28" s="50"/>
      <c r="P28" s="50"/>
      <c r="Q28" s="51"/>
      <c r="R28" s="50"/>
      <c r="S28" s="50"/>
      <c r="T28" s="51"/>
      <c r="U28" s="50"/>
    </row>
    <row r="29" spans="1:21" x14ac:dyDescent="0.25">
      <c r="A29" s="45" t="s">
        <v>20</v>
      </c>
      <c r="B29" s="46">
        <v>45638</v>
      </c>
      <c r="C29" s="45" t="s">
        <v>244</v>
      </c>
      <c r="D29" s="47"/>
      <c r="E29" s="45" t="s">
        <v>64</v>
      </c>
      <c r="F29" s="45" t="s">
        <v>65</v>
      </c>
      <c r="G29" s="45" t="s">
        <v>1207</v>
      </c>
      <c r="H29" s="45" t="s">
        <v>1208</v>
      </c>
      <c r="I29" s="45" t="s">
        <v>1209</v>
      </c>
      <c r="J29" s="45">
        <v>647385129</v>
      </c>
      <c r="K29" s="45" t="s">
        <v>1187</v>
      </c>
      <c r="L29" s="48">
        <v>110</v>
      </c>
      <c r="M29" s="49">
        <v>20241021618</v>
      </c>
      <c r="N29" s="50" t="s">
        <v>28</v>
      </c>
      <c r="O29" s="50"/>
      <c r="P29" s="50"/>
      <c r="Q29" s="51"/>
      <c r="R29" s="50"/>
      <c r="S29" s="50"/>
      <c r="T29" s="51"/>
      <c r="U29" s="50"/>
    </row>
    <row r="30" spans="1:21" x14ac:dyDescent="0.25">
      <c r="A30" s="45" t="s">
        <v>20</v>
      </c>
      <c r="B30" s="46">
        <v>45638</v>
      </c>
      <c r="C30" s="45" t="s">
        <v>244</v>
      </c>
      <c r="D30" s="47"/>
      <c r="E30" s="45" t="s">
        <v>64</v>
      </c>
      <c r="F30" s="45" t="s">
        <v>65</v>
      </c>
      <c r="G30" s="45" t="s">
        <v>1207</v>
      </c>
      <c r="H30" s="45" t="s">
        <v>1208</v>
      </c>
      <c r="I30" s="45" t="s">
        <v>1209</v>
      </c>
      <c r="J30" s="45">
        <v>647385129</v>
      </c>
      <c r="K30" s="45" t="s">
        <v>1187</v>
      </c>
      <c r="L30" s="48">
        <v>110</v>
      </c>
      <c r="M30" s="49">
        <v>20241021620</v>
      </c>
      <c r="N30" s="50" t="s">
        <v>28</v>
      </c>
      <c r="O30" s="50"/>
      <c r="P30" s="50"/>
      <c r="Q30" s="51"/>
      <c r="R30" s="50"/>
      <c r="S30" s="50"/>
      <c r="T30" s="51"/>
      <c r="U30" s="50"/>
    </row>
    <row r="31" spans="1:21" x14ac:dyDescent="0.25">
      <c r="A31" s="45" t="s">
        <v>29</v>
      </c>
      <c r="B31" s="46">
        <v>45638</v>
      </c>
      <c r="C31" s="45" t="s">
        <v>244</v>
      </c>
      <c r="D31" s="47"/>
      <c r="E31" s="45" t="s">
        <v>64</v>
      </c>
      <c r="F31" s="45" t="s">
        <v>65</v>
      </c>
      <c r="G31" s="45" t="s">
        <v>376</v>
      </c>
      <c r="H31" s="45" t="s">
        <v>1210</v>
      </c>
      <c r="I31" s="45" t="s">
        <v>1211</v>
      </c>
      <c r="J31" s="45">
        <v>647505175</v>
      </c>
      <c r="K31" s="45" t="s">
        <v>237</v>
      </c>
      <c r="L31" s="48">
        <v>3958.27</v>
      </c>
      <c r="M31" s="49">
        <v>20241022444</v>
      </c>
      <c r="N31" s="50" t="s">
        <v>28</v>
      </c>
      <c r="O31" s="50"/>
      <c r="P31" s="50"/>
      <c r="Q31" s="51"/>
      <c r="R31" s="50"/>
      <c r="S31" s="50"/>
      <c r="T31" s="51"/>
      <c r="U31" s="50"/>
    </row>
    <row r="32" spans="1:21" x14ac:dyDescent="0.25">
      <c r="A32" s="45" t="s">
        <v>20</v>
      </c>
      <c r="B32" s="46">
        <v>45638</v>
      </c>
      <c r="C32" s="45" t="s">
        <v>244</v>
      </c>
      <c r="D32" s="47"/>
      <c r="E32" s="45" t="s">
        <v>107</v>
      </c>
      <c r="F32" s="45" t="s">
        <v>108</v>
      </c>
      <c r="G32" s="45" t="s">
        <v>1212</v>
      </c>
      <c r="H32" s="45" t="s">
        <v>1195</v>
      </c>
      <c r="I32" s="45" t="s">
        <v>1213</v>
      </c>
      <c r="J32" s="45">
        <v>455135763</v>
      </c>
      <c r="K32" s="45" t="s">
        <v>1019</v>
      </c>
      <c r="L32" s="48">
        <v>79.900000000000006</v>
      </c>
      <c r="M32" s="49">
        <v>20241023269</v>
      </c>
      <c r="N32" s="50" t="s">
        <v>28</v>
      </c>
      <c r="O32" s="50"/>
      <c r="P32" s="50"/>
      <c r="Q32" s="51"/>
      <c r="R32" s="50"/>
      <c r="S32" s="50"/>
      <c r="T32" s="51"/>
      <c r="U32" s="50"/>
    </row>
    <row r="33" spans="1:21" x14ac:dyDescent="0.25">
      <c r="A33" s="45" t="s">
        <v>20</v>
      </c>
      <c r="B33" s="46">
        <v>45638</v>
      </c>
      <c r="C33" s="45" t="s">
        <v>244</v>
      </c>
      <c r="D33" s="47"/>
      <c r="E33" s="45" t="s">
        <v>107</v>
      </c>
      <c r="F33" s="45" t="s">
        <v>108</v>
      </c>
      <c r="G33" s="45" t="s">
        <v>1214</v>
      </c>
      <c r="H33" s="45" t="s">
        <v>1215</v>
      </c>
      <c r="I33" s="45" t="s">
        <v>1216</v>
      </c>
      <c r="J33" s="45">
        <v>455192817</v>
      </c>
      <c r="K33" s="45" t="s">
        <v>840</v>
      </c>
      <c r="L33" s="48">
        <v>25</v>
      </c>
      <c r="M33" s="49">
        <v>20241021450</v>
      </c>
      <c r="N33" s="50" t="s">
        <v>28</v>
      </c>
      <c r="O33" s="50"/>
      <c r="P33" s="50"/>
      <c r="Q33" s="51"/>
      <c r="R33" s="50"/>
      <c r="S33" s="50"/>
      <c r="T33" s="51"/>
      <c r="U33" s="50"/>
    </row>
    <row r="34" spans="1:21" x14ac:dyDescent="0.25">
      <c r="A34" s="45" t="s">
        <v>20</v>
      </c>
      <c r="B34" s="46">
        <v>45638</v>
      </c>
      <c r="C34" s="45" t="s">
        <v>244</v>
      </c>
      <c r="D34" s="47"/>
      <c r="E34" s="45" t="s">
        <v>107</v>
      </c>
      <c r="F34" s="45" t="s">
        <v>108</v>
      </c>
      <c r="G34" s="45" t="s">
        <v>773</v>
      </c>
      <c r="H34" s="45" t="s">
        <v>1217</v>
      </c>
      <c r="I34" s="45" t="s">
        <v>1218</v>
      </c>
      <c r="J34" s="45">
        <v>455632444</v>
      </c>
      <c r="K34" s="45" t="s">
        <v>1219</v>
      </c>
      <c r="L34" s="48">
        <v>139.5</v>
      </c>
      <c r="M34" s="49">
        <v>20241022362</v>
      </c>
      <c r="N34" s="50" t="s">
        <v>28</v>
      </c>
      <c r="O34" s="50"/>
      <c r="P34" s="50"/>
      <c r="Q34" s="51"/>
      <c r="R34" s="50"/>
      <c r="S34" s="50"/>
      <c r="T34" s="51"/>
      <c r="U34" s="50"/>
    </row>
    <row r="35" spans="1:21" x14ac:dyDescent="0.25">
      <c r="A35" s="45" t="s">
        <v>20</v>
      </c>
      <c r="B35" s="46">
        <v>45638</v>
      </c>
      <c r="C35" s="45" t="s">
        <v>244</v>
      </c>
      <c r="D35" s="47"/>
      <c r="E35" s="45" t="s">
        <v>107</v>
      </c>
      <c r="F35" s="45" t="s">
        <v>108</v>
      </c>
      <c r="G35" s="45" t="s">
        <v>1212</v>
      </c>
      <c r="H35" s="45" t="s">
        <v>1220</v>
      </c>
      <c r="I35" s="45" t="s">
        <v>1221</v>
      </c>
      <c r="J35" s="45">
        <v>455675766</v>
      </c>
      <c r="K35" s="45" t="s">
        <v>187</v>
      </c>
      <c r="L35" s="48">
        <v>666.25</v>
      </c>
      <c r="M35" s="49">
        <v>20241022483</v>
      </c>
      <c r="N35" s="50" t="s">
        <v>28</v>
      </c>
      <c r="O35" s="50"/>
      <c r="P35" s="50"/>
      <c r="Q35" s="51"/>
      <c r="R35" s="50"/>
      <c r="S35" s="50"/>
      <c r="T35" s="51"/>
      <c r="U35" s="50"/>
    </row>
    <row r="36" spans="1:21" x14ac:dyDescent="0.25">
      <c r="A36" s="45" t="s">
        <v>29</v>
      </c>
      <c r="B36" s="46">
        <v>45638</v>
      </c>
      <c r="C36" s="45" t="s">
        <v>244</v>
      </c>
      <c r="D36" s="47"/>
      <c r="E36" s="45" t="s">
        <v>107</v>
      </c>
      <c r="F36" s="45" t="s">
        <v>108</v>
      </c>
      <c r="G36" s="45" t="s">
        <v>171</v>
      </c>
      <c r="H36" s="45" t="s">
        <v>1222</v>
      </c>
      <c r="I36" s="45" t="s">
        <v>1223</v>
      </c>
      <c r="J36" s="45">
        <v>455933181</v>
      </c>
      <c r="K36" s="45" t="s">
        <v>184</v>
      </c>
      <c r="L36" s="48">
        <v>640</v>
      </c>
      <c r="M36" s="49">
        <v>20241024271</v>
      </c>
      <c r="N36" s="50" t="s">
        <v>28</v>
      </c>
      <c r="O36" s="50"/>
      <c r="P36" s="50"/>
      <c r="Q36" s="51"/>
      <c r="R36" s="50"/>
      <c r="S36" s="50"/>
      <c r="T36" s="51"/>
      <c r="U36" s="50"/>
    </row>
    <row r="37" spans="1:21" x14ac:dyDescent="0.25">
      <c r="A37" s="45" t="s">
        <v>20</v>
      </c>
      <c r="B37" s="46">
        <v>45638</v>
      </c>
      <c r="C37" s="45" t="s">
        <v>244</v>
      </c>
      <c r="D37" s="47"/>
      <c r="E37" s="45" t="s">
        <v>107</v>
      </c>
      <c r="F37" s="45" t="s">
        <v>108</v>
      </c>
      <c r="G37" s="45" t="s">
        <v>1224</v>
      </c>
      <c r="H37" s="45" t="s">
        <v>1225</v>
      </c>
      <c r="I37" s="45" t="s">
        <v>1226</v>
      </c>
      <c r="J37" s="45">
        <v>456152888</v>
      </c>
      <c r="K37" s="45" t="s">
        <v>1227</v>
      </c>
      <c r="L37" s="48">
        <v>524.1</v>
      </c>
      <c r="M37" s="49">
        <v>20241024532</v>
      </c>
      <c r="N37" s="50" t="s">
        <v>28</v>
      </c>
      <c r="O37" s="50"/>
      <c r="P37" s="50"/>
      <c r="Q37" s="51"/>
      <c r="R37" s="50"/>
      <c r="S37" s="50"/>
      <c r="T37" s="51"/>
      <c r="U37" s="50"/>
    </row>
    <row r="38" spans="1:21" x14ac:dyDescent="0.25">
      <c r="A38" s="45" t="s">
        <v>20</v>
      </c>
      <c r="B38" s="46">
        <v>45638</v>
      </c>
      <c r="C38" s="45" t="s">
        <v>244</v>
      </c>
      <c r="D38" s="47"/>
      <c r="E38" s="45" t="s">
        <v>107</v>
      </c>
      <c r="F38" s="45" t="s">
        <v>108</v>
      </c>
      <c r="G38" s="45" t="s">
        <v>773</v>
      </c>
      <c r="H38" s="45" t="s">
        <v>1228</v>
      </c>
      <c r="I38" s="45" t="s">
        <v>1229</v>
      </c>
      <c r="J38" s="45">
        <v>456738237</v>
      </c>
      <c r="K38" s="45" t="s">
        <v>56</v>
      </c>
      <c r="L38" s="48">
        <v>129</v>
      </c>
      <c r="M38" s="49">
        <v>20241021475</v>
      </c>
      <c r="N38" s="50" t="s">
        <v>28</v>
      </c>
      <c r="O38" s="50"/>
      <c r="P38" s="50"/>
      <c r="Q38" s="51"/>
      <c r="R38" s="50"/>
      <c r="S38" s="50"/>
      <c r="T38" s="51"/>
      <c r="U38" s="50"/>
    </row>
    <row r="39" spans="1:21" x14ac:dyDescent="0.25">
      <c r="A39" s="45" t="s">
        <v>20</v>
      </c>
      <c r="B39" s="46">
        <v>45638</v>
      </c>
      <c r="C39" s="45" t="s">
        <v>244</v>
      </c>
      <c r="D39" s="47"/>
      <c r="E39" s="45" t="s">
        <v>107</v>
      </c>
      <c r="F39" s="45" t="s">
        <v>108</v>
      </c>
      <c r="G39" s="45" t="s">
        <v>773</v>
      </c>
      <c r="H39" s="45" t="s">
        <v>1228</v>
      </c>
      <c r="I39" s="45" t="s">
        <v>1229</v>
      </c>
      <c r="J39" s="45">
        <v>456738237</v>
      </c>
      <c r="K39" s="45" t="s">
        <v>1230</v>
      </c>
      <c r="L39" s="48">
        <v>100</v>
      </c>
      <c r="M39" s="49">
        <v>20241021445</v>
      </c>
      <c r="N39" s="50" t="s">
        <v>28</v>
      </c>
      <c r="O39" s="50"/>
      <c r="P39" s="50"/>
      <c r="Q39" s="51"/>
      <c r="R39" s="50"/>
      <c r="S39" s="50"/>
      <c r="T39" s="51"/>
      <c r="U39" s="50"/>
    </row>
    <row r="40" spans="1:21" ht="75" x14ac:dyDescent="0.25">
      <c r="A40" s="45" t="s">
        <v>29</v>
      </c>
      <c r="B40" s="46">
        <v>45701</v>
      </c>
      <c r="C40" s="45" t="s">
        <v>34</v>
      </c>
      <c r="D40" s="47"/>
      <c r="E40" s="45" t="s">
        <v>107</v>
      </c>
      <c r="F40" s="45" t="s">
        <v>108</v>
      </c>
      <c r="G40" s="45" t="s">
        <v>1214</v>
      </c>
      <c r="H40" s="45" t="s">
        <v>1231</v>
      </c>
      <c r="I40" s="45" t="s">
        <v>1232</v>
      </c>
      <c r="J40" s="45">
        <v>456770159</v>
      </c>
      <c r="K40" s="45" t="s">
        <v>270</v>
      </c>
      <c r="L40" s="48">
        <v>74.8</v>
      </c>
      <c r="M40" s="49">
        <v>20241023441</v>
      </c>
      <c r="N40" s="50"/>
      <c r="O40" s="50"/>
      <c r="P40" s="50" t="s">
        <v>304</v>
      </c>
      <c r="Q40" s="51" t="s">
        <v>1233</v>
      </c>
      <c r="R40" s="50"/>
      <c r="S40" s="50"/>
      <c r="T40" s="51"/>
      <c r="U40" s="50"/>
    </row>
    <row r="41" spans="1:21" x14ac:dyDescent="0.25">
      <c r="A41" s="45" t="s">
        <v>20</v>
      </c>
      <c r="B41" s="46">
        <v>45701</v>
      </c>
      <c r="C41" s="45" t="s">
        <v>34</v>
      </c>
      <c r="D41" s="47"/>
      <c r="E41" s="45" t="s">
        <v>107</v>
      </c>
      <c r="F41" s="45" t="s">
        <v>108</v>
      </c>
      <c r="G41" s="45" t="s">
        <v>1234</v>
      </c>
      <c r="H41" s="45" t="s">
        <v>1235</v>
      </c>
      <c r="I41" s="45" t="s">
        <v>1236</v>
      </c>
      <c r="J41" s="45">
        <v>456937676</v>
      </c>
      <c r="K41" s="45" t="s">
        <v>196</v>
      </c>
      <c r="L41" s="48">
        <v>208.33</v>
      </c>
      <c r="M41" s="49">
        <v>20240920275</v>
      </c>
      <c r="N41" s="50" t="s">
        <v>28</v>
      </c>
      <c r="O41" s="50"/>
      <c r="P41" s="50"/>
      <c r="Q41" s="51"/>
      <c r="R41" s="50"/>
      <c r="S41" s="50"/>
      <c r="T41" s="51"/>
      <c r="U41" s="50"/>
    </row>
    <row r="42" spans="1:21" x14ac:dyDescent="0.25">
      <c r="A42" s="45" t="s">
        <v>20</v>
      </c>
      <c r="B42" s="46">
        <v>45701</v>
      </c>
      <c r="C42" s="45" t="s">
        <v>34</v>
      </c>
      <c r="D42" s="47"/>
      <c r="E42" s="45" t="s">
        <v>107</v>
      </c>
      <c r="F42" s="45" t="s">
        <v>108</v>
      </c>
      <c r="G42" s="45" t="s">
        <v>171</v>
      </c>
      <c r="H42" s="45" t="s">
        <v>1237</v>
      </c>
      <c r="I42" s="45" t="s">
        <v>1238</v>
      </c>
      <c r="J42" s="45">
        <v>457154786</v>
      </c>
      <c r="K42" s="45" t="s">
        <v>1219</v>
      </c>
      <c r="L42" s="48">
        <v>240</v>
      </c>
      <c r="M42" s="49">
        <v>20241022341</v>
      </c>
      <c r="N42" s="50" t="s">
        <v>28</v>
      </c>
      <c r="O42" s="50"/>
      <c r="P42" s="50"/>
      <c r="Q42" s="51"/>
      <c r="R42" s="50"/>
      <c r="S42" s="50"/>
      <c r="T42" s="51"/>
      <c r="U42" s="50"/>
    </row>
    <row r="43" spans="1:21" ht="25.5" x14ac:dyDescent="0.25">
      <c r="A43" s="45" t="s">
        <v>20</v>
      </c>
      <c r="B43" s="46">
        <v>45701</v>
      </c>
      <c r="C43" s="45" t="s">
        <v>34</v>
      </c>
      <c r="D43" s="47"/>
      <c r="E43" s="45" t="s">
        <v>107</v>
      </c>
      <c r="F43" s="45" t="s">
        <v>108</v>
      </c>
      <c r="G43" s="45" t="s">
        <v>1239</v>
      </c>
      <c r="H43" s="45" t="s">
        <v>1240</v>
      </c>
      <c r="I43" s="45" t="s">
        <v>581</v>
      </c>
      <c r="J43" s="45">
        <v>457493318</v>
      </c>
      <c r="K43" s="45" t="s">
        <v>918</v>
      </c>
      <c r="L43" s="48">
        <v>333.71</v>
      </c>
      <c r="M43" s="49">
        <v>20241022478</v>
      </c>
      <c r="N43" s="50" t="s">
        <v>28</v>
      </c>
      <c r="O43" s="50"/>
      <c r="P43" s="50"/>
      <c r="Q43" s="51"/>
      <c r="R43" s="50"/>
      <c r="S43" s="50"/>
      <c r="T43" s="51"/>
      <c r="U43" s="50"/>
    </row>
    <row r="44" spans="1:21" x14ac:dyDescent="0.25">
      <c r="A44" s="45" t="s">
        <v>324</v>
      </c>
      <c r="B44" s="46">
        <v>45701</v>
      </c>
      <c r="C44" s="45" t="s">
        <v>34</v>
      </c>
      <c r="D44" s="47"/>
      <c r="E44" s="45" t="s">
        <v>107</v>
      </c>
      <c r="F44" s="45" t="s">
        <v>108</v>
      </c>
      <c r="G44" s="45" t="s">
        <v>274</v>
      </c>
      <c r="H44" s="45" t="s">
        <v>1131</v>
      </c>
      <c r="I44" s="45" t="s">
        <v>1132</v>
      </c>
      <c r="J44" s="45">
        <v>457553222</v>
      </c>
      <c r="K44" s="45" t="s">
        <v>126</v>
      </c>
      <c r="L44" s="48">
        <v>162.5</v>
      </c>
      <c r="M44" s="49">
        <v>20241021760</v>
      </c>
      <c r="N44" s="50" t="s">
        <v>28</v>
      </c>
      <c r="O44" s="50"/>
      <c r="P44" s="50"/>
      <c r="Q44" s="51"/>
      <c r="R44" s="50"/>
      <c r="S44" s="50"/>
      <c r="T44" s="51"/>
      <c r="U44" s="50"/>
    </row>
    <row r="45" spans="1:21" x14ac:dyDescent="0.25">
      <c r="A45" s="45" t="s">
        <v>20</v>
      </c>
      <c r="B45" s="46">
        <v>45701</v>
      </c>
      <c r="C45" s="45" t="s">
        <v>34</v>
      </c>
      <c r="D45" s="47"/>
      <c r="E45" s="45" t="s">
        <v>107</v>
      </c>
      <c r="F45" s="45" t="s">
        <v>108</v>
      </c>
      <c r="G45" s="45" t="s">
        <v>1014</v>
      </c>
      <c r="H45" s="45" t="s">
        <v>1241</v>
      </c>
      <c r="I45" s="45" t="s">
        <v>1242</v>
      </c>
      <c r="J45" s="45">
        <v>457651203</v>
      </c>
      <c r="K45" s="45" t="s">
        <v>989</v>
      </c>
      <c r="L45" s="48">
        <v>41.11</v>
      </c>
      <c r="M45" s="49">
        <v>20241024430</v>
      </c>
      <c r="N45" s="50" t="s">
        <v>28</v>
      </c>
      <c r="O45" s="50"/>
      <c r="P45" s="50"/>
      <c r="Q45" s="51"/>
      <c r="R45" s="50"/>
      <c r="S45" s="50"/>
      <c r="T45" s="51"/>
      <c r="U45" s="50"/>
    </row>
    <row r="46" spans="1:21" x14ac:dyDescent="0.25">
      <c r="A46" s="45" t="s">
        <v>20</v>
      </c>
      <c r="B46" s="46">
        <v>45701</v>
      </c>
      <c r="C46" s="45" t="s">
        <v>34</v>
      </c>
      <c r="D46" s="47"/>
      <c r="E46" s="45" t="s">
        <v>107</v>
      </c>
      <c r="F46" s="45" t="s">
        <v>108</v>
      </c>
      <c r="G46" s="45" t="s">
        <v>1014</v>
      </c>
      <c r="H46" s="45" t="s">
        <v>1241</v>
      </c>
      <c r="I46" s="45" t="s">
        <v>1242</v>
      </c>
      <c r="J46" s="45">
        <v>457651203</v>
      </c>
      <c r="K46" s="45" t="s">
        <v>1243</v>
      </c>
      <c r="L46" s="48">
        <v>41.03</v>
      </c>
      <c r="M46" s="49">
        <v>20241024431</v>
      </c>
      <c r="N46" s="50" t="s">
        <v>28</v>
      </c>
      <c r="O46" s="50"/>
      <c r="P46" s="50"/>
      <c r="Q46" s="51"/>
      <c r="R46" s="50"/>
      <c r="S46" s="50"/>
      <c r="T46" s="51"/>
      <c r="U46" s="50"/>
    </row>
    <row r="47" spans="1:21" ht="30" x14ac:dyDescent="0.25">
      <c r="A47" s="45" t="s">
        <v>29</v>
      </c>
      <c r="B47" s="46">
        <v>45701</v>
      </c>
      <c r="C47" s="45" t="s">
        <v>34</v>
      </c>
      <c r="D47" s="47"/>
      <c r="E47" s="45" t="s">
        <v>155</v>
      </c>
      <c r="F47" s="45" t="s">
        <v>156</v>
      </c>
      <c r="G47" s="45" t="s">
        <v>1244</v>
      </c>
      <c r="H47" s="45" t="s">
        <v>1245</v>
      </c>
      <c r="I47" s="45" t="s">
        <v>1246</v>
      </c>
      <c r="J47" s="45">
        <v>632014896</v>
      </c>
      <c r="K47" s="45" t="s">
        <v>318</v>
      </c>
      <c r="L47" s="48">
        <v>1050</v>
      </c>
      <c r="M47" s="49">
        <v>20241016586</v>
      </c>
      <c r="N47" s="50" t="s">
        <v>28</v>
      </c>
      <c r="O47" s="50"/>
      <c r="P47" s="50"/>
      <c r="Q47" s="51" t="s">
        <v>1247</v>
      </c>
      <c r="R47" s="50"/>
      <c r="S47" s="50"/>
      <c r="T47" s="51"/>
      <c r="U47" s="50"/>
    </row>
    <row r="48" spans="1:21" x14ac:dyDescent="0.25">
      <c r="A48" s="45" t="s">
        <v>20</v>
      </c>
      <c r="B48" s="46">
        <v>45701</v>
      </c>
      <c r="C48" s="45" t="s">
        <v>34</v>
      </c>
      <c r="D48" s="47"/>
      <c r="E48" s="45" t="s">
        <v>176</v>
      </c>
      <c r="F48" s="45" t="s">
        <v>177</v>
      </c>
      <c r="G48" s="45" t="s">
        <v>1248</v>
      </c>
      <c r="H48" s="45" t="s">
        <v>1249</v>
      </c>
      <c r="I48" s="45" t="s">
        <v>1250</v>
      </c>
      <c r="J48" s="45">
        <v>444769940</v>
      </c>
      <c r="K48" s="45" t="s">
        <v>1230</v>
      </c>
      <c r="L48" s="48">
        <v>745.55</v>
      </c>
      <c r="M48" s="49">
        <v>20241022156</v>
      </c>
      <c r="N48" s="50" t="s">
        <v>28</v>
      </c>
      <c r="O48" s="50"/>
      <c r="P48" s="50"/>
      <c r="Q48" s="51"/>
      <c r="R48" s="50"/>
      <c r="S48" s="50"/>
      <c r="T48" s="51"/>
      <c r="U48" s="50"/>
    </row>
    <row r="49" spans="1:21" x14ac:dyDescent="0.25">
      <c r="A49" s="45" t="s">
        <v>20</v>
      </c>
      <c r="B49" s="46">
        <v>45701</v>
      </c>
      <c r="C49" s="45" t="s">
        <v>34</v>
      </c>
      <c r="D49" s="47"/>
      <c r="E49" s="45" t="s">
        <v>176</v>
      </c>
      <c r="F49" s="45" t="s">
        <v>177</v>
      </c>
      <c r="G49" s="45" t="s">
        <v>1251</v>
      </c>
      <c r="H49" s="45" t="s">
        <v>1252</v>
      </c>
      <c r="I49" s="45" t="s">
        <v>1253</v>
      </c>
      <c r="J49" s="45">
        <v>450084735</v>
      </c>
      <c r="K49" s="45" t="s">
        <v>1019</v>
      </c>
      <c r="L49" s="48">
        <v>145</v>
      </c>
      <c r="M49" s="49">
        <v>20241023358</v>
      </c>
      <c r="N49" s="50" t="s">
        <v>28</v>
      </c>
      <c r="O49" s="50"/>
      <c r="P49" s="50"/>
      <c r="Q49" s="51"/>
      <c r="R49" s="50"/>
      <c r="S49" s="50"/>
      <c r="T49" s="51"/>
      <c r="U49" s="50"/>
    </row>
    <row r="50" spans="1:21" x14ac:dyDescent="0.25">
      <c r="A50" s="45" t="s">
        <v>29</v>
      </c>
      <c r="B50" s="46">
        <v>45701</v>
      </c>
      <c r="C50" s="45" t="s">
        <v>34</v>
      </c>
      <c r="D50" s="47"/>
      <c r="E50" s="45" t="s">
        <v>176</v>
      </c>
      <c r="F50" s="45" t="s">
        <v>177</v>
      </c>
      <c r="G50" s="45" t="s">
        <v>1254</v>
      </c>
      <c r="H50" s="45" t="s">
        <v>1255</v>
      </c>
      <c r="I50" s="45" t="s">
        <v>1256</v>
      </c>
      <c r="J50" s="45">
        <v>450996643</v>
      </c>
      <c r="K50" s="45" t="s">
        <v>83</v>
      </c>
      <c r="L50" s="48">
        <v>150</v>
      </c>
      <c r="M50" s="49">
        <v>20241023375</v>
      </c>
      <c r="N50" s="50" t="s">
        <v>28</v>
      </c>
      <c r="O50" s="50"/>
      <c r="P50" s="50"/>
      <c r="Q50" s="51"/>
      <c r="R50" s="50"/>
      <c r="S50" s="50"/>
      <c r="T50" s="51"/>
      <c r="U50" s="50"/>
    </row>
    <row r="51" spans="1:21" x14ac:dyDescent="0.25">
      <c r="A51" s="45" t="s">
        <v>20</v>
      </c>
      <c r="B51" s="46">
        <v>45701</v>
      </c>
      <c r="C51" s="45" t="s">
        <v>34</v>
      </c>
      <c r="D51" s="47"/>
      <c r="E51" s="45" t="s">
        <v>176</v>
      </c>
      <c r="F51" s="45" t="s">
        <v>177</v>
      </c>
      <c r="G51" s="45" t="s">
        <v>368</v>
      </c>
      <c r="H51" s="45" t="s">
        <v>110</v>
      </c>
      <c r="I51" s="45" t="s">
        <v>1257</v>
      </c>
      <c r="J51" s="45">
        <v>451194838</v>
      </c>
      <c r="K51" s="45" t="s">
        <v>999</v>
      </c>
      <c r="L51" s="48">
        <v>533.01</v>
      </c>
      <c r="M51" s="49">
        <v>20241023128</v>
      </c>
      <c r="N51" s="50" t="s">
        <v>28</v>
      </c>
      <c r="O51" s="50"/>
      <c r="P51" s="50"/>
      <c r="Q51" s="51"/>
      <c r="R51" s="50"/>
      <c r="S51" s="50"/>
      <c r="T51" s="51"/>
      <c r="U51" s="50"/>
    </row>
    <row r="52" spans="1:21" x14ac:dyDescent="0.25">
      <c r="A52" s="45" t="s">
        <v>20</v>
      </c>
      <c r="B52" s="46">
        <v>45701</v>
      </c>
      <c r="C52" s="45" t="s">
        <v>34</v>
      </c>
      <c r="D52" s="47"/>
      <c r="E52" s="45" t="s">
        <v>176</v>
      </c>
      <c r="F52" s="45" t="s">
        <v>177</v>
      </c>
      <c r="G52" s="45" t="s">
        <v>1258</v>
      </c>
      <c r="H52" s="45" t="s">
        <v>1259</v>
      </c>
      <c r="I52" s="45" t="s">
        <v>1260</v>
      </c>
      <c r="J52" s="45">
        <v>452215001</v>
      </c>
      <c r="K52" s="45" t="s">
        <v>1261</v>
      </c>
      <c r="L52" s="48">
        <v>179</v>
      </c>
      <c r="M52" s="49">
        <v>20241023402</v>
      </c>
      <c r="N52" s="50" t="s">
        <v>28</v>
      </c>
      <c r="O52" s="50"/>
      <c r="P52" s="50"/>
      <c r="Q52" s="51"/>
      <c r="R52" s="50"/>
      <c r="S52" s="50"/>
      <c r="T52" s="51"/>
      <c r="U52" s="50"/>
    </row>
    <row r="53" spans="1:21" x14ac:dyDescent="0.25">
      <c r="A53" s="45" t="s">
        <v>20</v>
      </c>
      <c r="B53" s="46">
        <v>45701</v>
      </c>
      <c r="C53" s="45" t="s">
        <v>34</v>
      </c>
      <c r="D53" s="47"/>
      <c r="E53" s="45" t="s">
        <v>176</v>
      </c>
      <c r="F53" s="45" t="s">
        <v>177</v>
      </c>
      <c r="G53" s="45" t="s">
        <v>1262</v>
      </c>
      <c r="H53" s="45" t="s">
        <v>1263</v>
      </c>
      <c r="I53" s="45" t="s">
        <v>1264</v>
      </c>
      <c r="J53" s="45">
        <v>452574390</v>
      </c>
      <c r="K53" s="45" t="s">
        <v>1265</v>
      </c>
      <c r="L53" s="48">
        <v>20.82</v>
      </c>
      <c r="M53" s="49">
        <v>20241024498</v>
      </c>
      <c r="N53" s="50" t="s">
        <v>28</v>
      </c>
      <c r="O53" s="50"/>
      <c r="P53" s="50"/>
      <c r="Q53" s="51"/>
      <c r="R53" s="50"/>
      <c r="S53" s="50"/>
      <c r="T53" s="51"/>
      <c r="U53" s="50"/>
    </row>
    <row r="54" spans="1:21" x14ac:dyDescent="0.25">
      <c r="A54" s="45" t="s">
        <v>20</v>
      </c>
      <c r="B54" s="46">
        <v>45701</v>
      </c>
      <c r="C54" s="45" t="s">
        <v>34</v>
      </c>
      <c r="D54" s="47"/>
      <c r="E54" s="45" t="s">
        <v>176</v>
      </c>
      <c r="F54" s="45" t="s">
        <v>177</v>
      </c>
      <c r="G54" s="45" t="s">
        <v>869</v>
      </c>
      <c r="H54" s="45" t="s">
        <v>1266</v>
      </c>
      <c r="I54" s="45" t="s">
        <v>969</v>
      </c>
      <c r="J54" s="45">
        <v>452593697</v>
      </c>
      <c r="K54" s="45" t="s">
        <v>1267</v>
      </c>
      <c r="L54" s="48">
        <v>782.14</v>
      </c>
      <c r="M54" s="49">
        <v>20241022592</v>
      </c>
      <c r="N54" s="50" t="s">
        <v>28</v>
      </c>
      <c r="O54" s="50"/>
      <c r="P54" s="50"/>
      <c r="Q54" s="51"/>
      <c r="R54" s="50"/>
      <c r="S54" s="50"/>
      <c r="T54" s="51"/>
      <c r="U54" s="50"/>
    </row>
    <row r="55" spans="1:21" x14ac:dyDescent="0.25">
      <c r="A55" s="45" t="s">
        <v>20</v>
      </c>
      <c r="B55" s="46">
        <v>45701</v>
      </c>
      <c r="C55" s="45" t="s">
        <v>34</v>
      </c>
      <c r="D55" s="47"/>
      <c r="E55" s="45" t="s">
        <v>176</v>
      </c>
      <c r="F55" s="45" t="s">
        <v>177</v>
      </c>
      <c r="G55" s="45" t="s">
        <v>1268</v>
      </c>
      <c r="H55" s="45" t="s">
        <v>1269</v>
      </c>
      <c r="I55" s="45" t="s">
        <v>1270</v>
      </c>
      <c r="J55" s="45">
        <v>454779743</v>
      </c>
      <c r="K55" s="45" t="s">
        <v>999</v>
      </c>
      <c r="L55" s="48">
        <v>60</v>
      </c>
      <c r="M55" s="49">
        <v>2024102198</v>
      </c>
      <c r="N55" s="50" t="s">
        <v>28</v>
      </c>
      <c r="O55" s="50"/>
      <c r="P55" s="50"/>
      <c r="Q55" s="51"/>
      <c r="R55" s="50"/>
      <c r="S55" s="50"/>
      <c r="T55" s="51"/>
      <c r="U55" s="50"/>
    </row>
    <row r="56" spans="1:21" x14ac:dyDescent="0.25">
      <c r="A56" s="45" t="s">
        <v>20</v>
      </c>
      <c r="B56" s="46">
        <v>45701</v>
      </c>
      <c r="C56" s="45" t="s">
        <v>34</v>
      </c>
      <c r="D56" s="47"/>
      <c r="E56" s="45" t="s">
        <v>176</v>
      </c>
      <c r="F56" s="45" t="s">
        <v>177</v>
      </c>
      <c r="G56" s="45" t="s">
        <v>1271</v>
      </c>
      <c r="H56" s="45" t="s">
        <v>1272</v>
      </c>
      <c r="I56" s="45" t="s">
        <v>1273</v>
      </c>
      <c r="J56" s="45">
        <v>454835846</v>
      </c>
      <c r="K56" s="45" t="s">
        <v>301</v>
      </c>
      <c r="L56" s="48">
        <v>45</v>
      </c>
      <c r="M56" s="49">
        <v>20241022129</v>
      </c>
      <c r="N56" s="50" t="s">
        <v>28</v>
      </c>
      <c r="O56" s="50"/>
      <c r="P56" s="50"/>
      <c r="Q56" s="51"/>
      <c r="R56" s="50"/>
      <c r="S56" s="50"/>
      <c r="T56" s="51"/>
      <c r="U56" s="50"/>
    </row>
    <row r="57" spans="1:21" x14ac:dyDescent="0.25">
      <c r="A57" s="45" t="s">
        <v>20</v>
      </c>
      <c r="B57" s="46">
        <v>45701</v>
      </c>
      <c r="C57" s="45" t="s">
        <v>34</v>
      </c>
      <c r="D57" s="47"/>
      <c r="E57" s="45" t="s">
        <v>176</v>
      </c>
      <c r="F57" s="45" t="s">
        <v>177</v>
      </c>
      <c r="G57" s="45" t="s">
        <v>1271</v>
      </c>
      <c r="H57" s="45" t="s">
        <v>1272</v>
      </c>
      <c r="I57" s="45" t="s">
        <v>1273</v>
      </c>
      <c r="J57" s="45">
        <v>454835846</v>
      </c>
      <c r="K57" s="45" t="s">
        <v>1005</v>
      </c>
      <c r="L57" s="48">
        <v>365</v>
      </c>
      <c r="M57" s="49">
        <v>20241022128</v>
      </c>
      <c r="N57" s="50" t="s">
        <v>28</v>
      </c>
      <c r="O57" s="50"/>
      <c r="P57" s="50"/>
      <c r="Q57" s="51"/>
      <c r="R57" s="50"/>
      <c r="S57" s="50"/>
      <c r="T57" s="51"/>
      <c r="U57" s="50"/>
    </row>
    <row r="58" spans="1:21" x14ac:dyDescent="0.25">
      <c r="A58" s="45" t="s">
        <v>20</v>
      </c>
      <c r="B58" s="46">
        <v>45701</v>
      </c>
      <c r="C58" s="45" t="s">
        <v>34</v>
      </c>
      <c r="D58" s="47"/>
      <c r="E58" s="45" t="s">
        <v>176</v>
      </c>
      <c r="F58" s="45" t="s">
        <v>177</v>
      </c>
      <c r="G58" s="45" t="s">
        <v>1271</v>
      </c>
      <c r="H58" s="45" t="s">
        <v>1272</v>
      </c>
      <c r="I58" s="45" t="s">
        <v>1273</v>
      </c>
      <c r="J58" s="45">
        <v>454835846</v>
      </c>
      <c r="K58" s="45" t="s">
        <v>783</v>
      </c>
      <c r="L58" s="48">
        <v>124.51</v>
      </c>
      <c r="M58" s="49">
        <v>20241022130</v>
      </c>
      <c r="N58" s="50" t="s">
        <v>28</v>
      </c>
      <c r="O58" s="50"/>
      <c r="P58" s="50"/>
      <c r="Q58" s="51"/>
      <c r="R58" s="50"/>
      <c r="S58" s="50"/>
      <c r="T58" s="51"/>
      <c r="U58" s="50"/>
    </row>
    <row r="59" spans="1:21" x14ac:dyDescent="0.25">
      <c r="A59" s="45" t="s">
        <v>20</v>
      </c>
      <c r="B59" s="46">
        <v>45701</v>
      </c>
      <c r="C59" s="45" t="s">
        <v>34</v>
      </c>
      <c r="D59" s="47"/>
      <c r="E59" s="45" t="s">
        <v>176</v>
      </c>
      <c r="F59" s="45" t="s">
        <v>177</v>
      </c>
      <c r="G59" s="45" t="s">
        <v>1274</v>
      </c>
      <c r="H59" s="45" t="s">
        <v>217</v>
      </c>
      <c r="I59" s="45" t="s">
        <v>1275</v>
      </c>
      <c r="J59" s="45">
        <v>455632814</v>
      </c>
      <c r="K59" s="45" t="s">
        <v>790</v>
      </c>
      <c r="L59" s="48">
        <v>1600</v>
      </c>
      <c r="M59" s="49">
        <v>20241023143</v>
      </c>
      <c r="N59" s="50" t="s">
        <v>28</v>
      </c>
      <c r="O59" s="50"/>
      <c r="P59" s="50"/>
      <c r="Q59" s="51"/>
      <c r="R59" s="50"/>
      <c r="S59" s="50"/>
      <c r="T59" s="51"/>
      <c r="U59" s="50"/>
    </row>
    <row r="60" spans="1:21" x14ac:dyDescent="0.25">
      <c r="A60" s="45" t="s">
        <v>29</v>
      </c>
      <c r="B60" s="46">
        <v>45701</v>
      </c>
      <c r="C60" s="45" t="s">
        <v>34</v>
      </c>
      <c r="D60" s="47"/>
      <c r="E60" s="45" t="s">
        <v>176</v>
      </c>
      <c r="F60" s="45" t="s">
        <v>177</v>
      </c>
      <c r="G60" s="45" t="s">
        <v>1212</v>
      </c>
      <c r="H60" s="45" t="s">
        <v>938</v>
      </c>
      <c r="I60" s="45" t="s">
        <v>1276</v>
      </c>
      <c r="J60" s="45">
        <v>455876978</v>
      </c>
      <c r="K60" s="45" t="s">
        <v>56</v>
      </c>
      <c r="L60" s="48">
        <v>480</v>
      </c>
      <c r="M60" s="49">
        <v>20241022602</v>
      </c>
      <c r="N60" s="50" t="s">
        <v>28</v>
      </c>
      <c r="O60" s="50"/>
      <c r="P60" s="50"/>
      <c r="Q60" s="51"/>
      <c r="R60" s="50"/>
      <c r="S60" s="50"/>
      <c r="T60" s="51"/>
      <c r="U60" s="50"/>
    </row>
    <row r="61" spans="1:21" x14ac:dyDescent="0.25">
      <c r="A61" s="45" t="s">
        <v>29</v>
      </c>
      <c r="B61" s="46">
        <v>45701</v>
      </c>
      <c r="C61" s="45" t="s">
        <v>34</v>
      </c>
      <c r="D61" s="47"/>
      <c r="E61" s="45" t="s">
        <v>176</v>
      </c>
      <c r="F61" s="45" t="s">
        <v>177</v>
      </c>
      <c r="G61" s="45" t="s">
        <v>1277</v>
      </c>
      <c r="H61" s="45" t="s">
        <v>1278</v>
      </c>
      <c r="I61" s="45" t="s">
        <v>1279</v>
      </c>
      <c r="J61" s="45">
        <v>456777320</v>
      </c>
      <c r="K61" s="45" t="s">
        <v>765</v>
      </c>
      <c r="L61" s="48">
        <v>700</v>
      </c>
      <c r="M61" s="49">
        <v>20241021657</v>
      </c>
      <c r="N61" s="50" t="s">
        <v>28</v>
      </c>
      <c r="O61" s="50"/>
      <c r="P61" s="50"/>
      <c r="Q61" s="51"/>
      <c r="R61" s="50"/>
      <c r="S61" s="50"/>
      <c r="T61" s="51"/>
      <c r="U61" s="50"/>
    </row>
    <row r="62" spans="1:21" x14ac:dyDescent="0.25">
      <c r="A62" s="45" t="s">
        <v>20</v>
      </c>
      <c r="B62" s="46">
        <v>45701</v>
      </c>
      <c r="C62" s="45" t="s">
        <v>34</v>
      </c>
      <c r="D62" s="47"/>
      <c r="E62" s="45" t="s">
        <v>176</v>
      </c>
      <c r="F62" s="45" t="s">
        <v>177</v>
      </c>
      <c r="G62" s="45" t="s">
        <v>1280</v>
      </c>
      <c r="H62" s="45" t="s">
        <v>1281</v>
      </c>
      <c r="I62" s="45" t="s">
        <v>1282</v>
      </c>
      <c r="J62" s="45">
        <v>457451108</v>
      </c>
      <c r="K62" s="45" t="s">
        <v>1219</v>
      </c>
      <c r="L62" s="48">
        <v>30</v>
      </c>
      <c r="M62" s="49">
        <v>20241024501</v>
      </c>
      <c r="N62" s="50" t="s">
        <v>28</v>
      </c>
      <c r="O62" s="50"/>
      <c r="P62" s="50"/>
      <c r="Q62" s="51"/>
      <c r="R62" s="50"/>
      <c r="S62" s="50"/>
      <c r="T62" s="51"/>
      <c r="U62" s="50"/>
    </row>
    <row r="63" spans="1:21" x14ac:dyDescent="0.25">
      <c r="A63" s="45" t="s">
        <v>1283</v>
      </c>
      <c r="B63" s="46">
        <v>45701</v>
      </c>
      <c r="C63" s="45" t="s">
        <v>34</v>
      </c>
      <c r="D63" s="47"/>
      <c r="E63" s="45" t="s">
        <v>208</v>
      </c>
      <c r="F63" s="45" t="s">
        <v>209</v>
      </c>
      <c r="G63" s="45" t="s">
        <v>1284</v>
      </c>
      <c r="H63" s="45" t="s">
        <v>1285</v>
      </c>
      <c r="I63" s="45" t="s">
        <v>1286</v>
      </c>
      <c r="J63" s="45">
        <v>227984803</v>
      </c>
      <c r="K63" s="45" t="s">
        <v>62</v>
      </c>
      <c r="L63" s="48">
        <v>1880.26</v>
      </c>
      <c r="M63" s="49">
        <v>20241024482</v>
      </c>
      <c r="N63" s="50" t="s">
        <v>28</v>
      </c>
      <c r="O63" s="50"/>
      <c r="P63" s="50"/>
      <c r="Q63" s="51"/>
      <c r="R63" s="50"/>
      <c r="S63" s="50"/>
      <c r="T63" s="51"/>
      <c r="U63" s="50"/>
    </row>
    <row r="64" spans="1:21" x14ac:dyDescent="0.25">
      <c r="A64" s="45" t="s">
        <v>1283</v>
      </c>
      <c r="B64" s="46">
        <v>45701</v>
      </c>
      <c r="C64" s="45" t="s">
        <v>34</v>
      </c>
      <c r="D64" s="47"/>
      <c r="E64" s="45" t="s">
        <v>208</v>
      </c>
      <c r="F64" s="45" t="s">
        <v>209</v>
      </c>
      <c r="G64" s="45" t="s">
        <v>1284</v>
      </c>
      <c r="H64" s="45" t="s">
        <v>1285</v>
      </c>
      <c r="I64" s="45" t="s">
        <v>1286</v>
      </c>
      <c r="J64" s="45">
        <v>227984803</v>
      </c>
      <c r="K64" s="45" t="s">
        <v>891</v>
      </c>
      <c r="L64" s="48">
        <v>130.55000000000001</v>
      </c>
      <c r="M64" s="49">
        <v>20241024484</v>
      </c>
      <c r="N64" s="50" t="s">
        <v>28</v>
      </c>
      <c r="O64" s="50"/>
      <c r="P64" s="50"/>
      <c r="Q64" s="51"/>
      <c r="R64" s="50"/>
      <c r="S64" s="50"/>
      <c r="T64" s="51"/>
      <c r="U64" s="50"/>
    </row>
    <row r="65" spans="1:21" x14ac:dyDescent="0.25">
      <c r="A65" s="45" t="s">
        <v>1283</v>
      </c>
      <c r="B65" s="46">
        <v>45701</v>
      </c>
      <c r="C65" s="45" t="s">
        <v>34</v>
      </c>
      <c r="D65" s="47"/>
      <c r="E65" s="45" t="s">
        <v>208</v>
      </c>
      <c r="F65" s="45" t="s">
        <v>209</v>
      </c>
      <c r="G65" s="45" t="s">
        <v>1284</v>
      </c>
      <c r="H65" s="45" t="s">
        <v>1285</v>
      </c>
      <c r="I65" s="45" t="s">
        <v>1286</v>
      </c>
      <c r="J65" s="45">
        <v>227984803</v>
      </c>
      <c r="K65" s="45" t="s">
        <v>272</v>
      </c>
      <c r="L65" s="48">
        <v>294.77999999999997</v>
      </c>
      <c r="M65" s="49">
        <v>20241024485</v>
      </c>
      <c r="N65" s="50" t="s">
        <v>28</v>
      </c>
      <c r="O65" s="50"/>
      <c r="P65" s="50"/>
      <c r="Q65" s="51"/>
      <c r="R65" s="50"/>
      <c r="S65" s="50"/>
      <c r="T65" s="51"/>
      <c r="U65" s="50"/>
    </row>
    <row r="66" spans="1:21" x14ac:dyDescent="0.25">
      <c r="A66" s="45" t="s">
        <v>1283</v>
      </c>
      <c r="B66" s="46">
        <v>45701</v>
      </c>
      <c r="C66" s="45" t="s">
        <v>34</v>
      </c>
      <c r="D66" s="47"/>
      <c r="E66" s="45" t="s">
        <v>208</v>
      </c>
      <c r="F66" s="45" t="s">
        <v>209</v>
      </c>
      <c r="G66" s="45" t="s">
        <v>1284</v>
      </c>
      <c r="H66" s="45" t="s">
        <v>1285</v>
      </c>
      <c r="I66" s="45" t="s">
        <v>1286</v>
      </c>
      <c r="J66" s="45">
        <v>227984803</v>
      </c>
      <c r="K66" s="45" t="s">
        <v>62</v>
      </c>
      <c r="L66" s="48">
        <v>224.77</v>
      </c>
      <c r="M66" s="49">
        <v>20241024486</v>
      </c>
      <c r="N66" s="50" t="s">
        <v>28</v>
      </c>
      <c r="O66" s="50"/>
      <c r="P66" s="50"/>
      <c r="Q66" s="51"/>
      <c r="R66" s="50"/>
      <c r="S66" s="50"/>
      <c r="T66" s="51"/>
      <c r="U66" s="50"/>
    </row>
    <row r="67" spans="1:21" x14ac:dyDescent="0.25">
      <c r="A67" s="45" t="s">
        <v>20</v>
      </c>
      <c r="B67" s="46">
        <v>45701</v>
      </c>
      <c r="C67" s="45" t="s">
        <v>34</v>
      </c>
      <c r="D67" s="47"/>
      <c r="E67" s="45" t="s">
        <v>208</v>
      </c>
      <c r="F67" s="45" t="s">
        <v>209</v>
      </c>
      <c r="G67" s="45" t="s">
        <v>202</v>
      </c>
      <c r="H67" s="45" t="s">
        <v>1124</v>
      </c>
      <c r="I67" s="45" t="s">
        <v>1287</v>
      </c>
      <c r="J67" s="45">
        <v>281883351</v>
      </c>
      <c r="K67" s="45" t="s">
        <v>1265</v>
      </c>
      <c r="L67" s="48">
        <v>324.25</v>
      </c>
      <c r="M67" s="49">
        <v>20241025644</v>
      </c>
      <c r="N67" s="50" t="s">
        <v>28</v>
      </c>
      <c r="O67" s="50"/>
      <c r="P67" s="50"/>
      <c r="Q67" s="51"/>
      <c r="R67" s="50"/>
      <c r="S67" s="50"/>
      <c r="T67" s="51"/>
      <c r="U67" s="50"/>
    </row>
    <row r="68" spans="1:21" x14ac:dyDescent="0.25">
      <c r="A68" s="45" t="s">
        <v>29</v>
      </c>
      <c r="B68" s="46">
        <v>45701</v>
      </c>
      <c r="C68" s="45" t="s">
        <v>34</v>
      </c>
      <c r="D68" s="47"/>
      <c r="E68" s="45" t="s">
        <v>208</v>
      </c>
      <c r="F68" s="45" t="s">
        <v>209</v>
      </c>
      <c r="G68" s="45" t="s">
        <v>1014</v>
      </c>
      <c r="H68" s="45" t="s">
        <v>1288</v>
      </c>
      <c r="I68" s="45" t="s">
        <v>1289</v>
      </c>
      <c r="J68" s="45">
        <v>308965307</v>
      </c>
      <c r="K68" s="45" t="s">
        <v>1126</v>
      </c>
      <c r="L68" s="48">
        <v>320</v>
      </c>
      <c r="M68" s="49">
        <v>20241021461</v>
      </c>
      <c r="N68" s="50" t="s">
        <v>28</v>
      </c>
      <c r="O68" s="50"/>
      <c r="P68" s="50"/>
      <c r="Q68" s="51"/>
      <c r="R68" s="50"/>
      <c r="S68" s="50"/>
      <c r="T68" s="51"/>
      <c r="U68" s="50"/>
    </row>
    <row r="69" spans="1:21" x14ac:dyDescent="0.25">
      <c r="A69" s="45" t="s">
        <v>29</v>
      </c>
      <c r="B69" s="46">
        <v>45610</v>
      </c>
      <c r="C69" s="45" t="s">
        <v>175</v>
      </c>
      <c r="D69" s="47"/>
      <c r="E69" s="45" t="s">
        <v>208</v>
      </c>
      <c r="F69" s="45" t="s">
        <v>209</v>
      </c>
      <c r="G69" s="45" t="s">
        <v>1014</v>
      </c>
      <c r="H69" s="45" t="s">
        <v>1288</v>
      </c>
      <c r="I69" s="45" t="s">
        <v>1289</v>
      </c>
      <c r="J69" s="45">
        <v>308965307</v>
      </c>
      <c r="K69" s="45" t="s">
        <v>223</v>
      </c>
      <c r="L69" s="48">
        <v>320</v>
      </c>
      <c r="M69" s="49">
        <v>20241021467</v>
      </c>
      <c r="N69" s="50" t="s">
        <v>28</v>
      </c>
      <c r="O69" s="50"/>
      <c r="P69" s="50"/>
      <c r="Q69" s="51"/>
      <c r="R69" s="50"/>
      <c r="S69" s="50"/>
      <c r="T69" s="51"/>
      <c r="U69" s="50"/>
    </row>
    <row r="70" spans="1:21" x14ac:dyDescent="0.25">
      <c r="A70" s="45" t="s">
        <v>29</v>
      </c>
      <c r="B70" s="46">
        <v>45610</v>
      </c>
      <c r="C70" s="45" t="s">
        <v>175</v>
      </c>
      <c r="D70" s="47"/>
      <c r="E70" s="45" t="s">
        <v>208</v>
      </c>
      <c r="F70" s="45" t="s">
        <v>209</v>
      </c>
      <c r="G70" s="45" t="s">
        <v>1014</v>
      </c>
      <c r="H70" s="45" t="s">
        <v>1288</v>
      </c>
      <c r="I70" s="45" t="s">
        <v>1289</v>
      </c>
      <c r="J70" s="45">
        <v>308965307</v>
      </c>
      <c r="K70" s="45" t="s">
        <v>1005</v>
      </c>
      <c r="L70" s="48">
        <v>320</v>
      </c>
      <c r="M70" s="49">
        <v>20241021423</v>
      </c>
      <c r="N70" s="50" t="s">
        <v>28</v>
      </c>
      <c r="O70" s="50"/>
      <c r="P70" s="50"/>
      <c r="Q70" s="51"/>
      <c r="R70" s="50"/>
      <c r="S70" s="50"/>
      <c r="T70" s="51"/>
      <c r="U70" s="50"/>
    </row>
    <row r="71" spans="1:21" x14ac:dyDescent="0.25">
      <c r="A71" s="45" t="s">
        <v>29</v>
      </c>
      <c r="B71" s="46">
        <v>45610</v>
      </c>
      <c r="C71" s="45" t="s">
        <v>175</v>
      </c>
      <c r="D71" s="47"/>
      <c r="E71" s="45" t="s">
        <v>208</v>
      </c>
      <c r="F71" s="45" t="s">
        <v>209</v>
      </c>
      <c r="G71" s="45" t="s">
        <v>1014</v>
      </c>
      <c r="H71" s="45" t="s">
        <v>1288</v>
      </c>
      <c r="I71" s="45" t="s">
        <v>1289</v>
      </c>
      <c r="J71" s="45">
        <v>308965307</v>
      </c>
      <c r="K71" s="45" t="s">
        <v>406</v>
      </c>
      <c r="L71" s="48">
        <v>320</v>
      </c>
      <c r="M71" s="49">
        <v>20241021419</v>
      </c>
      <c r="N71" s="50" t="s">
        <v>28</v>
      </c>
      <c r="O71" s="50"/>
      <c r="P71" s="50"/>
      <c r="Q71" s="51"/>
      <c r="R71" s="50"/>
      <c r="S71" s="50"/>
      <c r="T71" s="51"/>
      <c r="U71" s="50"/>
    </row>
    <row r="72" spans="1:21" x14ac:dyDescent="0.25">
      <c r="A72" s="45" t="s">
        <v>29</v>
      </c>
      <c r="B72" s="46">
        <v>45610</v>
      </c>
      <c r="C72" s="45" t="s">
        <v>175</v>
      </c>
      <c r="D72" s="47"/>
      <c r="E72" s="45" t="s">
        <v>208</v>
      </c>
      <c r="F72" s="45" t="s">
        <v>209</v>
      </c>
      <c r="G72" s="45" t="s">
        <v>1014</v>
      </c>
      <c r="H72" s="45" t="s">
        <v>1288</v>
      </c>
      <c r="I72" s="45" t="s">
        <v>1289</v>
      </c>
      <c r="J72" s="45">
        <v>308965307</v>
      </c>
      <c r="K72" s="45" t="s">
        <v>1219</v>
      </c>
      <c r="L72" s="48">
        <v>320</v>
      </c>
      <c r="M72" s="49">
        <v>20241021425</v>
      </c>
      <c r="N72" s="50" t="s">
        <v>28</v>
      </c>
      <c r="O72" s="50"/>
      <c r="P72" s="50"/>
      <c r="Q72" s="51"/>
      <c r="R72" s="50"/>
      <c r="S72" s="50"/>
      <c r="T72" s="51"/>
      <c r="U72" s="50"/>
    </row>
    <row r="73" spans="1:21" x14ac:dyDescent="0.25">
      <c r="A73" s="45" t="s">
        <v>20</v>
      </c>
      <c r="B73" s="46">
        <v>45610</v>
      </c>
      <c r="C73" s="45" t="s">
        <v>175</v>
      </c>
      <c r="D73" s="47"/>
      <c r="E73" s="45" t="s">
        <v>208</v>
      </c>
      <c r="F73" s="45" t="s">
        <v>209</v>
      </c>
      <c r="G73" s="45" t="s">
        <v>30</v>
      </c>
      <c r="H73" s="45" t="s">
        <v>1290</v>
      </c>
      <c r="I73" s="45" t="s">
        <v>1291</v>
      </c>
      <c r="J73" s="45">
        <v>351709306</v>
      </c>
      <c r="K73" s="45" t="s">
        <v>1230</v>
      </c>
      <c r="L73" s="48">
        <v>69.25</v>
      </c>
      <c r="M73" s="49">
        <v>20241021600</v>
      </c>
      <c r="N73" s="50" t="s">
        <v>28</v>
      </c>
      <c r="O73" s="50"/>
      <c r="P73" s="50"/>
      <c r="Q73" s="51"/>
      <c r="R73" s="50"/>
      <c r="S73" s="50"/>
      <c r="T73" s="51"/>
      <c r="U73" s="50"/>
    </row>
    <row r="74" spans="1:21" x14ac:dyDescent="0.25">
      <c r="A74" s="45" t="s">
        <v>20</v>
      </c>
      <c r="B74" s="46">
        <v>45610</v>
      </c>
      <c r="C74" s="45" t="s">
        <v>175</v>
      </c>
      <c r="D74" s="47"/>
      <c r="E74" s="45" t="s">
        <v>208</v>
      </c>
      <c r="F74" s="45" t="s">
        <v>209</v>
      </c>
      <c r="G74" s="45" t="s">
        <v>1292</v>
      </c>
      <c r="H74" s="45" t="s">
        <v>110</v>
      </c>
      <c r="I74" s="45" t="s">
        <v>1293</v>
      </c>
      <c r="J74" s="45">
        <v>358383341</v>
      </c>
      <c r="K74" s="45" t="s">
        <v>271</v>
      </c>
      <c r="L74" s="48">
        <v>10</v>
      </c>
      <c r="M74" s="49">
        <v>20241021383</v>
      </c>
      <c r="N74" s="50" t="s">
        <v>28</v>
      </c>
      <c r="O74" s="50"/>
      <c r="P74" s="50"/>
      <c r="Q74" s="51"/>
      <c r="R74" s="50"/>
      <c r="S74" s="50"/>
      <c r="T74" s="51"/>
      <c r="U74" s="50"/>
    </row>
    <row r="75" spans="1:21" x14ac:dyDescent="0.25">
      <c r="A75" s="45" t="s">
        <v>20</v>
      </c>
      <c r="B75" s="46">
        <v>45610</v>
      </c>
      <c r="C75" s="45" t="s">
        <v>175</v>
      </c>
      <c r="D75" s="47"/>
      <c r="E75" s="45" t="s">
        <v>208</v>
      </c>
      <c r="F75" s="45" t="s">
        <v>209</v>
      </c>
      <c r="G75" s="45" t="s">
        <v>1292</v>
      </c>
      <c r="H75" s="45" t="s">
        <v>110</v>
      </c>
      <c r="I75" s="45" t="s">
        <v>1293</v>
      </c>
      <c r="J75" s="45">
        <v>358383341</v>
      </c>
      <c r="K75" s="45" t="s">
        <v>101</v>
      </c>
      <c r="L75" s="48">
        <v>30</v>
      </c>
      <c r="M75" s="49">
        <v>20241021389</v>
      </c>
      <c r="N75" s="50" t="s">
        <v>28</v>
      </c>
      <c r="O75" s="50"/>
      <c r="P75" s="50"/>
      <c r="Q75" s="51"/>
      <c r="R75" s="50"/>
      <c r="S75" s="50"/>
      <c r="T75" s="51"/>
      <c r="U75" s="50"/>
    </row>
    <row r="76" spans="1:21" x14ac:dyDescent="0.25">
      <c r="A76" s="45" t="s">
        <v>20</v>
      </c>
      <c r="B76" s="46">
        <v>45610</v>
      </c>
      <c r="C76" s="45" t="s">
        <v>175</v>
      </c>
      <c r="D76" s="47"/>
      <c r="E76" s="45" t="s">
        <v>208</v>
      </c>
      <c r="F76" s="45" t="s">
        <v>209</v>
      </c>
      <c r="G76" s="45" t="s">
        <v>1292</v>
      </c>
      <c r="H76" s="45" t="s">
        <v>110</v>
      </c>
      <c r="I76" s="45" t="s">
        <v>1293</v>
      </c>
      <c r="J76" s="45">
        <v>358383341</v>
      </c>
      <c r="K76" s="45" t="s">
        <v>856</v>
      </c>
      <c r="L76" s="48">
        <v>212</v>
      </c>
      <c r="M76" s="49">
        <v>20241021376</v>
      </c>
      <c r="N76" s="50" t="s">
        <v>28</v>
      </c>
      <c r="O76" s="50"/>
      <c r="P76" s="50"/>
      <c r="Q76" s="51"/>
      <c r="R76" s="50"/>
      <c r="S76" s="50"/>
      <c r="T76" s="51"/>
      <c r="U76" s="50"/>
    </row>
    <row r="77" spans="1:21" x14ac:dyDescent="0.25">
      <c r="A77" s="45" t="s">
        <v>20</v>
      </c>
      <c r="B77" s="46">
        <v>45610</v>
      </c>
      <c r="C77" s="45" t="s">
        <v>175</v>
      </c>
      <c r="D77" s="47"/>
      <c r="E77" s="45" t="s">
        <v>208</v>
      </c>
      <c r="F77" s="45" t="s">
        <v>209</v>
      </c>
      <c r="G77" s="45" t="s">
        <v>1292</v>
      </c>
      <c r="H77" s="45" t="s">
        <v>110</v>
      </c>
      <c r="I77" s="45" t="s">
        <v>1293</v>
      </c>
      <c r="J77" s="45">
        <v>358383341</v>
      </c>
      <c r="K77" s="45" t="s">
        <v>56</v>
      </c>
      <c r="L77" s="48">
        <v>200.96</v>
      </c>
      <c r="M77" s="49">
        <v>20241021371</v>
      </c>
      <c r="N77" s="50" t="s">
        <v>28</v>
      </c>
      <c r="O77" s="50"/>
      <c r="P77" s="50"/>
      <c r="Q77" s="51"/>
      <c r="R77" s="50"/>
      <c r="S77" s="50"/>
      <c r="T77" s="51"/>
      <c r="U77" s="50"/>
    </row>
    <row r="78" spans="1:21" x14ac:dyDescent="0.25">
      <c r="A78" s="45" t="s">
        <v>233</v>
      </c>
      <c r="B78" s="46">
        <v>45610</v>
      </c>
      <c r="C78" s="45" t="s">
        <v>175</v>
      </c>
      <c r="D78" s="47"/>
      <c r="E78" s="45" t="s">
        <v>245</v>
      </c>
      <c r="F78" s="45" t="s">
        <v>246</v>
      </c>
      <c r="G78" s="45" t="s">
        <v>1294</v>
      </c>
      <c r="H78" s="45" t="s">
        <v>731</v>
      </c>
      <c r="I78" s="45" t="s">
        <v>1295</v>
      </c>
      <c r="J78" s="45">
        <v>563453847</v>
      </c>
      <c r="K78" s="45" t="s">
        <v>1174</v>
      </c>
      <c r="L78" s="48">
        <v>116.36</v>
      </c>
      <c r="M78" s="49">
        <v>20241021784</v>
      </c>
      <c r="N78" s="50" t="s">
        <v>28</v>
      </c>
      <c r="O78" s="50"/>
      <c r="P78" s="50"/>
      <c r="Q78" s="51"/>
      <c r="R78" s="50"/>
      <c r="S78" s="50"/>
      <c r="T78" s="51"/>
      <c r="U78" s="50"/>
    </row>
    <row r="79" spans="1:21" x14ac:dyDescent="0.25">
      <c r="A79" s="45" t="s">
        <v>233</v>
      </c>
      <c r="B79" s="46">
        <v>45610</v>
      </c>
      <c r="C79" s="45" t="s">
        <v>175</v>
      </c>
      <c r="D79" s="47"/>
      <c r="E79" s="45" t="s">
        <v>245</v>
      </c>
      <c r="F79" s="45" t="s">
        <v>246</v>
      </c>
      <c r="G79" s="45" t="s">
        <v>1294</v>
      </c>
      <c r="H79" s="45" t="s">
        <v>731</v>
      </c>
      <c r="I79" s="45" t="s">
        <v>1295</v>
      </c>
      <c r="J79" s="45">
        <v>563453847</v>
      </c>
      <c r="K79" s="45" t="s">
        <v>898</v>
      </c>
      <c r="L79" s="48">
        <v>404.14</v>
      </c>
      <c r="M79" s="49">
        <v>20241021843</v>
      </c>
      <c r="N79" s="50" t="s">
        <v>28</v>
      </c>
      <c r="O79" s="50"/>
      <c r="P79" s="50"/>
      <c r="Q79" s="51"/>
      <c r="R79" s="50"/>
      <c r="S79" s="50"/>
      <c r="T79" s="51"/>
      <c r="U79" s="50"/>
    </row>
    <row r="80" spans="1:21" x14ac:dyDescent="0.25">
      <c r="A80" s="45" t="s">
        <v>233</v>
      </c>
      <c r="B80" s="46">
        <v>45610</v>
      </c>
      <c r="C80" s="45" t="s">
        <v>175</v>
      </c>
      <c r="D80" s="47"/>
      <c r="E80" s="45" t="s">
        <v>245</v>
      </c>
      <c r="F80" s="45" t="s">
        <v>246</v>
      </c>
      <c r="G80" s="45" t="s">
        <v>1294</v>
      </c>
      <c r="H80" s="45" t="s">
        <v>731</v>
      </c>
      <c r="I80" s="45" t="s">
        <v>1295</v>
      </c>
      <c r="J80" s="45">
        <v>563453847</v>
      </c>
      <c r="K80" s="45" t="s">
        <v>225</v>
      </c>
      <c r="L80" s="48">
        <v>150.94</v>
      </c>
      <c r="M80" s="49">
        <v>20241021852</v>
      </c>
      <c r="N80" s="50" t="s">
        <v>28</v>
      </c>
      <c r="O80" s="50"/>
      <c r="P80" s="50"/>
      <c r="Q80" s="51"/>
      <c r="R80" s="50"/>
      <c r="S80" s="50"/>
      <c r="T80" s="51"/>
      <c r="U80" s="50"/>
    </row>
    <row r="81" spans="1:21" x14ac:dyDescent="0.25">
      <c r="A81" s="45" t="s">
        <v>233</v>
      </c>
      <c r="B81" s="46">
        <v>45610</v>
      </c>
      <c r="C81" s="45" t="s">
        <v>175</v>
      </c>
      <c r="D81" s="47"/>
      <c r="E81" s="45" t="s">
        <v>245</v>
      </c>
      <c r="F81" s="45" t="s">
        <v>246</v>
      </c>
      <c r="G81" s="45" t="s">
        <v>1294</v>
      </c>
      <c r="H81" s="45" t="s">
        <v>731</v>
      </c>
      <c r="I81" s="45" t="s">
        <v>1295</v>
      </c>
      <c r="J81" s="45">
        <v>563453847</v>
      </c>
      <c r="K81" s="45" t="s">
        <v>1296</v>
      </c>
      <c r="L81" s="48">
        <v>108.03</v>
      </c>
      <c r="M81" s="49">
        <v>20241021849</v>
      </c>
      <c r="N81" s="50" t="s">
        <v>28</v>
      </c>
      <c r="O81" s="50"/>
      <c r="P81" s="50"/>
      <c r="Q81" s="51"/>
      <c r="R81" s="50"/>
      <c r="S81" s="50"/>
      <c r="T81" s="51"/>
      <c r="U81" s="50"/>
    </row>
    <row r="82" spans="1:21" x14ac:dyDescent="0.25">
      <c r="A82" s="45" t="s">
        <v>233</v>
      </c>
      <c r="B82" s="46">
        <v>45610</v>
      </c>
      <c r="C82" s="45" t="s">
        <v>175</v>
      </c>
      <c r="D82" s="47"/>
      <c r="E82" s="45" t="s">
        <v>245</v>
      </c>
      <c r="F82" s="45" t="s">
        <v>246</v>
      </c>
      <c r="G82" s="45" t="s">
        <v>1294</v>
      </c>
      <c r="H82" s="45" t="s">
        <v>731</v>
      </c>
      <c r="I82" s="45" t="s">
        <v>1295</v>
      </c>
      <c r="J82" s="45">
        <v>563453847</v>
      </c>
      <c r="K82" s="45" t="s">
        <v>389</v>
      </c>
      <c r="L82" s="48">
        <v>11.64</v>
      </c>
      <c r="M82" s="49">
        <v>20241021850</v>
      </c>
      <c r="N82" s="50" t="s">
        <v>28</v>
      </c>
      <c r="O82" s="50"/>
      <c r="P82" s="50"/>
      <c r="Q82" s="51"/>
      <c r="R82" s="50"/>
      <c r="S82" s="50"/>
      <c r="T82" s="51"/>
      <c r="U82" s="50"/>
    </row>
    <row r="83" spans="1:21" x14ac:dyDescent="0.25">
      <c r="A83" s="45" t="s">
        <v>233</v>
      </c>
      <c r="B83" s="46">
        <v>45610</v>
      </c>
      <c r="C83" s="45" t="s">
        <v>175</v>
      </c>
      <c r="D83" s="47"/>
      <c r="E83" s="45" t="s">
        <v>245</v>
      </c>
      <c r="F83" s="45" t="s">
        <v>246</v>
      </c>
      <c r="G83" s="45" t="s">
        <v>1294</v>
      </c>
      <c r="H83" s="45" t="s">
        <v>731</v>
      </c>
      <c r="I83" s="45" t="s">
        <v>1295</v>
      </c>
      <c r="J83" s="45">
        <v>563453847</v>
      </c>
      <c r="K83" s="45" t="s">
        <v>241</v>
      </c>
      <c r="L83" s="48">
        <v>116.36</v>
      </c>
      <c r="M83" s="49">
        <v>20241021854</v>
      </c>
      <c r="N83" s="50" t="s">
        <v>28</v>
      </c>
      <c r="O83" s="50"/>
      <c r="P83" s="50"/>
      <c r="Q83" s="51"/>
      <c r="R83" s="50"/>
      <c r="S83" s="50"/>
      <c r="T83" s="51"/>
      <c r="U83" s="50"/>
    </row>
    <row r="84" spans="1:21" x14ac:dyDescent="0.25">
      <c r="A84" s="45" t="s">
        <v>233</v>
      </c>
      <c r="B84" s="46">
        <v>45638</v>
      </c>
      <c r="C84" s="45" t="s">
        <v>352</v>
      </c>
      <c r="D84" s="47"/>
      <c r="E84" s="45" t="s">
        <v>245</v>
      </c>
      <c r="F84" s="45" t="s">
        <v>246</v>
      </c>
      <c r="G84" s="45" t="s">
        <v>1294</v>
      </c>
      <c r="H84" s="45" t="s">
        <v>731</v>
      </c>
      <c r="I84" s="45" t="s">
        <v>1295</v>
      </c>
      <c r="J84" s="45">
        <v>563453847</v>
      </c>
      <c r="K84" s="45" t="s">
        <v>898</v>
      </c>
      <c r="L84" s="48">
        <v>545.23</v>
      </c>
      <c r="M84" s="49">
        <v>20241021855</v>
      </c>
      <c r="N84" s="50" t="s">
        <v>28</v>
      </c>
      <c r="O84" s="50"/>
      <c r="P84" s="50"/>
      <c r="Q84" s="51"/>
      <c r="R84" s="50"/>
      <c r="S84" s="50"/>
      <c r="T84" s="51"/>
      <c r="U84" s="50"/>
    </row>
    <row r="85" spans="1:21" x14ac:dyDescent="0.25">
      <c r="A85" s="45" t="s">
        <v>233</v>
      </c>
      <c r="B85" s="46">
        <v>45638</v>
      </c>
      <c r="C85" s="45" t="s">
        <v>352</v>
      </c>
      <c r="D85" s="47"/>
      <c r="E85" s="45" t="s">
        <v>245</v>
      </c>
      <c r="F85" s="45" t="s">
        <v>246</v>
      </c>
      <c r="G85" s="45" t="s">
        <v>1294</v>
      </c>
      <c r="H85" s="45" t="s">
        <v>731</v>
      </c>
      <c r="I85" s="45" t="s">
        <v>1295</v>
      </c>
      <c r="J85" s="45">
        <v>563453847</v>
      </c>
      <c r="K85" s="45" t="s">
        <v>1296</v>
      </c>
      <c r="L85" s="48">
        <v>11.64</v>
      </c>
      <c r="M85" s="49">
        <v>20241021857</v>
      </c>
      <c r="N85" s="50" t="s">
        <v>28</v>
      </c>
      <c r="O85" s="50"/>
      <c r="P85" s="50"/>
      <c r="Q85" s="51"/>
      <c r="R85" s="50"/>
      <c r="S85" s="50"/>
      <c r="T85" s="51"/>
      <c r="U85" s="50"/>
    </row>
    <row r="86" spans="1:21" x14ac:dyDescent="0.25">
      <c r="A86" s="45" t="s">
        <v>20</v>
      </c>
      <c r="B86" s="46">
        <v>45638</v>
      </c>
      <c r="C86" s="45" t="s">
        <v>352</v>
      </c>
      <c r="D86" s="47"/>
      <c r="E86" s="45" t="s">
        <v>245</v>
      </c>
      <c r="F86" s="45" t="s">
        <v>246</v>
      </c>
      <c r="G86" s="45" t="s">
        <v>263</v>
      </c>
      <c r="H86" s="45" t="s">
        <v>1297</v>
      </c>
      <c r="I86" s="45" t="s">
        <v>1298</v>
      </c>
      <c r="J86" s="45">
        <v>566576082</v>
      </c>
      <c r="K86" s="45" t="s">
        <v>358</v>
      </c>
      <c r="L86" s="48">
        <v>20</v>
      </c>
      <c r="M86" s="49">
        <v>20241021986</v>
      </c>
      <c r="N86" s="50" t="s">
        <v>28</v>
      </c>
      <c r="O86" s="50"/>
      <c r="P86" s="50"/>
      <c r="Q86" s="51"/>
      <c r="R86" s="50"/>
      <c r="S86" s="50"/>
      <c r="T86" s="51"/>
      <c r="U86" s="50"/>
    </row>
    <row r="87" spans="1:21" x14ac:dyDescent="0.25">
      <c r="A87" s="45" t="s">
        <v>233</v>
      </c>
      <c r="B87" s="46">
        <v>45638</v>
      </c>
      <c r="C87" s="45" t="s">
        <v>352</v>
      </c>
      <c r="D87" s="47"/>
      <c r="E87" s="45" t="s">
        <v>245</v>
      </c>
      <c r="F87" s="45" t="s">
        <v>246</v>
      </c>
      <c r="G87" s="45" t="s">
        <v>263</v>
      </c>
      <c r="H87" s="45" t="s">
        <v>1299</v>
      </c>
      <c r="I87" s="45" t="s">
        <v>1300</v>
      </c>
      <c r="J87" s="45">
        <v>568632703</v>
      </c>
      <c r="K87" s="45" t="s">
        <v>1071</v>
      </c>
      <c r="L87" s="48">
        <v>617.01</v>
      </c>
      <c r="M87" s="49">
        <v>20241021989</v>
      </c>
      <c r="N87" s="50" t="s">
        <v>28</v>
      </c>
      <c r="O87" s="50"/>
      <c r="P87" s="50"/>
      <c r="Q87" s="51"/>
      <c r="R87" s="50"/>
      <c r="S87" s="50"/>
      <c r="T87" s="51"/>
      <c r="U87" s="50"/>
    </row>
    <row r="88" spans="1:21" x14ac:dyDescent="0.25">
      <c r="A88" s="45" t="s">
        <v>20</v>
      </c>
      <c r="B88" s="46">
        <v>45638</v>
      </c>
      <c r="C88" s="45" t="s">
        <v>352</v>
      </c>
      <c r="D88" s="47"/>
      <c r="E88" s="45" t="s">
        <v>245</v>
      </c>
      <c r="F88" s="45" t="s">
        <v>246</v>
      </c>
      <c r="G88" s="45" t="s">
        <v>30</v>
      </c>
      <c r="H88" s="45" t="s">
        <v>1301</v>
      </c>
      <c r="I88" s="45" t="s">
        <v>1302</v>
      </c>
      <c r="J88" s="45">
        <v>576451711</v>
      </c>
      <c r="K88" s="45" t="s">
        <v>190</v>
      </c>
      <c r="L88" s="48">
        <v>20</v>
      </c>
      <c r="M88" s="49">
        <v>20240826959</v>
      </c>
      <c r="N88" s="50" t="s">
        <v>28</v>
      </c>
      <c r="O88" s="50"/>
      <c r="P88" s="50"/>
      <c r="Q88" s="51"/>
      <c r="R88" s="50"/>
      <c r="S88" s="50"/>
      <c r="T88" s="51"/>
      <c r="U88" s="50"/>
    </row>
    <row r="89" spans="1:21" x14ac:dyDescent="0.25">
      <c r="A89" s="45" t="s">
        <v>233</v>
      </c>
      <c r="B89" s="46">
        <v>45638</v>
      </c>
      <c r="C89" s="45" t="s">
        <v>352</v>
      </c>
      <c r="D89" s="47"/>
      <c r="E89" s="45" t="s">
        <v>245</v>
      </c>
      <c r="F89" s="45" t="s">
        <v>246</v>
      </c>
      <c r="G89" s="45" t="s">
        <v>841</v>
      </c>
      <c r="H89" s="45" t="s">
        <v>179</v>
      </c>
      <c r="I89" s="45" t="s">
        <v>842</v>
      </c>
      <c r="J89" s="45">
        <v>583436728</v>
      </c>
      <c r="K89" s="45" t="s">
        <v>831</v>
      </c>
      <c r="L89" s="48">
        <v>17.84</v>
      </c>
      <c r="M89" s="49">
        <v>20241021866</v>
      </c>
      <c r="N89" s="50" t="s">
        <v>28</v>
      </c>
      <c r="O89" s="50"/>
      <c r="P89" s="50"/>
      <c r="Q89" s="51"/>
      <c r="R89" s="50"/>
      <c r="S89" s="50"/>
      <c r="T89" s="51"/>
      <c r="U89" s="50"/>
    </row>
    <row r="90" spans="1:21" x14ac:dyDescent="0.25">
      <c r="A90" s="45" t="s">
        <v>233</v>
      </c>
      <c r="B90" s="46">
        <v>45638</v>
      </c>
      <c r="C90" s="45" t="s">
        <v>352</v>
      </c>
      <c r="D90" s="47"/>
      <c r="E90" s="45" t="s">
        <v>245</v>
      </c>
      <c r="F90" s="45" t="s">
        <v>246</v>
      </c>
      <c r="G90" s="45" t="s">
        <v>841</v>
      </c>
      <c r="H90" s="45" t="s">
        <v>179</v>
      </c>
      <c r="I90" s="45" t="s">
        <v>842</v>
      </c>
      <c r="J90" s="45">
        <v>583436728</v>
      </c>
      <c r="K90" s="45" t="s">
        <v>815</v>
      </c>
      <c r="L90" s="48">
        <v>277.55</v>
      </c>
      <c r="M90" s="49">
        <v>20241021859</v>
      </c>
      <c r="N90" s="50" t="s">
        <v>28</v>
      </c>
      <c r="O90" s="50"/>
      <c r="P90" s="50"/>
      <c r="Q90" s="51"/>
      <c r="R90" s="50"/>
      <c r="S90" s="50"/>
      <c r="T90" s="51"/>
      <c r="U90" s="50"/>
    </row>
    <row r="91" spans="1:21" x14ac:dyDescent="0.25">
      <c r="A91" s="45" t="s">
        <v>233</v>
      </c>
      <c r="B91" s="46">
        <v>45638</v>
      </c>
      <c r="C91" s="45" t="s">
        <v>352</v>
      </c>
      <c r="D91" s="47"/>
      <c r="E91" s="45" t="s">
        <v>245</v>
      </c>
      <c r="F91" s="45" t="s">
        <v>246</v>
      </c>
      <c r="G91" s="45" t="s">
        <v>841</v>
      </c>
      <c r="H91" s="45" t="s">
        <v>179</v>
      </c>
      <c r="I91" s="45" t="s">
        <v>842</v>
      </c>
      <c r="J91" s="45">
        <v>583436728</v>
      </c>
      <c r="K91" s="45" t="s">
        <v>831</v>
      </c>
      <c r="L91" s="48">
        <v>8.9499999999999993</v>
      </c>
      <c r="M91" s="49">
        <v>20241021874</v>
      </c>
      <c r="N91" s="50" t="s">
        <v>28</v>
      </c>
      <c r="O91" s="50"/>
      <c r="P91" s="50"/>
      <c r="Q91" s="51"/>
      <c r="R91" s="50"/>
      <c r="S91" s="50"/>
      <c r="T91" s="51"/>
      <c r="U91" s="50"/>
    </row>
    <row r="92" spans="1:21" x14ac:dyDescent="0.25">
      <c r="A92" s="45" t="s">
        <v>233</v>
      </c>
      <c r="B92" s="46">
        <v>45638</v>
      </c>
      <c r="C92" s="45" t="s">
        <v>352</v>
      </c>
      <c r="D92" s="47"/>
      <c r="E92" s="45" t="s">
        <v>245</v>
      </c>
      <c r="F92" s="45" t="s">
        <v>246</v>
      </c>
      <c r="G92" s="45" t="s">
        <v>247</v>
      </c>
      <c r="H92" s="45" t="s">
        <v>886</v>
      </c>
      <c r="I92" s="45" t="s">
        <v>1303</v>
      </c>
      <c r="J92" s="45">
        <v>611060560</v>
      </c>
      <c r="K92" s="45" t="s">
        <v>1230</v>
      </c>
      <c r="L92" s="48">
        <v>136</v>
      </c>
      <c r="M92" s="49">
        <v>20241022171</v>
      </c>
      <c r="N92" s="50" t="s">
        <v>28</v>
      </c>
      <c r="O92" s="50"/>
      <c r="P92" s="50"/>
      <c r="Q92" s="51"/>
      <c r="R92" s="50"/>
      <c r="S92" s="50"/>
      <c r="T92" s="51"/>
      <c r="U92" s="50"/>
    </row>
    <row r="93" spans="1:21" x14ac:dyDescent="0.25">
      <c r="A93" s="45" t="s">
        <v>20</v>
      </c>
      <c r="B93" s="46">
        <v>45638</v>
      </c>
      <c r="C93" s="45" t="s">
        <v>352</v>
      </c>
      <c r="D93" s="47"/>
      <c r="E93" s="45" t="s">
        <v>277</v>
      </c>
      <c r="F93" s="45" t="s">
        <v>278</v>
      </c>
      <c r="G93" s="45" t="s">
        <v>376</v>
      </c>
      <c r="H93" s="45" t="s">
        <v>1304</v>
      </c>
      <c r="I93" s="45" t="s">
        <v>1305</v>
      </c>
      <c r="J93" s="45">
        <v>152961520</v>
      </c>
      <c r="K93" s="45" t="s">
        <v>1306</v>
      </c>
      <c r="L93" s="48">
        <v>1836</v>
      </c>
      <c r="M93" s="49">
        <v>20241024314</v>
      </c>
      <c r="N93" s="50" t="s">
        <v>28</v>
      </c>
      <c r="O93" s="50"/>
      <c r="P93" s="50"/>
      <c r="Q93" s="51"/>
      <c r="R93" s="50"/>
      <c r="S93" s="50"/>
      <c r="T93" s="51"/>
      <c r="U93" s="50"/>
    </row>
    <row r="94" spans="1:21" x14ac:dyDescent="0.25">
      <c r="A94" s="45" t="s">
        <v>20</v>
      </c>
      <c r="B94" s="46">
        <v>45638</v>
      </c>
      <c r="C94" s="45" t="s">
        <v>352</v>
      </c>
      <c r="D94" s="47"/>
      <c r="E94" s="45" t="s">
        <v>277</v>
      </c>
      <c r="F94" s="45" t="s">
        <v>278</v>
      </c>
      <c r="G94" s="45" t="s">
        <v>1307</v>
      </c>
      <c r="H94" s="45" t="s">
        <v>1308</v>
      </c>
      <c r="I94" s="45" t="s">
        <v>1309</v>
      </c>
      <c r="J94" s="45">
        <v>166548100</v>
      </c>
      <c r="K94" s="45" t="s">
        <v>1310</v>
      </c>
      <c r="L94" s="48">
        <v>99.96</v>
      </c>
      <c r="M94" s="49">
        <v>20241022576</v>
      </c>
      <c r="N94" s="50" t="s">
        <v>28</v>
      </c>
      <c r="O94" s="50"/>
      <c r="P94" s="50"/>
      <c r="Q94" s="51"/>
      <c r="R94" s="50"/>
      <c r="S94" s="50"/>
      <c r="T94" s="51"/>
      <c r="U94" s="50"/>
    </row>
    <row r="95" spans="1:21" x14ac:dyDescent="0.25">
      <c r="A95" s="45" t="s">
        <v>20</v>
      </c>
      <c r="B95" s="46">
        <v>45638</v>
      </c>
      <c r="C95" s="45" t="s">
        <v>352</v>
      </c>
      <c r="D95" s="47"/>
      <c r="E95" s="45" t="s">
        <v>277</v>
      </c>
      <c r="F95" s="45" t="s">
        <v>278</v>
      </c>
      <c r="G95" s="45" t="s">
        <v>1307</v>
      </c>
      <c r="H95" s="45" t="s">
        <v>1308</v>
      </c>
      <c r="I95" s="45" t="s">
        <v>1309</v>
      </c>
      <c r="J95" s="45">
        <v>166548100</v>
      </c>
      <c r="K95" s="45" t="s">
        <v>56</v>
      </c>
      <c r="L95" s="48">
        <v>126.56</v>
      </c>
      <c r="M95" s="49">
        <v>20241022574</v>
      </c>
      <c r="N95" s="50" t="s">
        <v>28</v>
      </c>
      <c r="O95" s="50"/>
      <c r="P95" s="50"/>
      <c r="Q95" s="51"/>
      <c r="R95" s="50"/>
      <c r="S95" s="50"/>
      <c r="T95" s="51"/>
      <c r="U95" s="50"/>
    </row>
    <row r="96" spans="1:21" x14ac:dyDescent="0.25">
      <c r="A96" s="45" t="s">
        <v>20</v>
      </c>
      <c r="B96" s="46">
        <v>45638</v>
      </c>
      <c r="C96" s="45" t="s">
        <v>352</v>
      </c>
      <c r="D96" s="47"/>
      <c r="E96" s="45" t="s">
        <v>277</v>
      </c>
      <c r="F96" s="45" t="s">
        <v>278</v>
      </c>
      <c r="G96" s="45" t="s">
        <v>1307</v>
      </c>
      <c r="H96" s="45" t="s">
        <v>1308</v>
      </c>
      <c r="I96" s="45" t="s">
        <v>1309</v>
      </c>
      <c r="J96" s="45">
        <v>166548100</v>
      </c>
      <c r="K96" s="45" t="s">
        <v>1311</v>
      </c>
      <c r="L96" s="48">
        <v>50</v>
      </c>
      <c r="M96" s="49">
        <v>20241022575</v>
      </c>
      <c r="N96" s="50" t="s">
        <v>28</v>
      </c>
      <c r="O96" s="50"/>
      <c r="P96" s="50"/>
      <c r="Q96" s="51"/>
      <c r="R96" s="50"/>
      <c r="S96" s="50"/>
      <c r="T96" s="51"/>
      <c r="U96" s="50"/>
    </row>
    <row r="97" spans="1:21" x14ac:dyDescent="0.25">
      <c r="A97" s="45" t="s">
        <v>20</v>
      </c>
      <c r="B97" s="46">
        <v>45638</v>
      </c>
      <c r="C97" s="45" t="s">
        <v>352</v>
      </c>
      <c r="D97" s="47"/>
      <c r="E97" s="45" t="s">
        <v>277</v>
      </c>
      <c r="F97" s="45" t="s">
        <v>278</v>
      </c>
      <c r="G97" s="45" t="s">
        <v>1312</v>
      </c>
      <c r="H97" s="45" t="s">
        <v>1313</v>
      </c>
      <c r="I97" s="45" t="s">
        <v>1314</v>
      </c>
      <c r="J97" s="45">
        <v>213436212</v>
      </c>
      <c r="K97" s="45" t="s">
        <v>398</v>
      </c>
      <c r="L97" s="48">
        <v>100</v>
      </c>
      <c r="M97" s="49">
        <v>20241021700</v>
      </c>
      <c r="N97" s="50" t="s">
        <v>28</v>
      </c>
      <c r="O97" s="50"/>
      <c r="P97" s="50"/>
      <c r="Q97" s="51"/>
      <c r="R97" s="50"/>
      <c r="S97" s="50"/>
      <c r="T97" s="51"/>
      <c r="U97" s="50"/>
    </row>
    <row r="98" spans="1:21" x14ac:dyDescent="0.25">
      <c r="A98" s="45" t="s">
        <v>29</v>
      </c>
      <c r="B98" s="46">
        <v>45638</v>
      </c>
      <c r="C98" s="45" t="s">
        <v>352</v>
      </c>
      <c r="D98" s="47"/>
      <c r="E98" s="45" t="s">
        <v>277</v>
      </c>
      <c r="F98" s="45" t="s">
        <v>278</v>
      </c>
      <c r="G98" s="45" t="s">
        <v>178</v>
      </c>
      <c r="H98" s="45" t="s">
        <v>1315</v>
      </c>
      <c r="I98" s="45" t="s">
        <v>1316</v>
      </c>
      <c r="J98" s="45">
        <v>216894536</v>
      </c>
      <c r="K98" s="45" t="s">
        <v>48</v>
      </c>
      <c r="L98" s="48">
        <v>340</v>
      </c>
      <c r="M98" s="49">
        <v>20241017204</v>
      </c>
      <c r="N98" s="50" t="s">
        <v>28</v>
      </c>
      <c r="O98" s="50"/>
      <c r="P98" s="50"/>
      <c r="Q98" s="51"/>
      <c r="R98" s="50"/>
      <c r="S98" s="50"/>
      <c r="T98" s="51"/>
      <c r="U98" s="50"/>
    </row>
    <row r="99" spans="1:21" x14ac:dyDescent="0.25">
      <c r="A99" s="45" t="s">
        <v>29</v>
      </c>
      <c r="B99" s="46">
        <v>45638</v>
      </c>
      <c r="C99" s="45" t="s">
        <v>352</v>
      </c>
      <c r="D99" s="47"/>
      <c r="E99" s="45" t="s">
        <v>277</v>
      </c>
      <c r="F99" s="45" t="s">
        <v>278</v>
      </c>
      <c r="G99" s="45" t="s">
        <v>178</v>
      </c>
      <c r="H99" s="45" t="s">
        <v>1317</v>
      </c>
      <c r="I99" s="45" t="s">
        <v>1318</v>
      </c>
      <c r="J99" s="45">
        <v>252938775</v>
      </c>
      <c r="K99" s="45" t="s">
        <v>101</v>
      </c>
      <c r="L99" s="48">
        <v>354.38</v>
      </c>
      <c r="M99" s="49">
        <v>20240924620</v>
      </c>
      <c r="N99" s="50" t="s">
        <v>28</v>
      </c>
      <c r="O99" s="50"/>
      <c r="P99" s="50"/>
      <c r="Q99" s="51"/>
      <c r="R99" s="50"/>
      <c r="S99" s="50"/>
      <c r="T99" s="51"/>
      <c r="U99" s="50"/>
    </row>
    <row r="100" spans="1:21" x14ac:dyDescent="0.25">
      <c r="A100" s="45" t="s">
        <v>29</v>
      </c>
      <c r="B100" s="46">
        <v>45638</v>
      </c>
      <c r="C100" s="45" t="s">
        <v>352</v>
      </c>
      <c r="D100" s="47"/>
      <c r="E100" s="45" t="s">
        <v>277</v>
      </c>
      <c r="F100" s="45" t="s">
        <v>278</v>
      </c>
      <c r="G100" s="45" t="s">
        <v>178</v>
      </c>
      <c r="H100" s="45" t="s">
        <v>1317</v>
      </c>
      <c r="I100" s="45" t="s">
        <v>1318</v>
      </c>
      <c r="J100" s="45">
        <v>252938775</v>
      </c>
      <c r="K100" s="45" t="s">
        <v>1319</v>
      </c>
      <c r="L100" s="48">
        <v>244</v>
      </c>
      <c r="M100" s="49">
        <v>20240924590</v>
      </c>
      <c r="N100" s="50" t="s">
        <v>28</v>
      </c>
      <c r="O100" s="50"/>
      <c r="P100" s="50"/>
      <c r="Q100" s="51"/>
      <c r="R100" s="50"/>
      <c r="S100" s="50"/>
      <c r="T100" s="51"/>
      <c r="U100" s="50"/>
    </row>
    <row r="101" spans="1:21" x14ac:dyDescent="0.25">
      <c r="A101" s="45" t="s">
        <v>29</v>
      </c>
      <c r="B101" s="46">
        <v>45638</v>
      </c>
      <c r="C101" s="45" t="s">
        <v>352</v>
      </c>
      <c r="D101" s="47"/>
      <c r="E101" s="45" t="s">
        <v>277</v>
      </c>
      <c r="F101" s="45" t="s">
        <v>278</v>
      </c>
      <c r="G101" s="45" t="s">
        <v>1320</v>
      </c>
      <c r="H101" s="45" t="s">
        <v>1321</v>
      </c>
      <c r="I101" s="45" t="s">
        <v>328</v>
      </c>
      <c r="J101" s="45">
        <v>255792893</v>
      </c>
      <c r="K101" s="45" t="s">
        <v>223</v>
      </c>
      <c r="L101" s="48">
        <v>571.88</v>
      </c>
      <c r="M101" s="49">
        <v>20240930667</v>
      </c>
      <c r="N101" s="50" t="s">
        <v>28</v>
      </c>
      <c r="O101" s="50"/>
      <c r="P101" s="50"/>
      <c r="Q101" s="51"/>
      <c r="R101" s="50"/>
      <c r="S101" s="50"/>
      <c r="T101" s="51"/>
      <c r="U101" s="50"/>
    </row>
    <row r="102" spans="1:21" x14ac:dyDescent="0.25">
      <c r="A102" s="45" t="s">
        <v>29</v>
      </c>
      <c r="B102" s="46">
        <v>45638</v>
      </c>
      <c r="C102" s="45" t="s">
        <v>352</v>
      </c>
      <c r="D102" s="47"/>
      <c r="E102" s="45" t="s">
        <v>277</v>
      </c>
      <c r="F102" s="45" t="s">
        <v>278</v>
      </c>
      <c r="G102" s="45" t="s">
        <v>1320</v>
      </c>
      <c r="H102" s="45" t="s">
        <v>1321</v>
      </c>
      <c r="I102" s="45" t="s">
        <v>328</v>
      </c>
      <c r="J102" s="45">
        <v>255792893</v>
      </c>
      <c r="K102" s="45" t="s">
        <v>223</v>
      </c>
      <c r="L102" s="48">
        <v>511.23</v>
      </c>
      <c r="M102" s="49">
        <v>20240930672</v>
      </c>
      <c r="N102" s="50" t="s">
        <v>28</v>
      </c>
      <c r="O102" s="50"/>
      <c r="P102" s="50"/>
      <c r="Q102" s="51"/>
      <c r="R102" s="50"/>
      <c r="S102" s="50"/>
      <c r="T102" s="51"/>
      <c r="U102" s="50"/>
    </row>
    <row r="103" spans="1:21" x14ac:dyDescent="0.25">
      <c r="A103" s="45" t="s">
        <v>29</v>
      </c>
      <c r="B103" s="46">
        <v>45638</v>
      </c>
      <c r="C103" s="45" t="s">
        <v>352</v>
      </c>
      <c r="D103" s="47"/>
      <c r="E103" s="45" t="s">
        <v>277</v>
      </c>
      <c r="F103" s="45" t="s">
        <v>278</v>
      </c>
      <c r="G103" s="45" t="s">
        <v>202</v>
      </c>
      <c r="H103" s="45" t="s">
        <v>1322</v>
      </c>
      <c r="I103" s="45" t="s">
        <v>1323</v>
      </c>
      <c r="J103" s="45">
        <v>273927674</v>
      </c>
      <c r="K103" s="45" t="s">
        <v>891</v>
      </c>
      <c r="L103" s="48">
        <v>1900</v>
      </c>
      <c r="M103" s="49">
        <v>20241022398</v>
      </c>
      <c r="N103" s="50" t="s">
        <v>28</v>
      </c>
      <c r="O103" s="50"/>
      <c r="P103" s="50"/>
      <c r="Q103" s="51"/>
      <c r="R103" s="50"/>
      <c r="S103" s="50"/>
      <c r="T103" s="51"/>
      <c r="U103" s="50"/>
    </row>
    <row r="104" spans="1:21" x14ac:dyDescent="0.25">
      <c r="A104" s="45" t="s">
        <v>20</v>
      </c>
      <c r="B104" s="46">
        <v>45638</v>
      </c>
      <c r="C104" s="45" t="s">
        <v>352</v>
      </c>
      <c r="D104" s="47"/>
      <c r="E104" s="45" t="s">
        <v>277</v>
      </c>
      <c r="F104" s="45" t="s">
        <v>278</v>
      </c>
      <c r="G104" s="45" t="s">
        <v>30</v>
      </c>
      <c r="H104" s="45" t="s">
        <v>1324</v>
      </c>
      <c r="I104" s="45" t="s">
        <v>1325</v>
      </c>
      <c r="J104" s="45">
        <v>300585403</v>
      </c>
      <c r="K104" s="45" t="s">
        <v>1265</v>
      </c>
      <c r="L104" s="48">
        <v>204.97</v>
      </c>
      <c r="M104" s="49">
        <v>20241025459</v>
      </c>
      <c r="N104" s="50" t="s">
        <v>28</v>
      </c>
      <c r="O104" s="50"/>
      <c r="P104" s="50"/>
      <c r="Q104" s="51"/>
      <c r="R104" s="50"/>
      <c r="S104" s="50"/>
      <c r="T104" s="51"/>
      <c r="U104" s="50"/>
    </row>
    <row r="105" spans="1:21" x14ac:dyDescent="0.25">
      <c r="A105" s="45" t="s">
        <v>20</v>
      </c>
      <c r="B105" s="46">
        <v>45638</v>
      </c>
      <c r="C105" s="45" t="s">
        <v>352</v>
      </c>
      <c r="D105" s="47"/>
      <c r="E105" s="45" t="s">
        <v>277</v>
      </c>
      <c r="F105" s="45" t="s">
        <v>278</v>
      </c>
      <c r="G105" s="45" t="s">
        <v>1171</v>
      </c>
      <c r="H105" s="45" t="s">
        <v>1326</v>
      </c>
      <c r="I105" s="45" t="s">
        <v>1327</v>
      </c>
      <c r="J105" s="45">
        <v>354861480</v>
      </c>
      <c r="K105" s="45" t="s">
        <v>225</v>
      </c>
      <c r="L105" s="48">
        <v>200</v>
      </c>
      <c r="M105" s="49">
        <v>20241014608</v>
      </c>
      <c r="N105" s="50" t="s">
        <v>28</v>
      </c>
      <c r="O105" s="50"/>
      <c r="P105" s="50"/>
      <c r="Q105" s="51"/>
      <c r="R105" s="50"/>
      <c r="S105" s="50"/>
      <c r="T105" s="51"/>
      <c r="U105" s="50"/>
    </row>
    <row r="106" spans="1:21" x14ac:dyDescent="0.25">
      <c r="A106" s="45" t="s">
        <v>20</v>
      </c>
      <c r="B106" s="46">
        <v>45638</v>
      </c>
      <c r="C106" s="45" t="s">
        <v>352</v>
      </c>
      <c r="D106" s="47"/>
      <c r="E106" s="45" t="s">
        <v>277</v>
      </c>
      <c r="F106" s="45" t="s">
        <v>278</v>
      </c>
      <c r="G106" s="45" t="s">
        <v>1328</v>
      </c>
      <c r="H106" s="45" t="s">
        <v>230</v>
      </c>
      <c r="I106" s="45" t="s">
        <v>1329</v>
      </c>
      <c r="J106" s="45">
        <v>356606471</v>
      </c>
      <c r="K106" s="45" t="s">
        <v>933</v>
      </c>
      <c r="L106" s="48">
        <v>30</v>
      </c>
      <c r="M106" s="49">
        <v>20240903240</v>
      </c>
      <c r="N106" s="50" t="s">
        <v>28</v>
      </c>
      <c r="O106" s="50"/>
      <c r="P106" s="50"/>
      <c r="Q106" s="51"/>
      <c r="R106" s="50"/>
      <c r="S106" s="50"/>
      <c r="T106" s="51"/>
      <c r="U106" s="50"/>
    </row>
    <row r="107" spans="1:21" x14ac:dyDescent="0.25">
      <c r="A107" s="45" t="s">
        <v>20</v>
      </c>
      <c r="B107" s="46">
        <v>45638</v>
      </c>
      <c r="C107" s="45" t="s">
        <v>352</v>
      </c>
      <c r="D107" s="47"/>
      <c r="E107" s="45" t="s">
        <v>277</v>
      </c>
      <c r="F107" s="45" t="s">
        <v>278</v>
      </c>
      <c r="G107" s="45" t="s">
        <v>210</v>
      </c>
      <c r="H107" s="45" t="s">
        <v>1330</v>
      </c>
      <c r="I107" s="45" t="s">
        <v>1331</v>
      </c>
      <c r="J107" s="45">
        <v>374903016</v>
      </c>
      <c r="K107" s="45" t="s">
        <v>978</v>
      </c>
      <c r="L107" s="48">
        <v>42.49</v>
      </c>
      <c r="M107" s="49">
        <v>20241021634</v>
      </c>
      <c r="N107" s="50" t="s">
        <v>28</v>
      </c>
      <c r="O107" s="50"/>
      <c r="P107" s="50"/>
      <c r="Q107" s="51"/>
      <c r="R107" s="50"/>
      <c r="S107" s="50"/>
      <c r="T107" s="51"/>
      <c r="U107" s="50"/>
    </row>
    <row r="108" spans="1:21" x14ac:dyDescent="0.25">
      <c r="A108" s="45" t="s">
        <v>20</v>
      </c>
      <c r="B108" s="46">
        <v>45638</v>
      </c>
      <c r="C108" s="45" t="s">
        <v>352</v>
      </c>
      <c r="D108" s="47"/>
      <c r="E108" s="45" t="s">
        <v>296</v>
      </c>
      <c r="F108" s="45" t="s">
        <v>297</v>
      </c>
      <c r="G108" s="45" t="s">
        <v>1332</v>
      </c>
      <c r="H108" s="45" t="s">
        <v>1333</v>
      </c>
      <c r="I108" s="45" t="s">
        <v>1334</v>
      </c>
      <c r="J108" s="45">
        <v>575891219</v>
      </c>
      <c r="K108" s="45" t="s">
        <v>1071</v>
      </c>
      <c r="L108" s="48">
        <v>6.26</v>
      </c>
      <c r="M108" s="49">
        <v>20241025491</v>
      </c>
      <c r="N108" s="50" t="s">
        <v>28</v>
      </c>
      <c r="O108" s="50"/>
      <c r="P108" s="50"/>
      <c r="Q108" s="51"/>
      <c r="R108" s="50"/>
      <c r="S108" s="50"/>
      <c r="T108" s="51"/>
      <c r="U108" s="50"/>
    </row>
    <row r="109" spans="1:21" x14ac:dyDescent="0.25">
      <c r="A109" s="45" t="s">
        <v>20</v>
      </c>
      <c r="B109" s="46">
        <v>45638</v>
      </c>
      <c r="C109" s="45" t="s">
        <v>352</v>
      </c>
      <c r="D109" s="47"/>
      <c r="E109" s="45" t="s">
        <v>296</v>
      </c>
      <c r="F109" s="45" t="s">
        <v>297</v>
      </c>
      <c r="G109" s="45" t="s">
        <v>1332</v>
      </c>
      <c r="H109" s="45" t="s">
        <v>1333</v>
      </c>
      <c r="I109" s="45" t="s">
        <v>1334</v>
      </c>
      <c r="J109" s="45">
        <v>575891219</v>
      </c>
      <c r="K109" s="45" t="s">
        <v>1335</v>
      </c>
      <c r="L109" s="48">
        <v>6.26</v>
      </c>
      <c r="M109" s="49">
        <v>20241025486</v>
      </c>
      <c r="N109" s="50" t="s">
        <v>28</v>
      </c>
      <c r="O109" s="50"/>
      <c r="P109" s="50"/>
      <c r="Q109" s="51"/>
      <c r="R109" s="50"/>
      <c r="S109" s="50"/>
      <c r="T109" s="51"/>
      <c r="U109" s="50"/>
    </row>
    <row r="110" spans="1:21" x14ac:dyDescent="0.25">
      <c r="A110" s="45" t="s">
        <v>20</v>
      </c>
      <c r="B110" s="46">
        <v>45638</v>
      </c>
      <c r="C110" s="45" t="s">
        <v>352</v>
      </c>
      <c r="D110" s="47"/>
      <c r="E110" s="45" t="s">
        <v>296</v>
      </c>
      <c r="F110" s="45" t="s">
        <v>297</v>
      </c>
      <c r="G110" s="45" t="s">
        <v>1332</v>
      </c>
      <c r="H110" s="45" t="s">
        <v>1333</v>
      </c>
      <c r="I110" s="45" t="s">
        <v>1334</v>
      </c>
      <c r="J110" s="45">
        <v>575891219</v>
      </c>
      <c r="K110" s="45" t="s">
        <v>224</v>
      </c>
      <c r="L110" s="48">
        <v>6.26</v>
      </c>
      <c r="M110" s="49">
        <v>20241025487</v>
      </c>
      <c r="N110" s="50" t="s">
        <v>28</v>
      </c>
      <c r="O110" s="50"/>
      <c r="P110" s="50"/>
      <c r="Q110" s="51"/>
      <c r="R110" s="50"/>
      <c r="S110" s="50"/>
      <c r="T110" s="51"/>
      <c r="U110" s="50"/>
    </row>
    <row r="111" spans="1:21" x14ac:dyDescent="0.25">
      <c r="A111" s="45" t="s">
        <v>20</v>
      </c>
      <c r="B111" s="46">
        <v>45638</v>
      </c>
      <c r="C111" s="45" t="s">
        <v>352</v>
      </c>
      <c r="D111" s="47"/>
      <c r="E111" s="45" t="s">
        <v>296</v>
      </c>
      <c r="F111" s="45" t="s">
        <v>297</v>
      </c>
      <c r="G111" s="45" t="s">
        <v>1332</v>
      </c>
      <c r="H111" s="45" t="s">
        <v>1333</v>
      </c>
      <c r="I111" s="45" t="s">
        <v>1334</v>
      </c>
      <c r="J111" s="45">
        <v>575891219</v>
      </c>
      <c r="K111" s="45" t="s">
        <v>1336</v>
      </c>
      <c r="L111" s="48">
        <v>6.26</v>
      </c>
      <c r="M111" s="49">
        <v>20241025481</v>
      </c>
      <c r="N111" s="50" t="s">
        <v>28</v>
      </c>
      <c r="O111" s="50"/>
      <c r="P111" s="50"/>
      <c r="Q111" s="51"/>
      <c r="R111" s="50"/>
      <c r="S111" s="50"/>
      <c r="T111" s="51"/>
      <c r="U111" s="50"/>
    </row>
    <row r="112" spans="1:21" x14ac:dyDescent="0.25">
      <c r="A112" s="45" t="s">
        <v>20</v>
      </c>
      <c r="B112" s="46">
        <v>45604</v>
      </c>
      <c r="C112" s="45" t="s">
        <v>114</v>
      </c>
      <c r="D112" s="47"/>
      <c r="E112" s="45" t="s">
        <v>296</v>
      </c>
      <c r="F112" s="45" t="s">
        <v>297</v>
      </c>
      <c r="G112" s="45" t="s">
        <v>1332</v>
      </c>
      <c r="H112" s="45" t="s">
        <v>1333</v>
      </c>
      <c r="I112" s="45" t="s">
        <v>1334</v>
      </c>
      <c r="J112" s="45">
        <v>575891219</v>
      </c>
      <c r="K112" s="45" t="s">
        <v>1337</v>
      </c>
      <c r="L112" s="48">
        <v>6.26</v>
      </c>
      <c r="M112" s="49">
        <v>20241025478</v>
      </c>
      <c r="N112" s="50" t="s">
        <v>28</v>
      </c>
      <c r="O112" s="50"/>
      <c r="P112" s="50"/>
      <c r="Q112" s="51"/>
      <c r="R112" s="50"/>
      <c r="S112" s="50"/>
      <c r="T112" s="51"/>
      <c r="U112" s="50"/>
    </row>
    <row r="113" spans="1:21" x14ac:dyDescent="0.25">
      <c r="A113" s="45" t="s">
        <v>20</v>
      </c>
      <c r="B113" s="46">
        <v>45604</v>
      </c>
      <c r="C113" s="45" t="s">
        <v>114</v>
      </c>
      <c r="D113" s="47"/>
      <c r="E113" s="45" t="s">
        <v>296</v>
      </c>
      <c r="F113" s="45" t="s">
        <v>297</v>
      </c>
      <c r="G113" s="45" t="s">
        <v>1332</v>
      </c>
      <c r="H113" s="45" t="s">
        <v>1333</v>
      </c>
      <c r="I113" s="45" t="s">
        <v>1334</v>
      </c>
      <c r="J113" s="45">
        <v>575891219</v>
      </c>
      <c r="K113" s="45" t="s">
        <v>1338</v>
      </c>
      <c r="L113" s="48">
        <v>125.64</v>
      </c>
      <c r="M113" s="49">
        <v>20241024417</v>
      </c>
      <c r="N113" s="50" t="s">
        <v>28</v>
      </c>
      <c r="O113" s="50"/>
      <c r="P113" s="50"/>
      <c r="Q113" s="51"/>
      <c r="R113" s="50"/>
      <c r="S113" s="50"/>
      <c r="T113" s="51"/>
      <c r="U113" s="50"/>
    </row>
    <row r="114" spans="1:21" x14ac:dyDescent="0.25">
      <c r="A114" s="45" t="s">
        <v>20</v>
      </c>
      <c r="B114" s="46">
        <v>45604</v>
      </c>
      <c r="C114" s="45" t="s">
        <v>114</v>
      </c>
      <c r="D114" s="47"/>
      <c r="E114" s="45" t="s">
        <v>296</v>
      </c>
      <c r="F114" s="45" t="s">
        <v>297</v>
      </c>
      <c r="G114" s="45" t="s">
        <v>1332</v>
      </c>
      <c r="H114" s="45" t="s">
        <v>1333</v>
      </c>
      <c r="I114" s="45" t="s">
        <v>1334</v>
      </c>
      <c r="J114" s="45">
        <v>575891219</v>
      </c>
      <c r="K114" s="45" t="s">
        <v>364</v>
      </c>
      <c r="L114" s="48">
        <v>6.26</v>
      </c>
      <c r="M114" s="49">
        <v>20241025485</v>
      </c>
      <c r="N114" s="50" t="s">
        <v>28</v>
      </c>
      <c r="O114" s="50"/>
      <c r="P114" s="50"/>
      <c r="Q114" s="51"/>
      <c r="R114" s="50"/>
      <c r="S114" s="50"/>
      <c r="T114" s="51"/>
      <c r="U114" s="50"/>
    </row>
    <row r="115" spans="1:21" x14ac:dyDescent="0.25">
      <c r="A115" s="45" t="s">
        <v>20</v>
      </c>
      <c r="B115" s="46">
        <v>45604</v>
      </c>
      <c r="C115" s="45" t="s">
        <v>114</v>
      </c>
      <c r="D115" s="47"/>
      <c r="E115" s="45" t="s">
        <v>296</v>
      </c>
      <c r="F115" s="45" t="s">
        <v>297</v>
      </c>
      <c r="G115" s="45" t="s">
        <v>1332</v>
      </c>
      <c r="H115" s="45" t="s">
        <v>1333</v>
      </c>
      <c r="I115" s="45" t="s">
        <v>1334</v>
      </c>
      <c r="J115" s="45">
        <v>575891219</v>
      </c>
      <c r="K115" s="45" t="s">
        <v>1306</v>
      </c>
      <c r="L115" s="48">
        <v>6.26</v>
      </c>
      <c r="M115" s="49">
        <v>20241024415</v>
      </c>
      <c r="N115" s="50" t="s">
        <v>28</v>
      </c>
      <c r="O115" s="50"/>
      <c r="P115" s="50"/>
      <c r="Q115" s="51"/>
      <c r="R115" s="50"/>
      <c r="S115" s="50"/>
      <c r="T115" s="51"/>
      <c r="U115" s="50"/>
    </row>
    <row r="116" spans="1:21" x14ac:dyDescent="0.25">
      <c r="A116" s="45" t="s">
        <v>29</v>
      </c>
      <c r="B116" s="46">
        <v>45604</v>
      </c>
      <c r="C116" s="45" t="s">
        <v>114</v>
      </c>
      <c r="D116" s="47"/>
      <c r="E116" s="45" t="s">
        <v>296</v>
      </c>
      <c r="F116" s="45" t="s">
        <v>297</v>
      </c>
      <c r="G116" s="45" t="s">
        <v>1339</v>
      </c>
      <c r="H116" s="45" t="s">
        <v>1340</v>
      </c>
      <c r="I116" s="45" t="s">
        <v>1341</v>
      </c>
      <c r="J116" s="45">
        <v>575931961</v>
      </c>
      <c r="K116" s="45" t="s">
        <v>999</v>
      </c>
      <c r="L116" s="48">
        <v>141.08000000000001</v>
      </c>
      <c r="M116" s="49">
        <v>20241025297</v>
      </c>
      <c r="N116" s="50" t="s">
        <v>28</v>
      </c>
      <c r="O116" s="50"/>
      <c r="P116" s="50"/>
      <c r="Q116" s="51"/>
      <c r="R116" s="50"/>
      <c r="S116" s="50"/>
      <c r="T116" s="51"/>
      <c r="U116" s="50"/>
    </row>
    <row r="117" spans="1:21" ht="45" x14ac:dyDescent="0.25">
      <c r="A117" s="45" t="s">
        <v>70</v>
      </c>
      <c r="B117" s="46">
        <v>45604</v>
      </c>
      <c r="C117" s="45" t="s">
        <v>114</v>
      </c>
      <c r="D117" s="47"/>
      <c r="E117" s="45" t="s">
        <v>296</v>
      </c>
      <c r="F117" s="45" t="s">
        <v>297</v>
      </c>
      <c r="G117" s="45" t="s">
        <v>120</v>
      </c>
      <c r="H117" s="45" t="s">
        <v>1342</v>
      </c>
      <c r="I117" s="45" t="s">
        <v>1343</v>
      </c>
      <c r="J117" s="45">
        <v>575964363</v>
      </c>
      <c r="K117" s="45" t="s">
        <v>184</v>
      </c>
      <c r="L117" s="48">
        <v>140</v>
      </c>
      <c r="M117" s="49">
        <v>20241024440</v>
      </c>
      <c r="N117" s="50"/>
      <c r="O117" s="50" t="s">
        <v>124</v>
      </c>
      <c r="P117" s="50"/>
      <c r="Q117" s="51" t="s">
        <v>1344</v>
      </c>
      <c r="R117" s="50"/>
      <c r="S117" s="50"/>
      <c r="T117" s="51"/>
      <c r="U117" s="50"/>
    </row>
    <row r="118" spans="1:21" x14ac:dyDescent="0.25">
      <c r="A118" s="45" t="s">
        <v>70</v>
      </c>
      <c r="B118" s="46">
        <v>45604</v>
      </c>
      <c r="C118" s="45" t="s">
        <v>114</v>
      </c>
      <c r="D118" s="47"/>
      <c r="E118" s="45" t="s">
        <v>296</v>
      </c>
      <c r="F118" s="45" t="s">
        <v>297</v>
      </c>
      <c r="G118" s="45" t="s">
        <v>120</v>
      </c>
      <c r="H118" s="45" t="s">
        <v>1342</v>
      </c>
      <c r="I118" s="45" t="s">
        <v>1343</v>
      </c>
      <c r="J118" s="45">
        <v>575964363</v>
      </c>
      <c r="K118" s="45" t="s">
        <v>56</v>
      </c>
      <c r="L118" s="48">
        <v>140</v>
      </c>
      <c r="M118" s="49">
        <v>20241024443</v>
      </c>
      <c r="N118" s="50" t="s">
        <v>28</v>
      </c>
      <c r="O118" s="50"/>
      <c r="P118" s="50"/>
      <c r="Q118" s="51"/>
      <c r="R118" s="50"/>
      <c r="S118" s="50"/>
      <c r="T118" s="51"/>
      <c r="U118" s="50"/>
    </row>
    <row r="119" spans="1:21" x14ac:dyDescent="0.25">
      <c r="A119" s="45" t="s">
        <v>314</v>
      </c>
      <c r="B119" s="46">
        <v>45604</v>
      </c>
      <c r="C119" s="45" t="s">
        <v>114</v>
      </c>
      <c r="D119" s="47"/>
      <c r="E119" s="45" t="s">
        <v>296</v>
      </c>
      <c r="F119" s="45" t="s">
        <v>297</v>
      </c>
      <c r="G119" s="45" t="s">
        <v>1339</v>
      </c>
      <c r="H119" s="45" t="s">
        <v>107</v>
      </c>
      <c r="I119" s="45" t="s">
        <v>1119</v>
      </c>
      <c r="J119" s="45">
        <v>575971167</v>
      </c>
      <c r="K119" s="45" t="s">
        <v>184</v>
      </c>
      <c r="L119" s="48">
        <v>80</v>
      </c>
      <c r="M119" s="49">
        <v>20241025295</v>
      </c>
      <c r="N119" s="50" t="s">
        <v>28</v>
      </c>
      <c r="O119" s="50"/>
      <c r="P119" s="50"/>
      <c r="Q119" s="51"/>
      <c r="R119" s="50"/>
      <c r="S119" s="50"/>
      <c r="T119" s="51"/>
      <c r="U119" s="50"/>
    </row>
    <row r="120" spans="1:21" x14ac:dyDescent="0.25">
      <c r="A120" s="45" t="s">
        <v>314</v>
      </c>
      <c r="B120" s="46">
        <v>45604</v>
      </c>
      <c r="C120" s="45" t="s">
        <v>114</v>
      </c>
      <c r="D120" s="47"/>
      <c r="E120" s="45" t="s">
        <v>296</v>
      </c>
      <c r="F120" s="45" t="s">
        <v>297</v>
      </c>
      <c r="G120" s="45" t="s">
        <v>1339</v>
      </c>
      <c r="H120" s="45" t="s">
        <v>107</v>
      </c>
      <c r="I120" s="45" t="s">
        <v>1119</v>
      </c>
      <c r="J120" s="45">
        <v>575971167</v>
      </c>
      <c r="K120" s="45" t="s">
        <v>978</v>
      </c>
      <c r="L120" s="48">
        <v>80</v>
      </c>
      <c r="M120" s="49">
        <v>20241025299</v>
      </c>
      <c r="N120" s="50" t="s">
        <v>28</v>
      </c>
      <c r="O120" s="50"/>
      <c r="P120" s="50"/>
      <c r="Q120" s="51"/>
      <c r="R120" s="50"/>
      <c r="S120" s="50"/>
      <c r="T120" s="51"/>
      <c r="U120" s="50"/>
    </row>
    <row r="121" spans="1:21" x14ac:dyDescent="0.25">
      <c r="A121" s="45" t="s">
        <v>314</v>
      </c>
      <c r="B121" s="46">
        <v>45604</v>
      </c>
      <c r="C121" s="45" t="s">
        <v>114</v>
      </c>
      <c r="D121" s="47"/>
      <c r="E121" s="45" t="s">
        <v>296</v>
      </c>
      <c r="F121" s="45" t="s">
        <v>297</v>
      </c>
      <c r="G121" s="45" t="s">
        <v>1339</v>
      </c>
      <c r="H121" s="45" t="s">
        <v>107</v>
      </c>
      <c r="I121" s="45" t="s">
        <v>1119</v>
      </c>
      <c r="J121" s="45">
        <v>575971167</v>
      </c>
      <c r="K121" s="45" t="s">
        <v>48</v>
      </c>
      <c r="L121" s="48">
        <v>80</v>
      </c>
      <c r="M121" s="49">
        <v>20241025301</v>
      </c>
      <c r="N121" s="50" t="s">
        <v>28</v>
      </c>
      <c r="O121" s="50"/>
      <c r="P121" s="50"/>
      <c r="Q121" s="51"/>
      <c r="R121" s="50"/>
      <c r="S121" s="50"/>
      <c r="T121" s="51"/>
      <c r="U121" s="50"/>
    </row>
    <row r="122" spans="1:21" x14ac:dyDescent="0.25">
      <c r="A122" s="45" t="s">
        <v>314</v>
      </c>
      <c r="B122" s="46">
        <v>45604</v>
      </c>
      <c r="C122" s="45" t="s">
        <v>114</v>
      </c>
      <c r="D122" s="47"/>
      <c r="E122" s="45" t="s">
        <v>296</v>
      </c>
      <c r="F122" s="45" t="s">
        <v>297</v>
      </c>
      <c r="G122" s="45" t="s">
        <v>1339</v>
      </c>
      <c r="H122" s="45" t="s">
        <v>107</v>
      </c>
      <c r="I122" s="45" t="s">
        <v>1119</v>
      </c>
      <c r="J122" s="45">
        <v>575971167</v>
      </c>
      <c r="K122" s="45" t="s">
        <v>56</v>
      </c>
      <c r="L122" s="48">
        <v>80</v>
      </c>
      <c r="M122" s="49">
        <v>20241025302</v>
      </c>
      <c r="N122" s="50" t="s">
        <v>28</v>
      </c>
      <c r="O122" s="50"/>
      <c r="P122" s="50"/>
      <c r="Q122" s="51"/>
      <c r="R122" s="50"/>
      <c r="S122" s="50"/>
      <c r="T122" s="51"/>
      <c r="U122" s="50"/>
    </row>
    <row r="123" spans="1:21" x14ac:dyDescent="0.25">
      <c r="A123" s="45" t="s">
        <v>233</v>
      </c>
      <c r="B123" s="46">
        <v>45596</v>
      </c>
      <c r="C123" s="45" t="s">
        <v>294</v>
      </c>
      <c r="D123" s="47"/>
      <c r="E123" s="45" t="s">
        <v>325</v>
      </c>
      <c r="F123" s="45" t="s">
        <v>278</v>
      </c>
      <c r="G123" s="45" t="s">
        <v>347</v>
      </c>
      <c r="H123" s="45" t="s">
        <v>1345</v>
      </c>
      <c r="I123" s="45" t="s">
        <v>1346</v>
      </c>
      <c r="J123" s="45">
        <v>6786197</v>
      </c>
      <c r="K123" s="45" t="s">
        <v>213</v>
      </c>
      <c r="L123" s="48">
        <v>193.28</v>
      </c>
      <c r="M123" s="49">
        <v>2024102770</v>
      </c>
      <c r="N123" s="50" t="s">
        <v>28</v>
      </c>
      <c r="O123" s="50"/>
      <c r="P123" s="50"/>
      <c r="Q123" s="51"/>
      <c r="R123" s="50"/>
      <c r="S123" s="50"/>
      <c r="T123" s="51"/>
      <c r="U123" s="50"/>
    </row>
    <row r="124" spans="1:21" x14ac:dyDescent="0.25">
      <c r="A124" s="45" t="s">
        <v>233</v>
      </c>
      <c r="B124" s="46">
        <v>45596</v>
      </c>
      <c r="C124" s="45" t="s">
        <v>294</v>
      </c>
      <c r="D124" s="47"/>
      <c r="E124" s="45" t="s">
        <v>325</v>
      </c>
      <c r="F124" s="45" t="s">
        <v>278</v>
      </c>
      <c r="G124" s="45" t="s">
        <v>347</v>
      </c>
      <c r="H124" s="45" t="s">
        <v>1345</v>
      </c>
      <c r="I124" s="45" t="s">
        <v>1346</v>
      </c>
      <c r="J124" s="45">
        <v>6786197</v>
      </c>
      <c r="K124" s="45" t="s">
        <v>1347</v>
      </c>
      <c r="L124" s="48">
        <v>246.33</v>
      </c>
      <c r="M124" s="49">
        <v>2024102771</v>
      </c>
      <c r="N124" s="50" t="s">
        <v>28</v>
      </c>
      <c r="O124" s="50"/>
      <c r="P124" s="50"/>
      <c r="Q124" s="51"/>
      <c r="R124" s="50"/>
      <c r="S124" s="50"/>
      <c r="T124" s="51"/>
      <c r="U124" s="50"/>
    </row>
    <row r="125" spans="1:21" x14ac:dyDescent="0.25">
      <c r="A125" s="45" t="s">
        <v>233</v>
      </c>
      <c r="B125" s="46">
        <v>45596</v>
      </c>
      <c r="C125" s="45" t="s">
        <v>294</v>
      </c>
      <c r="D125" s="47"/>
      <c r="E125" s="45" t="s">
        <v>325</v>
      </c>
      <c r="F125" s="45" t="s">
        <v>278</v>
      </c>
      <c r="G125" s="45" t="s">
        <v>347</v>
      </c>
      <c r="H125" s="45" t="s">
        <v>1348</v>
      </c>
      <c r="I125" s="45" t="s">
        <v>1349</v>
      </c>
      <c r="J125" s="45">
        <v>96607251</v>
      </c>
      <c r="K125" s="45" t="s">
        <v>154</v>
      </c>
      <c r="L125" s="48">
        <v>50.19</v>
      </c>
      <c r="M125" s="49">
        <v>20241023512</v>
      </c>
      <c r="N125" s="50" t="s">
        <v>28</v>
      </c>
      <c r="O125" s="50"/>
      <c r="P125" s="50"/>
      <c r="Q125" s="51"/>
      <c r="R125" s="50"/>
      <c r="S125" s="50"/>
      <c r="T125" s="51"/>
      <c r="U125" s="50"/>
    </row>
    <row r="126" spans="1:21" x14ac:dyDescent="0.25">
      <c r="A126" s="45" t="s">
        <v>233</v>
      </c>
      <c r="B126" s="46">
        <v>45596</v>
      </c>
      <c r="C126" s="45" t="s">
        <v>294</v>
      </c>
      <c r="D126" s="47"/>
      <c r="E126" s="45" t="s">
        <v>325</v>
      </c>
      <c r="F126" s="45" t="s">
        <v>278</v>
      </c>
      <c r="G126" s="45" t="s">
        <v>347</v>
      </c>
      <c r="H126" s="45" t="s">
        <v>1348</v>
      </c>
      <c r="I126" s="45" t="s">
        <v>1349</v>
      </c>
      <c r="J126" s="45">
        <v>96607251</v>
      </c>
      <c r="K126" s="45" t="s">
        <v>272</v>
      </c>
      <c r="L126" s="48">
        <v>4.3899999999999997</v>
      </c>
      <c r="M126" s="49">
        <v>20241023513</v>
      </c>
      <c r="N126" s="50" t="s">
        <v>28</v>
      </c>
      <c r="O126" s="50"/>
      <c r="P126" s="50"/>
      <c r="Q126" s="51"/>
      <c r="R126" s="50"/>
      <c r="S126" s="50"/>
      <c r="T126" s="51"/>
      <c r="U126" s="50"/>
    </row>
    <row r="127" spans="1:21" x14ac:dyDescent="0.25">
      <c r="A127" s="45" t="s">
        <v>233</v>
      </c>
      <c r="B127" s="46">
        <v>45596</v>
      </c>
      <c r="C127" s="45" t="s">
        <v>294</v>
      </c>
      <c r="D127" s="47"/>
      <c r="E127" s="45" t="s">
        <v>325</v>
      </c>
      <c r="F127" s="45" t="s">
        <v>278</v>
      </c>
      <c r="G127" s="45" t="s">
        <v>347</v>
      </c>
      <c r="H127" s="45" t="s">
        <v>1348</v>
      </c>
      <c r="I127" s="45" t="s">
        <v>1349</v>
      </c>
      <c r="J127" s="45">
        <v>96607251</v>
      </c>
      <c r="K127" s="45" t="s">
        <v>272</v>
      </c>
      <c r="L127" s="48">
        <v>91.6</v>
      </c>
      <c r="M127" s="49">
        <v>20241023514</v>
      </c>
      <c r="N127" s="50" t="s">
        <v>28</v>
      </c>
      <c r="O127" s="50"/>
      <c r="P127" s="50"/>
      <c r="Q127" s="51"/>
      <c r="R127" s="50"/>
      <c r="S127" s="50"/>
      <c r="T127" s="51"/>
      <c r="U127" s="50"/>
    </row>
    <row r="128" spans="1:21" x14ac:dyDescent="0.25">
      <c r="A128" s="45" t="s">
        <v>233</v>
      </c>
      <c r="B128" s="46">
        <v>45596</v>
      </c>
      <c r="C128" s="45" t="s">
        <v>294</v>
      </c>
      <c r="D128" s="47"/>
      <c r="E128" s="45" t="s">
        <v>325</v>
      </c>
      <c r="F128" s="45" t="s">
        <v>278</v>
      </c>
      <c r="G128" s="45" t="s">
        <v>347</v>
      </c>
      <c r="H128" s="45" t="s">
        <v>1348</v>
      </c>
      <c r="I128" s="45" t="s">
        <v>1349</v>
      </c>
      <c r="J128" s="45">
        <v>96607251</v>
      </c>
      <c r="K128" s="45" t="s">
        <v>399</v>
      </c>
      <c r="L128" s="48">
        <v>76.19</v>
      </c>
      <c r="M128" s="49">
        <v>20241023515</v>
      </c>
      <c r="N128" s="50" t="s">
        <v>28</v>
      </c>
      <c r="O128" s="50"/>
      <c r="P128" s="50"/>
      <c r="Q128" s="51"/>
      <c r="R128" s="50"/>
      <c r="S128" s="50"/>
      <c r="T128" s="51"/>
      <c r="U128" s="50"/>
    </row>
    <row r="129" spans="1:21" x14ac:dyDescent="0.25">
      <c r="A129" s="45" t="s">
        <v>20</v>
      </c>
      <c r="B129" s="46">
        <v>45604</v>
      </c>
      <c r="C129" s="45" t="s">
        <v>114</v>
      </c>
      <c r="D129" s="47"/>
      <c r="E129" s="45" t="s">
        <v>325</v>
      </c>
      <c r="F129" s="45" t="s">
        <v>278</v>
      </c>
      <c r="G129" s="45" t="s">
        <v>326</v>
      </c>
      <c r="H129" s="45" t="s">
        <v>1008</v>
      </c>
      <c r="I129" s="45" t="s">
        <v>1350</v>
      </c>
      <c r="J129" s="45">
        <v>629623778</v>
      </c>
      <c r="K129" s="45" t="s">
        <v>384</v>
      </c>
      <c r="L129" s="48">
        <v>200</v>
      </c>
      <c r="M129" s="49">
        <v>20241022652</v>
      </c>
      <c r="N129" s="50" t="s">
        <v>28</v>
      </c>
      <c r="O129" s="50"/>
      <c r="P129" s="50"/>
      <c r="Q129" s="51"/>
      <c r="R129" s="50"/>
      <c r="S129" s="50"/>
      <c r="T129" s="51"/>
      <c r="U129" s="50"/>
    </row>
    <row r="130" spans="1:21" x14ac:dyDescent="0.25">
      <c r="A130" s="45" t="s">
        <v>324</v>
      </c>
      <c r="B130" s="46">
        <v>45596</v>
      </c>
      <c r="C130" s="45" t="s">
        <v>294</v>
      </c>
      <c r="D130" s="47"/>
      <c r="E130" s="45" t="s">
        <v>325</v>
      </c>
      <c r="F130" s="45" t="s">
        <v>278</v>
      </c>
      <c r="G130" s="45" t="s">
        <v>326</v>
      </c>
      <c r="H130" s="45" t="s">
        <v>1351</v>
      </c>
      <c r="I130" s="45" t="s">
        <v>1352</v>
      </c>
      <c r="J130" s="45">
        <v>632349502</v>
      </c>
      <c r="K130" s="45" t="s">
        <v>195</v>
      </c>
      <c r="L130" s="48">
        <v>15</v>
      </c>
      <c r="M130" s="49">
        <v>20241021975</v>
      </c>
      <c r="N130" s="50" t="s">
        <v>28</v>
      </c>
      <c r="O130" s="50"/>
      <c r="P130" s="50"/>
      <c r="Q130" s="51"/>
      <c r="R130" s="50"/>
      <c r="S130" s="50"/>
      <c r="T130" s="51"/>
      <c r="U130" s="50"/>
    </row>
    <row r="131" spans="1:21" x14ac:dyDescent="0.25">
      <c r="A131" s="45" t="s">
        <v>324</v>
      </c>
      <c r="B131" s="46">
        <v>45596</v>
      </c>
      <c r="C131" s="45" t="s">
        <v>294</v>
      </c>
      <c r="D131" s="47"/>
      <c r="E131" s="45" t="s">
        <v>325</v>
      </c>
      <c r="F131" s="45" t="s">
        <v>278</v>
      </c>
      <c r="G131" s="45" t="s">
        <v>326</v>
      </c>
      <c r="H131" s="45" t="s">
        <v>1351</v>
      </c>
      <c r="I131" s="45" t="s">
        <v>1352</v>
      </c>
      <c r="J131" s="45">
        <v>632349502</v>
      </c>
      <c r="K131" s="45" t="s">
        <v>76</v>
      </c>
      <c r="L131" s="48">
        <v>30</v>
      </c>
      <c r="M131" s="49">
        <v>20241021976</v>
      </c>
      <c r="N131" s="50" t="s">
        <v>28</v>
      </c>
      <c r="O131" s="50"/>
      <c r="P131" s="50"/>
      <c r="Q131" s="51"/>
      <c r="R131" s="50"/>
      <c r="S131" s="50"/>
      <c r="T131" s="51"/>
      <c r="U131" s="50"/>
    </row>
    <row r="132" spans="1:21" x14ac:dyDescent="0.25">
      <c r="A132" s="45" t="s">
        <v>324</v>
      </c>
      <c r="B132" s="46">
        <v>45596</v>
      </c>
      <c r="C132" s="45" t="s">
        <v>294</v>
      </c>
      <c r="D132" s="47"/>
      <c r="E132" s="45" t="s">
        <v>325</v>
      </c>
      <c r="F132" s="45" t="s">
        <v>278</v>
      </c>
      <c r="G132" s="45" t="s">
        <v>326</v>
      </c>
      <c r="H132" s="45" t="s">
        <v>1351</v>
      </c>
      <c r="I132" s="45" t="s">
        <v>1352</v>
      </c>
      <c r="J132" s="45">
        <v>632349502</v>
      </c>
      <c r="K132" s="45" t="s">
        <v>52</v>
      </c>
      <c r="L132" s="48">
        <v>15</v>
      </c>
      <c r="M132" s="49">
        <v>20241021974</v>
      </c>
      <c r="N132" s="50" t="s">
        <v>28</v>
      </c>
      <c r="O132" s="50"/>
      <c r="P132" s="50"/>
      <c r="Q132" s="51"/>
      <c r="R132" s="50"/>
      <c r="S132" s="50"/>
      <c r="T132" s="51"/>
      <c r="U132" s="50"/>
    </row>
    <row r="133" spans="1:21" x14ac:dyDescent="0.25">
      <c r="A133" s="45" t="s">
        <v>324</v>
      </c>
      <c r="B133" s="46">
        <v>45596</v>
      </c>
      <c r="C133" s="45" t="s">
        <v>294</v>
      </c>
      <c r="D133" s="47"/>
      <c r="E133" s="45" t="s">
        <v>325</v>
      </c>
      <c r="F133" s="45" t="s">
        <v>278</v>
      </c>
      <c r="G133" s="45" t="s">
        <v>326</v>
      </c>
      <c r="H133" s="45" t="s">
        <v>1351</v>
      </c>
      <c r="I133" s="45" t="s">
        <v>1352</v>
      </c>
      <c r="J133" s="45">
        <v>632349502</v>
      </c>
      <c r="K133" s="45" t="s">
        <v>1353</v>
      </c>
      <c r="L133" s="48">
        <v>95</v>
      </c>
      <c r="M133" s="49">
        <v>202410211021</v>
      </c>
      <c r="N133" s="50" t="s">
        <v>28</v>
      </c>
      <c r="O133" s="50"/>
      <c r="P133" s="50"/>
      <c r="Q133" s="51"/>
      <c r="R133" s="50"/>
      <c r="S133" s="50"/>
      <c r="T133" s="51"/>
      <c r="U133" s="50"/>
    </row>
    <row r="134" spans="1:21" x14ac:dyDescent="0.25">
      <c r="A134" s="45" t="s">
        <v>324</v>
      </c>
      <c r="B134" s="46">
        <v>45596</v>
      </c>
      <c r="C134" s="45" t="s">
        <v>294</v>
      </c>
      <c r="D134" s="47"/>
      <c r="E134" s="45" t="s">
        <v>325</v>
      </c>
      <c r="F134" s="45" t="s">
        <v>278</v>
      </c>
      <c r="G134" s="45" t="s">
        <v>326</v>
      </c>
      <c r="H134" s="45" t="s">
        <v>1354</v>
      </c>
      <c r="I134" s="45" t="s">
        <v>1355</v>
      </c>
      <c r="J134" s="45">
        <v>638587263</v>
      </c>
      <c r="K134" s="45" t="s">
        <v>1187</v>
      </c>
      <c r="L134" s="48">
        <v>226</v>
      </c>
      <c r="M134" s="49">
        <v>20241021977</v>
      </c>
      <c r="N134" s="50" t="s">
        <v>28</v>
      </c>
      <c r="O134" s="50"/>
      <c r="P134" s="50"/>
      <c r="Q134" s="51"/>
      <c r="R134" s="50"/>
      <c r="S134" s="50"/>
      <c r="T134" s="51"/>
      <c r="U134" s="50"/>
    </row>
    <row r="135" spans="1:21" x14ac:dyDescent="0.25">
      <c r="A135" s="45" t="s">
        <v>324</v>
      </c>
      <c r="B135" s="46">
        <v>45596</v>
      </c>
      <c r="C135" s="45" t="s">
        <v>294</v>
      </c>
      <c r="D135" s="47"/>
      <c r="E135" s="45" t="s">
        <v>325</v>
      </c>
      <c r="F135" s="45" t="s">
        <v>278</v>
      </c>
      <c r="G135" s="45" t="s">
        <v>326</v>
      </c>
      <c r="H135" s="45" t="s">
        <v>1356</v>
      </c>
      <c r="I135" s="45" t="s">
        <v>1357</v>
      </c>
      <c r="J135" s="45">
        <v>646148796</v>
      </c>
      <c r="K135" s="45" t="s">
        <v>1358</v>
      </c>
      <c r="L135" s="48">
        <v>394.73</v>
      </c>
      <c r="M135" s="49">
        <v>20241022653</v>
      </c>
      <c r="N135" s="50" t="s">
        <v>28</v>
      </c>
      <c r="O135" s="50"/>
      <c r="P135" s="50"/>
      <c r="Q135" s="51"/>
      <c r="R135" s="50"/>
      <c r="S135" s="50"/>
      <c r="T135" s="51"/>
      <c r="U135" s="50"/>
    </row>
    <row r="136" spans="1:21" x14ac:dyDescent="0.25">
      <c r="A136" s="45" t="s">
        <v>20</v>
      </c>
      <c r="B136" s="46">
        <v>45604</v>
      </c>
      <c r="C136" s="45" t="s">
        <v>114</v>
      </c>
      <c r="D136" s="47"/>
      <c r="E136" s="45" t="s">
        <v>325</v>
      </c>
      <c r="F136" s="45" t="s">
        <v>278</v>
      </c>
      <c r="G136" s="45" t="s">
        <v>1359</v>
      </c>
      <c r="H136" s="45" t="s">
        <v>343</v>
      </c>
      <c r="I136" s="45" t="s">
        <v>1360</v>
      </c>
      <c r="J136" s="45" t="s">
        <v>1361</v>
      </c>
      <c r="K136" s="45" t="s">
        <v>260</v>
      </c>
      <c r="L136" s="48">
        <v>84.95</v>
      </c>
      <c r="M136" s="49">
        <v>20241023522</v>
      </c>
      <c r="N136" s="50" t="s">
        <v>28</v>
      </c>
      <c r="O136" s="50"/>
      <c r="P136" s="50"/>
      <c r="Q136" s="51"/>
      <c r="R136" s="50"/>
      <c r="S136" s="50"/>
      <c r="T136" s="51"/>
      <c r="U136" s="50"/>
    </row>
    <row r="137" spans="1:21" x14ac:dyDescent="0.25">
      <c r="A137" s="45" t="s">
        <v>20</v>
      </c>
      <c r="B137" s="46">
        <v>45604</v>
      </c>
      <c r="C137" s="45" t="s">
        <v>114</v>
      </c>
      <c r="D137" s="47"/>
      <c r="E137" s="45" t="s">
        <v>325</v>
      </c>
      <c r="F137" s="45" t="s">
        <v>278</v>
      </c>
      <c r="G137" s="45" t="s">
        <v>1359</v>
      </c>
      <c r="H137" s="45" t="s">
        <v>343</v>
      </c>
      <c r="I137" s="45" t="s">
        <v>1360</v>
      </c>
      <c r="J137" s="45" t="s">
        <v>1361</v>
      </c>
      <c r="K137" s="45" t="s">
        <v>260</v>
      </c>
      <c r="L137" s="48">
        <v>0</v>
      </c>
      <c r="M137" s="49">
        <v>20241023298</v>
      </c>
      <c r="N137" s="50" t="s">
        <v>28</v>
      </c>
      <c r="O137" s="50"/>
      <c r="P137" s="50"/>
      <c r="Q137" s="51"/>
      <c r="R137" s="50"/>
      <c r="S137" s="50"/>
      <c r="T137" s="51"/>
      <c r="U137" s="50"/>
    </row>
    <row r="138" spans="1:21" x14ac:dyDescent="0.25">
      <c r="A138" s="45" t="s">
        <v>314</v>
      </c>
      <c r="B138" s="46">
        <v>45604</v>
      </c>
      <c r="C138" s="45" t="s">
        <v>114</v>
      </c>
      <c r="D138" s="47"/>
      <c r="E138" s="45" t="s">
        <v>353</v>
      </c>
      <c r="F138" s="45" t="s">
        <v>354</v>
      </c>
      <c r="G138" s="45" t="s">
        <v>178</v>
      </c>
      <c r="H138" s="45" t="s">
        <v>1362</v>
      </c>
      <c r="I138" s="45" t="s">
        <v>1363</v>
      </c>
      <c r="J138" s="45">
        <v>217275158</v>
      </c>
      <c r="K138" s="45" t="s">
        <v>48</v>
      </c>
      <c r="L138" s="48">
        <v>315</v>
      </c>
      <c r="M138" s="49">
        <v>20241021584</v>
      </c>
      <c r="N138" s="50" t="s">
        <v>28</v>
      </c>
      <c r="O138" s="50"/>
      <c r="P138" s="50"/>
      <c r="Q138" s="51"/>
      <c r="R138" s="50"/>
      <c r="S138" s="50"/>
      <c r="T138" s="51"/>
      <c r="U138" s="50"/>
    </row>
    <row r="139" spans="1:21" x14ac:dyDescent="0.25">
      <c r="A139" s="45" t="s">
        <v>20</v>
      </c>
      <c r="B139" s="46">
        <v>45598</v>
      </c>
      <c r="C139" s="45" t="s">
        <v>168</v>
      </c>
      <c r="D139" s="47"/>
      <c r="E139" s="45" t="s">
        <v>353</v>
      </c>
      <c r="F139" s="45" t="s">
        <v>354</v>
      </c>
      <c r="G139" s="45" t="s">
        <v>178</v>
      </c>
      <c r="H139" s="45" t="s">
        <v>1044</v>
      </c>
      <c r="I139" s="45" t="s">
        <v>1364</v>
      </c>
      <c r="J139" s="45">
        <v>224435256</v>
      </c>
      <c r="K139" s="45" t="s">
        <v>1071</v>
      </c>
      <c r="L139" s="48">
        <v>224.54</v>
      </c>
      <c r="M139" s="49">
        <v>20241021485</v>
      </c>
      <c r="N139" s="50" t="s">
        <v>28</v>
      </c>
      <c r="O139" s="50"/>
      <c r="P139" s="50"/>
      <c r="Q139" s="51"/>
      <c r="R139" s="50"/>
      <c r="S139" s="50"/>
      <c r="T139" s="51"/>
      <c r="U139" s="50"/>
    </row>
    <row r="140" spans="1:21" x14ac:dyDescent="0.25">
      <c r="A140" s="45" t="s">
        <v>29</v>
      </c>
      <c r="B140" s="46">
        <v>45598</v>
      </c>
      <c r="C140" s="45" t="s">
        <v>168</v>
      </c>
      <c r="D140" s="47"/>
      <c r="E140" s="45" t="s">
        <v>353</v>
      </c>
      <c r="F140" s="45" t="s">
        <v>354</v>
      </c>
      <c r="G140" s="45" t="s">
        <v>178</v>
      </c>
      <c r="H140" s="45" t="s">
        <v>214</v>
      </c>
      <c r="I140" s="45" t="s">
        <v>1365</v>
      </c>
      <c r="J140" s="45">
        <v>250553720</v>
      </c>
      <c r="K140" s="45" t="s">
        <v>364</v>
      </c>
      <c r="L140" s="48">
        <v>331.2</v>
      </c>
      <c r="M140" s="49">
        <v>20241021560</v>
      </c>
      <c r="N140" s="50" t="s">
        <v>28</v>
      </c>
      <c r="O140" s="50"/>
      <c r="P140" s="50"/>
      <c r="Q140" s="51"/>
      <c r="R140" s="50"/>
      <c r="S140" s="50"/>
      <c r="T140" s="51"/>
      <c r="U140" s="50"/>
    </row>
    <row r="141" spans="1:21" x14ac:dyDescent="0.25">
      <c r="A141" s="45" t="s">
        <v>20</v>
      </c>
      <c r="B141" s="46">
        <v>45598</v>
      </c>
      <c r="C141" s="45" t="s">
        <v>168</v>
      </c>
      <c r="D141" s="47"/>
      <c r="E141" s="45" t="s">
        <v>353</v>
      </c>
      <c r="F141" s="45" t="s">
        <v>354</v>
      </c>
      <c r="G141" s="45" t="s">
        <v>263</v>
      </c>
      <c r="H141" s="45" t="s">
        <v>1366</v>
      </c>
      <c r="I141" s="45" t="s">
        <v>1367</v>
      </c>
      <c r="J141" s="45">
        <v>312645685</v>
      </c>
      <c r="K141" s="45" t="s">
        <v>1230</v>
      </c>
      <c r="L141" s="48">
        <v>10</v>
      </c>
      <c r="M141" s="49">
        <v>20241021416</v>
      </c>
      <c r="N141" s="50" t="s">
        <v>28</v>
      </c>
      <c r="O141" s="50"/>
      <c r="P141" s="50"/>
      <c r="Q141" s="51"/>
      <c r="R141" s="50"/>
      <c r="S141" s="50"/>
      <c r="T141" s="51"/>
      <c r="U141" s="50"/>
    </row>
    <row r="142" spans="1:21" ht="25.5" x14ac:dyDescent="0.25">
      <c r="A142" s="45" t="s">
        <v>20</v>
      </c>
      <c r="B142" s="46">
        <v>45598</v>
      </c>
      <c r="C142" s="45" t="s">
        <v>168</v>
      </c>
      <c r="D142" s="47"/>
      <c r="E142" s="45" t="s">
        <v>353</v>
      </c>
      <c r="F142" s="45" t="s">
        <v>354</v>
      </c>
      <c r="G142" s="45" t="s">
        <v>834</v>
      </c>
      <c r="H142" s="45" t="s">
        <v>1368</v>
      </c>
      <c r="I142" s="45" t="s">
        <v>1369</v>
      </c>
      <c r="J142" s="45">
        <v>462470091</v>
      </c>
      <c r="K142" s="45" t="s">
        <v>1370</v>
      </c>
      <c r="L142" s="48">
        <v>104.95</v>
      </c>
      <c r="M142" s="49">
        <v>202410211018</v>
      </c>
      <c r="N142" s="50" t="s">
        <v>28</v>
      </c>
      <c r="O142" s="50"/>
      <c r="P142" s="50"/>
      <c r="Q142" s="51"/>
      <c r="R142" s="50"/>
      <c r="S142" s="50"/>
      <c r="T142" s="51"/>
      <c r="U142" s="50"/>
    </row>
    <row r="143" spans="1:21" ht="25.5" x14ac:dyDescent="0.25">
      <c r="A143" s="45" t="s">
        <v>20</v>
      </c>
      <c r="B143" s="46">
        <v>45598</v>
      </c>
      <c r="C143" s="45" t="s">
        <v>168</v>
      </c>
      <c r="D143" s="47"/>
      <c r="E143" s="45" t="s">
        <v>353</v>
      </c>
      <c r="F143" s="45" t="s">
        <v>354</v>
      </c>
      <c r="G143" s="45" t="s">
        <v>834</v>
      </c>
      <c r="H143" s="45" t="s">
        <v>1368</v>
      </c>
      <c r="I143" s="45" t="s">
        <v>1369</v>
      </c>
      <c r="J143" s="45">
        <v>462470091</v>
      </c>
      <c r="K143" s="45" t="s">
        <v>196</v>
      </c>
      <c r="L143" s="48">
        <v>199.97</v>
      </c>
      <c r="M143" s="49">
        <v>202410211013</v>
      </c>
      <c r="N143" s="50" t="s">
        <v>28</v>
      </c>
      <c r="O143" s="50"/>
      <c r="P143" s="50"/>
      <c r="Q143" s="51"/>
      <c r="R143" s="50"/>
      <c r="S143" s="50"/>
      <c r="T143" s="51"/>
      <c r="U143" s="50"/>
    </row>
    <row r="144" spans="1:21" ht="25.5" x14ac:dyDescent="0.25">
      <c r="A144" s="45" t="s">
        <v>20</v>
      </c>
      <c r="B144" s="46">
        <v>45598</v>
      </c>
      <c r="C144" s="45" t="s">
        <v>168</v>
      </c>
      <c r="D144" s="47"/>
      <c r="E144" s="45" t="s">
        <v>353</v>
      </c>
      <c r="F144" s="45" t="s">
        <v>354</v>
      </c>
      <c r="G144" s="45" t="s">
        <v>834</v>
      </c>
      <c r="H144" s="45" t="s">
        <v>1368</v>
      </c>
      <c r="I144" s="45" t="s">
        <v>1369</v>
      </c>
      <c r="J144" s="45">
        <v>462470091</v>
      </c>
      <c r="K144" s="45" t="s">
        <v>1296</v>
      </c>
      <c r="L144" s="48">
        <v>129.94999999999999</v>
      </c>
      <c r="M144" s="49">
        <v>202410211014</v>
      </c>
      <c r="N144" s="50" t="s">
        <v>28</v>
      </c>
      <c r="O144" s="50"/>
      <c r="P144" s="50"/>
      <c r="Q144" s="51"/>
      <c r="R144" s="50"/>
      <c r="S144" s="50"/>
      <c r="T144" s="51"/>
      <c r="U144" s="50"/>
    </row>
    <row r="145" spans="1:21" ht="25.5" x14ac:dyDescent="0.25">
      <c r="A145" s="45" t="s">
        <v>20</v>
      </c>
      <c r="B145" s="46">
        <v>45598</v>
      </c>
      <c r="C145" s="45" t="s">
        <v>168</v>
      </c>
      <c r="D145" s="47"/>
      <c r="E145" s="45" t="s">
        <v>353</v>
      </c>
      <c r="F145" s="45" t="s">
        <v>354</v>
      </c>
      <c r="G145" s="45" t="s">
        <v>834</v>
      </c>
      <c r="H145" s="45" t="s">
        <v>1368</v>
      </c>
      <c r="I145" s="45" t="s">
        <v>1369</v>
      </c>
      <c r="J145" s="45">
        <v>462470091</v>
      </c>
      <c r="K145" s="45" t="s">
        <v>270</v>
      </c>
      <c r="L145" s="48">
        <v>41.86</v>
      </c>
      <c r="M145" s="49">
        <v>202410211015</v>
      </c>
      <c r="N145" s="50" t="s">
        <v>28</v>
      </c>
      <c r="O145" s="50"/>
      <c r="P145" s="50"/>
      <c r="Q145" s="51"/>
      <c r="R145" s="50"/>
      <c r="S145" s="50"/>
      <c r="T145" s="51"/>
      <c r="U145" s="50"/>
    </row>
    <row r="146" spans="1:21" ht="25.5" x14ac:dyDescent="0.25">
      <c r="A146" s="45" t="s">
        <v>20</v>
      </c>
      <c r="B146" s="46">
        <v>45598</v>
      </c>
      <c r="C146" s="45" t="s">
        <v>168</v>
      </c>
      <c r="D146" s="47"/>
      <c r="E146" s="45" t="s">
        <v>353</v>
      </c>
      <c r="F146" s="45" t="s">
        <v>354</v>
      </c>
      <c r="G146" s="45" t="s">
        <v>834</v>
      </c>
      <c r="H146" s="45" t="s">
        <v>1368</v>
      </c>
      <c r="I146" s="45" t="s">
        <v>1369</v>
      </c>
      <c r="J146" s="45">
        <v>462470091</v>
      </c>
      <c r="K146" s="45" t="s">
        <v>1371</v>
      </c>
      <c r="L146" s="48">
        <v>60</v>
      </c>
      <c r="M146" s="49">
        <v>202410211016</v>
      </c>
      <c r="N146" s="50" t="s">
        <v>28</v>
      </c>
      <c r="O146" s="50"/>
      <c r="P146" s="50"/>
      <c r="Q146" s="51"/>
      <c r="R146" s="50"/>
      <c r="S146" s="50"/>
      <c r="T146" s="51"/>
      <c r="U146" s="50"/>
    </row>
    <row r="147" spans="1:21" ht="25.5" x14ac:dyDescent="0.25">
      <c r="A147" s="45" t="s">
        <v>20</v>
      </c>
      <c r="B147" s="46">
        <v>45598</v>
      </c>
      <c r="C147" s="45" t="s">
        <v>168</v>
      </c>
      <c r="D147" s="47"/>
      <c r="E147" s="45" t="s">
        <v>353</v>
      </c>
      <c r="F147" s="45" t="s">
        <v>354</v>
      </c>
      <c r="G147" s="45" t="s">
        <v>834</v>
      </c>
      <c r="H147" s="45" t="s">
        <v>1368</v>
      </c>
      <c r="I147" s="45" t="s">
        <v>1369</v>
      </c>
      <c r="J147" s="45">
        <v>462470091</v>
      </c>
      <c r="K147" s="45" t="s">
        <v>1371</v>
      </c>
      <c r="L147" s="48">
        <v>60</v>
      </c>
      <c r="M147" s="49">
        <v>202410211017</v>
      </c>
      <c r="N147" s="50" t="s">
        <v>28</v>
      </c>
      <c r="O147" s="50"/>
      <c r="P147" s="50"/>
      <c r="Q147" s="51"/>
      <c r="R147" s="50"/>
      <c r="S147" s="50"/>
      <c r="T147" s="51"/>
      <c r="U147" s="50"/>
    </row>
    <row r="148" spans="1:21" x14ac:dyDescent="0.25">
      <c r="A148" s="45" t="s">
        <v>20</v>
      </c>
      <c r="B148" s="46">
        <v>45598</v>
      </c>
      <c r="C148" s="45" t="s">
        <v>168</v>
      </c>
      <c r="D148" s="47"/>
      <c r="E148" s="45" t="s">
        <v>353</v>
      </c>
      <c r="F148" s="45" t="s">
        <v>354</v>
      </c>
      <c r="G148" s="45" t="s">
        <v>263</v>
      </c>
      <c r="H148" s="45" t="s">
        <v>1055</v>
      </c>
      <c r="I148" s="45" t="s">
        <v>1372</v>
      </c>
      <c r="J148" s="45">
        <v>493826810</v>
      </c>
      <c r="K148" s="45" t="s">
        <v>1033</v>
      </c>
      <c r="L148" s="48">
        <v>10</v>
      </c>
      <c r="M148" s="49">
        <v>20241021413</v>
      </c>
      <c r="N148" s="50" t="s">
        <v>28</v>
      </c>
      <c r="O148" s="50"/>
      <c r="P148" s="50"/>
      <c r="Q148" s="51"/>
      <c r="R148" s="50"/>
      <c r="S148" s="50"/>
      <c r="T148" s="51"/>
      <c r="U148" s="50"/>
    </row>
    <row r="149" spans="1:21" x14ac:dyDescent="0.25">
      <c r="A149" s="45" t="s">
        <v>20</v>
      </c>
      <c r="B149" s="46">
        <v>45598</v>
      </c>
      <c r="C149" s="45" t="s">
        <v>168</v>
      </c>
      <c r="D149" s="47"/>
      <c r="E149" s="45" t="s">
        <v>353</v>
      </c>
      <c r="F149" s="45" t="s">
        <v>354</v>
      </c>
      <c r="G149" s="45" t="s">
        <v>178</v>
      </c>
      <c r="H149" s="45" t="s">
        <v>1373</v>
      </c>
      <c r="I149" s="45" t="s">
        <v>1374</v>
      </c>
      <c r="J149" s="45">
        <v>528496189</v>
      </c>
      <c r="K149" s="45" t="s">
        <v>288</v>
      </c>
      <c r="L149" s="48">
        <v>1500</v>
      </c>
      <c r="M149" s="49">
        <v>20241021590</v>
      </c>
      <c r="N149" s="50" t="s">
        <v>28</v>
      </c>
      <c r="O149" s="50"/>
      <c r="P149" s="50"/>
      <c r="Q149" s="51"/>
      <c r="R149" s="50"/>
      <c r="S149" s="50"/>
      <c r="T149" s="51"/>
      <c r="U149" s="50"/>
    </row>
    <row r="150" spans="1:21" x14ac:dyDescent="0.25">
      <c r="A150" s="45" t="s">
        <v>29</v>
      </c>
      <c r="B150" s="46">
        <v>45598</v>
      </c>
      <c r="C150" s="45" t="s">
        <v>168</v>
      </c>
      <c r="D150" s="47"/>
      <c r="E150" s="45" t="s">
        <v>353</v>
      </c>
      <c r="F150" s="45" t="s">
        <v>354</v>
      </c>
      <c r="G150" s="45" t="s">
        <v>30</v>
      </c>
      <c r="H150" s="45" t="s">
        <v>1375</v>
      </c>
      <c r="I150" s="45" t="s">
        <v>1376</v>
      </c>
      <c r="J150" s="45">
        <v>557598010</v>
      </c>
      <c r="K150" s="45" t="s">
        <v>1296</v>
      </c>
      <c r="L150" s="48">
        <v>297</v>
      </c>
      <c r="M150" s="49">
        <v>20241021736</v>
      </c>
      <c r="N150" s="50" t="s">
        <v>28</v>
      </c>
      <c r="O150" s="50"/>
      <c r="P150" s="50"/>
      <c r="Q150" s="51"/>
      <c r="R150" s="50"/>
      <c r="S150" s="50"/>
      <c r="T150" s="51"/>
      <c r="U150" s="50"/>
    </row>
    <row r="151" spans="1:21" x14ac:dyDescent="0.25">
      <c r="A151" s="45" t="s">
        <v>20</v>
      </c>
      <c r="B151" s="46">
        <v>45598</v>
      </c>
      <c r="C151" s="45" t="s">
        <v>168</v>
      </c>
      <c r="D151" s="47"/>
      <c r="E151" s="45" t="s">
        <v>353</v>
      </c>
      <c r="F151" s="45" t="s">
        <v>354</v>
      </c>
      <c r="G151" s="45" t="s">
        <v>263</v>
      </c>
      <c r="H151" s="45" t="s">
        <v>883</v>
      </c>
      <c r="I151" s="45" t="s">
        <v>1377</v>
      </c>
      <c r="J151" s="45">
        <v>567933220</v>
      </c>
      <c r="K151" s="45" t="s">
        <v>933</v>
      </c>
      <c r="L151" s="48">
        <v>105</v>
      </c>
      <c r="M151" s="49">
        <v>20241021429</v>
      </c>
      <c r="N151" s="50" t="s">
        <v>28</v>
      </c>
      <c r="O151" s="50"/>
      <c r="P151" s="50"/>
      <c r="Q151" s="51"/>
      <c r="R151" s="50"/>
      <c r="S151" s="50"/>
      <c r="T151" s="51"/>
      <c r="U151" s="50"/>
    </row>
    <row r="152" spans="1:21" x14ac:dyDescent="0.25">
      <c r="A152" s="45" t="s">
        <v>29</v>
      </c>
      <c r="B152" s="46">
        <v>45598</v>
      </c>
      <c r="C152" s="45" t="s">
        <v>168</v>
      </c>
      <c r="D152" s="47"/>
      <c r="E152" s="45" t="s">
        <v>353</v>
      </c>
      <c r="F152" s="45" t="s">
        <v>354</v>
      </c>
      <c r="G152" s="45" t="s">
        <v>178</v>
      </c>
      <c r="H152" s="45" t="s">
        <v>1368</v>
      </c>
      <c r="I152" s="45" t="s">
        <v>1378</v>
      </c>
      <c r="J152" s="45">
        <v>574341568</v>
      </c>
      <c r="K152" s="45" t="s">
        <v>184</v>
      </c>
      <c r="L152" s="48">
        <v>632.5</v>
      </c>
      <c r="M152" s="49">
        <v>20241021476</v>
      </c>
      <c r="N152" s="50" t="s">
        <v>28</v>
      </c>
      <c r="O152" s="50"/>
      <c r="P152" s="50"/>
      <c r="Q152" s="51"/>
      <c r="R152" s="50"/>
      <c r="S152" s="50"/>
      <c r="T152" s="51"/>
      <c r="U152" s="50"/>
    </row>
    <row r="153" spans="1:21" x14ac:dyDescent="0.25">
      <c r="A153" s="45" t="s">
        <v>233</v>
      </c>
      <c r="B153" s="46">
        <v>45596</v>
      </c>
      <c r="C153" s="45" t="s">
        <v>294</v>
      </c>
      <c r="D153" s="47"/>
      <c r="E153" s="45" t="s">
        <v>371</v>
      </c>
      <c r="F153" s="45" t="s">
        <v>372</v>
      </c>
      <c r="G153" s="45" t="s">
        <v>298</v>
      </c>
      <c r="H153" s="45" t="s">
        <v>1379</v>
      </c>
      <c r="I153" s="45" t="s">
        <v>1380</v>
      </c>
      <c r="J153" s="45">
        <v>15874</v>
      </c>
      <c r="K153" s="45" t="s">
        <v>1187</v>
      </c>
      <c r="L153" s="48">
        <v>24</v>
      </c>
      <c r="M153" s="49">
        <v>20241021432</v>
      </c>
      <c r="N153" s="50" t="s">
        <v>28</v>
      </c>
      <c r="O153" s="50"/>
      <c r="P153" s="50"/>
      <c r="Q153" s="51"/>
      <c r="R153" s="50"/>
      <c r="S153" s="50"/>
      <c r="T153" s="51"/>
      <c r="U153" s="50"/>
    </row>
    <row r="154" spans="1:21" x14ac:dyDescent="0.25">
      <c r="A154" s="45" t="s">
        <v>233</v>
      </c>
      <c r="B154" s="46">
        <v>45596</v>
      </c>
      <c r="C154" s="45" t="s">
        <v>294</v>
      </c>
      <c r="D154" s="47"/>
      <c r="E154" s="45" t="s">
        <v>371</v>
      </c>
      <c r="F154" s="45" t="s">
        <v>372</v>
      </c>
      <c r="G154" s="45" t="s">
        <v>298</v>
      </c>
      <c r="H154" s="45" t="s">
        <v>1379</v>
      </c>
      <c r="I154" s="45" t="s">
        <v>1380</v>
      </c>
      <c r="J154" s="45">
        <v>15874</v>
      </c>
      <c r="K154" s="45" t="s">
        <v>1190</v>
      </c>
      <c r="L154" s="48">
        <v>11</v>
      </c>
      <c r="M154" s="49">
        <v>20241021427</v>
      </c>
      <c r="N154" s="50" t="s">
        <v>28</v>
      </c>
      <c r="O154" s="50"/>
      <c r="P154" s="50"/>
      <c r="Q154" s="51"/>
      <c r="R154" s="50"/>
      <c r="S154" s="50"/>
      <c r="T154" s="51"/>
      <c r="U154" s="50"/>
    </row>
    <row r="155" spans="1:21" x14ac:dyDescent="0.25">
      <c r="A155" s="45" t="s">
        <v>324</v>
      </c>
      <c r="B155" s="46">
        <v>45596</v>
      </c>
      <c r="C155" s="45" t="s">
        <v>294</v>
      </c>
      <c r="D155" s="47"/>
      <c r="E155" s="45" t="s">
        <v>371</v>
      </c>
      <c r="F155" s="45" t="s">
        <v>372</v>
      </c>
      <c r="G155" s="45" t="s">
        <v>298</v>
      </c>
      <c r="H155" s="45" t="s">
        <v>1008</v>
      </c>
      <c r="I155" s="45" t="s">
        <v>1381</v>
      </c>
      <c r="J155" s="45">
        <v>15898</v>
      </c>
      <c r="K155" s="45" t="s">
        <v>1338</v>
      </c>
      <c r="L155" s="48">
        <v>55</v>
      </c>
      <c r="M155" s="49">
        <v>20241024139</v>
      </c>
      <c r="N155" s="50" t="s">
        <v>28</v>
      </c>
      <c r="O155" s="50"/>
      <c r="P155" s="50"/>
      <c r="Q155" s="51"/>
      <c r="R155" s="50"/>
      <c r="S155" s="50"/>
      <c r="T155" s="51"/>
      <c r="U155" s="50"/>
    </row>
    <row r="156" spans="1:21" x14ac:dyDescent="0.25">
      <c r="A156" s="45" t="s">
        <v>233</v>
      </c>
      <c r="B156" s="46">
        <v>45596</v>
      </c>
      <c r="C156" s="45" t="s">
        <v>294</v>
      </c>
      <c r="D156" s="47"/>
      <c r="E156" s="45" t="s">
        <v>371</v>
      </c>
      <c r="F156" s="45" t="s">
        <v>372</v>
      </c>
      <c r="G156" s="45" t="s">
        <v>298</v>
      </c>
      <c r="H156" s="45" t="s">
        <v>875</v>
      </c>
      <c r="I156" s="45" t="s">
        <v>1382</v>
      </c>
      <c r="J156" s="45">
        <v>21444</v>
      </c>
      <c r="K156" s="45" t="s">
        <v>237</v>
      </c>
      <c r="L156" s="48">
        <v>2450.4499999999998</v>
      </c>
      <c r="M156" s="49">
        <v>20241025422</v>
      </c>
      <c r="N156" s="50" t="s">
        <v>28</v>
      </c>
      <c r="O156" s="50"/>
      <c r="P156" s="50"/>
      <c r="Q156" s="51"/>
      <c r="R156" s="50"/>
      <c r="S156" s="50"/>
      <c r="T156" s="51"/>
      <c r="U156" s="50"/>
    </row>
    <row r="157" spans="1:21" x14ac:dyDescent="0.25">
      <c r="A157" s="45" t="s">
        <v>233</v>
      </c>
      <c r="B157" s="46">
        <v>45596</v>
      </c>
      <c r="C157" s="45" t="s">
        <v>294</v>
      </c>
      <c r="D157" s="47"/>
      <c r="E157" s="45" t="s">
        <v>371</v>
      </c>
      <c r="F157" s="45" t="s">
        <v>372</v>
      </c>
      <c r="G157" s="45" t="s">
        <v>1339</v>
      </c>
      <c r="H157" s="45" t="s">
        <v>1383</v>
      </c>
      <c r="I157" s="45" t="s">
        <v>1384</v>
      </c>
      <c r="J157" s="45">
        <v>733206227</v>
      </c>
      <c r="K157" s="45" t="s">
        <v>59</v>
      </c>
      <c r="L157" s="48">
        <v>1.29</v>
      </c>
      <c r="M157" s="49">
        <v>20241021135</v>
      </c>
      <c r="N157" s="50" t="s">
        <v>28</v>
      </c>
      <c r="O157" s="50"/>
      <c r="P157" s="50"/>
      <c r="Q157" s="51"/>
      <c r="R157" s="50"/>
      <c r="S157" s="50"/>
      <c r="T157" s="51"/>
      <c r="U157" s="50"/>
    </row>
    <row r="158" spans="1:21" x14ac:dyDescent="0.25">
      <c r="A158" s="45" t="s">
        <v>375</v>
      </c>
      <c r="B158" s="46">
        <v>45596</v>
      </c>
      <c r="C158" s="45" t="s">
        <v>294</v>
      </c>
      <c r="D158" s="47"/>
      <c r="E158" s="45" t="s">
        <v>371</v>
      </c>
      <c r="F158" s="45" t="s">
        <v>372</v>
      </c>
      <c r="G158" s="45" t="s">
        <v>376</v>
      </c>
      <c r="H158" s="45" t="s">
        <v>1385</v>
      </c>
      <c r="I158" s="45" t="s">
        <v>1386</v>
      </c>
      <c r="J158" s="45">
        <v>741668328</v>
      </c>
      <c r="K158" s="45" t="s">
        <v>268</v>
      </c>
      <c r="L158" s="48">
        <v>111.54</v>
      </c>
      <c r="M158" s="49">
        <v>20241023212</v>
      </c>
      <c r="N158" s="50" t="s">
        <v>28</v>
      </c>
      <c r="O158" s="50"/>
      <c r="P158" s="50"/>
      <c r="Q158" s="51"/>
      <c r="R158" s="50"/>
      <c r="S158" s="50"/>
      <c r="T158" s="51"/>
      <c r="U158" s="50"/>
    </row>
    <row r="159" spans="1:21" x14ac:dyDescent="0.25">
      <c r="A159" s="45" t="s">
        <v>375</v>
      </c>
      <c r="B159" s="46">
        <v>45596</v>
      </c>
      <c r="C159" s="45" t="s">
        <v>294</v>
      </c>
      <c r="D159" s="47"/>
      <c r="E159" s="45" t="s">
        <v>371</v>
      </c>
      <c r="F159" s="45" t="s">
        <v>372</v>
      </c>
      <c r="G159" s="45" t="s">
        <v>376</v>
      </c>
      <c r="H159" s="45" t="s">
        <v>1385</v>
      </c>
      <c r="I159" s="45" t="s">
        <v>1386</v>
      </c>
      <c r="J159" s="45">
        <v>741668328</v>
      </c>
      <c r="K159" s="45" t="s">
        <v>309</v>
      </c>
      <c r="L159" s="48">
        <v>40</v>
      </c>
      <c r="M159" s="49">
        <v>20241023214</v>
      </c>
      <c r="N159" s="50" t="s">
        <v>28</v>
      </c>
      <c r="O159" s="50"/>
      <c r="P159" s="50"/>
      <c r="Q159" s="51"/>
      <c r="R159" s="50"/>
      <c r="S159" s="50"/>
      <c r="T159" s="51"/>
      <c r="U159" s="50"/>
    </row>
    <row r="160" spans="1:21" x14ac:dyDescent="0.25">
      <c r="A160" s="45" t="s">
        <v>375</v>
      </c>
      <c r="B160" s="46">
        <v>45596</v>
      </c>
      <c r="C160" s="45" t="s">
        <v>294</v>
      </c>
      <c r="D160" s="47"/>
      <c r="E160" s="45" t="s">
        <v>371</v>
      </c>
      <c r="F160" s="45" t="s">
        <v>372</v>
      </c>
      <c r="G160" s="45" t="s">
        <v>376</v>
      </c>
      <c r="H160" s="45" t="s">
        <v>1385</v>
      </c>
      <c r="I160" s="45" t="s">
        <v>1386</v>
      </c>
      <c r="J160" s="45">
        <v>741668328</v>
      </c>
      <c r="K160" s="45" t="s">
        <v>1146</v>
      </c>
      <c r="L160" s="48">
        <v>555.9</v>
      </c>
      <c r="M160" s="49">
        <v>20241023201</v>
      </c>
      <c r="N160" s="50" t="s">
        <v>28</v>
      </c>
      <c r="O160" s="50"/>
      <c r="P160" s="50"/>
      <c r="Q160" s="51"/>
      <c r="R160" s="50"/>
      <c r="S160" s="50"/>
      <c r="T160" s="51"/>
      <c r="U160" s="50"/>
    </row>
    <row r="161" spans="1:21" x14ac:dyDescent="0.25">
      <c r="A161" s="45" t="s">
        <v>375</v>
      </c>
      <c r="B161" s="46">
        <v>45596</v>
      </c>
      <c r="C161" s="45" t="s">
        <v>294</v>
      </c>
      <c r="D161" s="47"/>
      <c r="E161" s="45" t="s">
        <v>371</v>
      </c>
      <c r="F161" s="45" t="s">
        <v>372</v>
      </c>
      <c r="G161" s="45" t="s">
        <v>376</v>
      </c>
      <c r="H161" s="45" t="s">
        <v>1385</v>
      </c>
      <c r="I161" s="45" t="s">
        <v>1386</v>
      </c>
      <c r="J161" s="45">
        <v>741668328</v>
      </c>
      <c r="K161" s="45" t="s">
        <v>106</v>
      </c>
      <c r="L161" s="48">
        <v>270.3</v>
      </c>
      <c r="M161" s="49">
        <v>20241023199</v>
      </c>
      <c r="N161" s="50" t="s">
        <v>28</v>
      </c>
      <c r="O161" s="50"/>
      <c r="P161" s="50"/>
      <c r="Q161" s="51"/>
      <c r="R161" s="50"/>
      <c r="S161" s="50"/>
      <c r="T161" s="51"/>
      <c r="U161" s="50"/>
    </row>
    <row r="162" spans="1:21" x14ac:dyDescent="0.25">
      <c r="A162" s="45" t="s">
        <v>233</v>
      </c>
      <c r="B162" s="46">
        <v>45596</v>
      </c>
      <c r="C162" s="45" t="s">
        <v>294</v>
      </c>
      <c r="D162" s="47"/>
      <c r="E162" s="45" t="s">
        <v>371</v>
      </c>
      <c r="F162" s="45" t="s">
        <v>372</v>
      </c>
      <c r="G162" s="45" t="s">
        <v>1339</v>
      </c>
      <c r="H162" s="45" t="s">
        <v>322</v>
      </c>
      <c r="I162" s="45" t="s">
        <v>1387</v>
      </c>
      <c r="J162" s="45">
        <v>751187213</v>
      </c>
      <c r="K162" s="45" t="s">
        <v>250</v>
      </c>
      <c r="L162" s="48">
        <v>132.15</v>
      </c>
      <c r="M162" s="49">
        <v>20241025350</v>
      </c>
      <c r="N162" s="50" t="s">
        <v>28</v>
      </c>
      <c r="O162" s="50"/>
      <c r="P162" s="50"/>
      <c r="Q162" s="51"/>
      <c r="R162" s="50"/>
      <c r="S162" s="50"/>
      <c r="T162" s="51"/>
      <c r="U162" s="50"/>
    </row>
    <row r="163" spans="1:21" x14ac:dyDescent="0.25">
      <c r="A163" s="45" t="s">
        <v>233</v>
      </c>
      <c r="B163" s="46">
        <v>45596</v>
      </c>
      <c r="C163" s="45" t="s">
        <v>294</v>
      </c>
      <c r="D163" s="47"/>
      <c r="E163" s="45" t="s">
        <v>371</v>
      </c>
      <c r="F163" s="45" t="s">
        <v>372</v>
      </c>
      <c r="G163" s="45" t="s">
        <v>1339</v>
      </c>
      <c r="H163" s="45" t="s">
        <v>322</v>
      </c>
      <c r="I163" s="45" t="s">
        <v>1387</v>
      </c>
      <c r="J163" s="45">
        <v>751187213</v>
      </c>
      <c r="K163" s="45" t="s">
        <v>256</v>
      </c>
      <c r="L163" s="48">
        <v>57.7</v>
      </c>
      <c r="M163" s="49">
        <v>20241025346</v>
      </c>
      <c r="N163" s="50" t="s">
        <v>28</v>
      </c>
      <c r="O163" s="50"/>
      <c r="P163" s="50"/>
      <c r="Q163" s="51"/>
      <c r="R163" s="50"/>
      <c r="S163" s="50"/>
      <c r="T163" s="51"/>
      <c r="U163" s="50"/>
    </row>
    <row r="164" spans="1:21" x14ac:dyDescent="0.25">
      <c r="A164" s="45" t="s">
        <v>324</v>
      </c>
      <c r="B164" s="46">
        <v>45596</v>
      </c>
      <c r="C164" s="45" t="s">
        <v>294</v>
      </c>
      <c r="D164" s="47"/>
      <c r="E164" s="45" t="s">
        <v>371</v>
      </c>
      <c r="F164" s="45" t="s">
        <v>372</v>
      </c>
      <c r="G164" s="45" t="s">
        <v>274</v>
      </c>
      <c r="H164" s="45" t="s">
        <v>1388</v>
      </c>
      <c r="I164" s="45" t="s">
        <v>1389</v>
      </c>
      <c r="J164" s="45">
        <v>768319692</v>
      </c>
      <c r="K164" s="45" t="s">
        <v>1230</v>
      </c>
      <c r="L164" s="48">
        <v>89</v>
      </c>
      <c r="M164" s="49">
        <v>20241023230</v>
      </c>
      <c r="N164" s="50" t="s">
        <v>28</v>
      </c>
      <c r="O164" s="50"/>
      <c r="P164" s="50"/>
      <c r="Q164" s="51"/>
      <c r="R164" s="50"/>
      <c r="S164" s="50"/>
      <c r="T164" s="51"/>
      <c r="U164" s="50"/>
    </row>
    <row r="165" spans="1:21" x14ac:dyDescent="0.25">
      <c r="A165" s="45" t="s">
        <v>233</v>
      </c>
      <c r="B165" s="46">
        <v>45596</v>
      </c>
      <c r="C165" s="45" t="s">
        <v>294</v>
      </c>
      <c r="D165" s="47"/>
      <c r="E165" s="45" t="s">
        <v>371</v>
      </c>
      <c r="F165" s="45" t="s">
        <v>372</v>
      </c>
      <c r="G165" s="45" t="s">
        <v>1339</v>
      </c>
      <c r="H165" s="45" t="s">
        <v>1390</v>
      </c>
      <c r="I165" s="45" t="s">
        <v>1391</v>
      </c>
      <c r="J165" s="45">
        <v>830079075</v>
      </c>
      <c r="K165" s="45" t="s">
        <v>285</v>
      </c>
      <c r="L165" s="48">
        <v>98.05</v>
      </c>
      <c r="M165" s="49">
        <v>20241023218</v>
      </c>
      <c r="N165" s="50" t="s">
        <v>28</v>
      </c>
      <c r="O165" s="50"/>
      <c r="P165" s="50"/>
      <c r="Q165" s="51"/>
      <c r="R165" s="50"/>
      <c r="S165" s="50"/>
      <c r="T165" s="51"/>
      <c r="U165" s="50"/>
    </row>
    <row r="166" spans="1:21" x14ac:dyDescent="0.25">
      <c r="A166" s="45" t="s">
        <v>324</v>
      </c>
      <c r="B166" s="46">
        <v>45596</v>
      </c>
      <c r="C166" s="45" t="s">
        <v>294</v>
      </c>
      <c r="D166" s="47"/>
      <c r="E166" s="45" t="s">
        <v>371</v>
      </c>
      <c r="F166" s="45" t="s">
        <v>372</v>
      </c>
      <c r="G166" s="45" t="s">
        <v>274</v>
      </c>
      <c r="H166" s="45" t="s">
        <v>1392</v>
      </c>
      <c r="I166" s="45" t="s">
        <v>789</v>
      </c>
      <c r="J166" s="45">
        <v>886346676</v>
      </c>
      <c r="K166" s="45" t="s">
        <v>358</v>
      </c>
      <c r="L166" s="48">
        <v>25.05</v>
      </c>
      <c r="M166" s="49">
        <v>20241021881</v>
      </c>
      <c r="N166" s="50" t="s">
        <v>28</v>
      </c>
      <c r="O166" s="50"/>
      <c r="P166" s="50"/>
      <c r="Q166" s="51"/>
      <c r="R166" s="50"/>
      <c r="S166" s="50"/>
      <c r="T166" s="51"/>
      <c r="U166" s="50"/>
    </row>
    <row r="167" spans="1:21" x14ac:dyDescent="0.25">
      <c r="A167" s="45" t="s">
        <v>324</v>
      </c>
      <c r="B167" s="46">
        <v>45596</v>
      </c>
      <c r="C167" s="45" t="s">
        <v>294</v>
      </c>
      <c r="D167" s="47"/>
      <c r="E167" s="45" t="s">
        <v>371</v>
      </c>
      <c r="F167" s="45" t="s">
        <v>372</v>
      </c>
      <c r="G167" s="45" t="s">
        <v>274</v>
      </c>
      <c r="H167" s="45" t="s">
        <v>1392</v>
      </c>
      <c r="I167" s="45" t="s">
        <v>789</v>
      </c>
      <c r="J167" s="45">
        <v>886346676</v>
      </c>
      <c r="K167" s="45" t="s">
        <v>358</v>
      </c>
      <c r="L167" s="48">
        <v>6.26</v>
      </c>
      <c r="M167" s="49">
        <v>20241021783</v>
      </c>
      <c r="N167" s="50" t="s">
        <v>28</v>
      </c>
      <c r="O167" s="50"/>
      <c r="P167" s="50"/>
      <c r="Q167" s="51"/>
      <c r="R167" s="50"/>
      <c r="S167" s="50"/>
      <c r="T167" s="51"/>
      <c r="U167" s="50"/>
    </row>
    <row r="168" spans="1:21" x14ac:dyDescent="0.25">
      <c r="A168" s="45" t="s">
        <v>375</v>
      </c>
      <c r="B168" s="46">
        <v>45596</v>
      </c>
      <c r="C168" s="45" t="s">
        <v>294</v>
      </c>
      <c r="D168" s="47"/>
      <c r="E168" s="45" t="s">
        <v>362</v>
      </c>
      <c r="F168" s="45" t="s">
        <v>394</v>
      </c>
      <c r="G168" s="45" t="s">
        <v>376</v>
      </c>
      <c r="H168" s="45" t="s">
        <v>1393</v>
      </c>
      <c r="I168" s="45" t="s">
        <v>1394</v>
      </c>
      <c r="J168" s="45">
        <v>529272013</v>
      </c>
      <c r="K168" s="45" t="s">
        <v>398</v>
      </c>
      <c r="L168" s="48">
        <v>9.1300000000000008</v>
      </c>
      <c r="M168" s="49">
        <v>20241022419</v>
      </c>
      <c r="N168" s="50" t="s">
        <v>28</v>
      </c>
      <c r="O168" s="50"/>
      <c r="P168" s="50"/>
      <c r="Q168" s="51"/>
      <c r="R168" s="50"/>
      <c r="S168" s="50"/>
      <c r="T168" s="51"/>
      <c r="U168" s="50"/>
    </row>
    <row r="169" spans="1:21" x14ac:dyDescent="0.25">
      <c r="A169" s="45" t="s">
        <v>375</v>
      </c>
      <c r="B169" s="46">
        <v>45596</v>
      </c>
      <c r="C169" s="45" t="s">
        <v>294</v>
      </c>
      <c r="D169" s="47"/>
      <c r="E169" s="45" t="s">
        <v>362</v>
      </c>
      <c r="F169" s="45" t="s">
        <v>394</v>
      </c>
      <c r="G169" s="45" t="s">
        <v>376</v>
      </c>
      <c r="H169" s="45" t="s">
        <v>1393</v>
      </c>
      <c r="I169" s="45" t="s">
        <v>1394</v>
      </c>
      <c r="J169" s="45">
        <v>529272013</v>
      </c>
      <c r="K169" s="45" t="s">
        <v>1395</v>
      </c>
      <c r="L169" s="48">
        <v>20</v>
      </c>
      <c r="M169" s="49">
        <v>20241022416</v>
      </c>
      <c r="N169" s="50" t="s">
        <v>28</v>
      </c>
      <c r="O169" s="50"/>
      <c r="P169" s="50"/>
      <c r="Q169" s="51"/>
      <c r="R169" s="50"/>
      <c r="S169" s="50"/>
      <c r="T169" s="51"/>
      <c r="U169" s="50"/>
    </row>
    <row r="170" spans="1:21" x14ac:dyDescent="0.25">
      <c r="A170" s="45" t="s">
        <v>375</v>
      </c>
      <c r="B170" s="46">
        <v>45632</v>
      </c>
      <c r="C170" s="45" t="s">
        <v>21</v>
      </c>
      <c r="D170" s="47"/>
      <c r="E170" s="45" t="s">
        <v>362</v>
      </c>
      <c r="F170" s="45" t="s">
        <v>394</v>
      </c>
      <c r="G170" s="45" t="s">
        <v>376</v>
      </c>
      <c r="H170" s="45" t="s">
        <v>1393</v>
      </c>
      <c r="I170" s="45" t="s">
        <v>1394</v>
      </c>
      <c r="J170" s="45">
        <v>529272013</v>
      </c>
      <c r="K170" s="45" t="s">
        <v>389</v>
      </c>
      <c r="L170" s="48">
        <v>10</v>
      </c>
      <c r="M170" s="49">
        <v>20241022467</v>
      </c>
      <c r="N170" s="50" t="s">
        <v>28</v>
      </c>
      <c r="O170" s="50"/>
      <c r="P170" s="50"/>
      <c r="Q170" s="51"/>
      <c r="R170" s="50"/>
      <c r="S170" s="50"/>
      <c r="T170" s="51"/>
      <c r="U170" s="50"/>
    </row>
    <row r="171" spans="1:21" x14ac:dyDescent="0.25">
      <c r="A171" s="45" t="s">
        <v>375</v>
      </c>
      <c r="B171" s="46">
        <v>45632</v>
      </c>
      <c r="C171" s="45" t="s">
        <v>21</v>
      </c>
      <c r="D171" s="47"/>
      <c r="E171" s="45" t="s">
        <v>362</v>
      </c>
      <c r="F171" s="45" t="s">
        <v>394</v>
      </c>
      <c r="G171" s="45" t="s">
        <v>376</v>
      </c>
      <c r="H171" s="45" t="s">
        <v>1393</v>
      </c>
      <c r="I171" s="45" t="s">
        <v>1394</v>
      </c>
      <c r="J171" s="45">
        <v>529272013</v>
      </c>
      <c r="K171" s="45" t="s">
        <v>194</v>
      </c>
      <c r="L171" s="48">
        <v>9.6</v>
      </c>
      <c r="M171" s="49">
        <v>20241022443</v>
      </c>
      <c r="N171" s="50" t="s">
        <v>28</v>
      </c>
      <c r="O171" s="50"/>
      <c r="P171" s="50"/>
      <c r="Q171" s="51"/>
      <c r="R171" s="50"/>
      <c r="S171" s="50"/>
      <c r="T171" s="51"/>
      <c r="U171" s="50"/>
    </row>
    <row r="172" spans="1:21" x14ac:dyDescent="0.25">
      <c r="A172" s="45" t="s">
        <v>375</v>
      </c>
      <c r="B172" s="46">
        <v>45632</v>
      </c>
      <c r="C172" s="45" t="s">
        <v>21</v>
      </c>
      <c r="D172" s="47"/>
      <c r="E172" s="45" t="s">
        <v>362</v>
      </c>
      <c r="F172" s="45" t="s">
        <v>394</v>
      </c>
      <c r="G172" s="45" t="s">
        <v>376</v>
      </c>
      <c r="H172" s="45" t="s">
        <v>1393</v>
      </c>
      <c r="I172" s="45" t="s">
        <v>1394</v>
      </c>
      <c r="J172" s="45">
        <v>529272013</v>
      </c>
      <c r="K172" s="45" t="s">
        <v>194</v>
      </c>
      <c r="L172" s="48">
        <v>9.94</v>
      </c>
      <c r="M172" s="49">
        <v>20241022454</v>
      </c>
      <c r="N172" s="50" t="s">
        <v>28</v>
      </c>
      <c r="O172" s="50"/>
      <c r="P172" s="50"/>
      <c r="Q172" s="51"/>
      <c r="R172" s="50"/>
      <c r="S172" s="50"/>
      <c r="T172" s="51"/>
      <c r="U172" s="50"/>
    </row>
    <row r="173" spans="1:21" x14ac:dyDescent="0.25">
      <c r="A173" s="45" t="s">
        <v>375</v>
      </c>
      <c r="B173" s="46">
        <v>45632</v>
      </c>
      <c r="C173" s="45" t="s">
        <v>21</v>
      </c>
      <c r="D173" s="47"/>
      <c r="E173" s="45" t="s">
        <v>362</v>
      </c>
      <c r="F173" s="45" t="s">
        <v>394</v>
      </c>
      <c r="G173" s="45" t="s">
        <v>376</v>
      </c>
      <c r="H173" s="45" t="s">
        <v>1393</v>
      </c>
      <c r="I173" s="45" t="s">
        <v>1394</v>
      </c>
      <c r="J173" s="45">
        <v>529272013</v>
      </c>
      <c r="K173" s="45" t="s">
        <v>213</v>
      </c>
      <c r="L173" s="48">
        <v>10</v>
      </c>
      <c r="M173" s="49">
        <v>20241022434</v>
      </c>
      <c r="N173" s="50" t="s">
        <v>28</v>
      </c>
      <c r="O173" s="50"/>
      <c r="P173" s="50"/>
      <c r="Q173" s="51"/>
      <c r="R173" s="50"/>
      <c r="S173" s="50"/>
      <c r="T173" s="51"/>
      <c r="U173" s="50"/>
    </row>
    <row r="174" spans="1:21" x14ac:dyDescent="0.25">
      <c r="A174" s="45" t="s">
        <v>233</v>
      </c>
      <c r="B174" s="46">
        <v>45632</v>
      </c>
      <c r="C174" s="45" t="s">
        <v>21</v>
      </c>
      <c r="D174" s="47"/>
      <c r="E174" s="45" t="s">
        <v>362</v>
      </c>
      <c r="F174" s="45" t="s">
        <v>394</v>
      </c>
      <c r="G174" s="45" t="s">
        <v>66</v>
      </c>
      <c r="H174" s="45" t="s">
        <v>1396</v>
      </c>
      <c r="I174" s="45" t="s">
        <v>1397</v>
      </c>
      <c r="J174" s="45">
        <v>550539993</v>
      </c>
      <c r="K174" s="45" t="s">
        <v>1019</v>
      </c>
      <c r="L174" s="48">
        <v>1</v>
      </c>
      <c r="M174" s="49">
        <v>20241025623</v>
      </c>
      <c r="N174" s="50" t="s">
        <v>28</v>
      </c>
      <c r="O174" s="50"/>
      <c r="P174" s="50"/>
      <c r="Q174" s="51"/>
      <c r="R174" s="50"/>
      <c r="S174" s="50"/>
      <c r="T174" s="51"/>
      <c r="U174" s="50"/>
    </row>
    <row r="175" spans="1:21" x14ac:dyDescent="0.25">
      <c r="A175" s="45" t="s">
        <v>29</v>
      </c>
      <c r="B175" s="46">
        <v>45598</v>
      </c>
      <c r="C175" s="45" t="s">
        <v>168</v>
      </c>
      <c r="D175" s="47"/>
      <c r="E175" s="45" t="s">
        <v>362</v>
      </c>
      <c r="F175" s="45" t="s">
        <v>394</v>
      </c>
      <c r="G175" s="45" t="s">
        <v>30</v>
      </c>
      <c r="H175" s="45" t="s">
        <v>1398</v>
      </c>
      <c r="I175" s="45" t="s">
        <v>1399</v>
      </c>
      <c r="J175" s="45">
        <v>557558617</v>
      </c>
      <c r="K175" s="45" t="s">
        <v>301</v>
      </c>
      <c r="L175" s="48">
        <v>416.66</v>
      </c>
      <c r="M175" s="49">
        <v>20241002283</v>
      </c>
      <c r="N175" s="50" t="s">
        <v>28</v>
      </c>
      <c r="O175" s="50"/>
      <c r="P175" s="50"/>
      <c r="Q175" s="51"/>
      <c r="R175" s="50"/>
      <c r="S175" s="50"/>
      <c r="T175" s="51"/>
      <c r="U175" s="50"/>
    </row>
    <row r="176" spans="1:21" x14ac:dyDescent="0.25">
      <c r="A176" s="45" t="s">
        <v>29</v>
      </c>
      <c r="B176" s="46">
        <v>45598</v>
      </c>
      <c r="C176" s="45" t="s">
        <v>168</v>
      </c>
      <c r="D176" s="47"/>
      <c r="E176" s="45" t="s">
        <v>362</v>
      </c>
      <c r="F176" s="45" t="s">
        <v>394</v>
      </c>
      <c r="G176" s="45" t="s">
        <v>30</v>
      </c>
      <c r="H176" s="45" t="s">
        <v>1398</v>
      </c>
      <c r="I176" s="45" t="s">
        <v>1399</v>
      </c>
      <c r="J176" s="45">
        <v>557558617</v>
      </c>
      <c r="K176" s="45" t="s">
        <v>48</v>
      </c>
      <c r="L176" s="48">
        <v>416.66</v>
      </c>
      <c r="M176" s="49">
        <v>20241002284</v>
      </c>
      <c r="N176" s="50" t="s">
        <v>28</v>
      </c>
      <c r="O176" s="50"/>
      <c r="P176" s="50"/>
      <c r="Q176" s="51"/>
      <c r="R176" s="50"/>
      <c r="S176" s="50"/>
      <c r="T176" s="51"/>
      <c r="U176" s="50"/>
    </row>
    <row r="177" spans="1:21" x14ac:dyDescent="0.25">
      <c r="A177" s="45" t="s">
        <v>29</v>
      </c>
      <c r="B177" s="46">
        <v>45598</v>
      </c>
      <c r="C177" s="45" t="s">
        <v>168</v>
      </c>
      <c r="D177" s="47"/>
      <c r="E177" s="45" t="s">
        <v>362</v>
      </c>
      <c r="F177" s="45" t="s">
        <v>394</v>
      </c>
      <c r="G177" s="45" t="s">
        <v>30</v>
      </c>
      <c r="H177" s="45" t="s">
        <v>1398</v>
      </c>
      <c r="I177" s="45" t="s">
        <v>1399</v>
      </c>
      <c r="J177" s="45">
        <v>557558617</v>
      </c>
      <c r="K177" s="45" t="s">
        <v>184</v>
      </c>
      <c r="L177" s="48">
        <v>416.66</v>
      </c>
      <c r="M177" s="49">
        <v>20241002285</v>
      </c>
      <c r="N177" s="50" t="s">
        <v>28</v>
      </c>
      <c r="O177" s="50"/>
      <c r="P177" s="50"/>
      <c r="Q177" s="51"/>
      <c r="R177" s="50"/>
      <c r="S177" s="50"/>
      <c r="T177" s="51"/>
      <c r="U177" s="50"/>
    </row>
    <row r="178" spans="1:21" x14ac:dyDescent="0.25">
      <c r="A178" s="45" t="s">
        <v>29</v>
      </c>
      <c r="B178" s="46">
        <v>45598</v>
      </c>
      <c r="C178" s="45" t="s">
        <v>168</v>
      </c>
      <c r="D178" s="47"/>
      <c r="E178" s="45" t="s">
        <v>362</v>
      </c>
      <c r="F178" s="45" t="s">
        <v>394</v>
      </c>
      <c r="G178" s="45" t="s">
        <v>30</v>
      </c>
      <c r="H178" s="45" t="s">
        <v>1398</v>
      </c>
      <c r="I178" s="45" t="s">
        <v>1399</v>
      </c>
      <c r="J178" s="45">
        <v>557558617</v>
      </c>
      <c r="K178" s="45" t="s">
        <v>56</v>
      </c>
      <c r="L178" s="48">
        <v>416.66</v>
      </c>
      <c r="M178" s="49">
        <v>20241021963</v>
      </c>
      <c r="N178" s="50" t="s">
        <v>28</v>
      </c>
      <c r="O178" s="50"/>
      <c r="P178" s="50"/>
      <c r="Q178" s="51"/>
      <c r="R178" s="50"/>
      <c r="S178" s="50"/>
      <c r="T178" s="51"/>
      <c r="U178" s="50"/>
    </row>
    <row r="179" spans="1:21" x14ac:dyDescent="0.25">
      <c r="A179" s="45" t="s">
        <v>20</v>
      </c>
      <c r="B179" s="46">
        <v>45598</v>
      </c>
      <c r="C179" s="45" t="s">
        <v>168</v>
      </c>
      <c r="D179" s="47"/>
      <c r="E179" s="45" t="s">
        <v>362</v>
      </c>
      <c r="F179" s="45" t="s">
        <v>394</v>
      </c>
      <c r="G179" s="45" t="s">
        <v>30</v>
      </c>
      <c r="H179" s="45" t="s">
        <v>1400</v>
      </c>
      <c r="I179" s="45" t="s">
        <v>1401</v>
      </c>
      <c r="J179" s="45">
        <v>575087789</v>
      </c>
      <c r="K179" s="45" t="s">
        <v>223</v>
      </c>
      <c r="L179" s="48">
        <v>6.18</v>
      </c>
      <c r="M179" s="49">
        <v>20241021671</v>
      </c>
      <c r="N179" s="50" t="s">
        <v>28</v>
      </c>
      <c r="O179" s="50"/>
      <c r="P179" s="50"/>
      <c r="Q179" s="51"/>
      <c r="R179" s="50"/>
      <c r="S179" s="50"/>
      <c r="T179" s="51"/>
      <c r="U179" s="50"/>
    </row>
    <row r="180" spans="1:21" x14ac:dyDescent="0.25">
      <c r="A180" s="45" t="s">
        <v>20</v>
      </c>
      <c r="B180" s="46">
        <v>45598</v>
      </c>
      <c r="C180" s="45" t="s">
        <v>168</v>
      </c>
      <c r="D180" s="47"/>
      <c r="E180" s="45" t="s">
        <v>362</v>
      </c>
      <c r="F180" s="45" t="s">
        <v>394</v>
      </c>
      <c r="G180" s="45" t="s">
        <v>30</v>
      </c>
      <c r="H180" s="45" t="s">
        <v>1402</v>
      </c>
      <c r="I180" s="45" t="s">
        <v>1403</v>
      </c>
      <c r="J180" s="45">
        <v>575135242</v>
      </c>
      <c r="K180" s="45" t="s">
        <v>1190</v>
      </c>
      <c r="L180" s="48">
        <v>120.16</v>
      </c>
      <c r="M180" s="49">
        <v>20241021738</v>
      </c>
      <c r="N180" s="50" t="s">
        <v>28</v>
      </c>
      <c r="O180" s="50"/>
      <c r="P180" s="50"/>
      <c r="Q180" s="51"/>
      <c r="R180" s="50"/>
      <c r="S180" s="50"/>
      <c r="T180" s="51"/>
      <c r="U180" s="50"/>
    </row>
    <row r="181" spans="1:21" ht="30" x14ac:dyDescent="0.25">
      <c r="A181" s="45" t="s">
        <v>29</v>
      </c>
      <c r="B181" s="46">
        <v>45598</v>
      </c>
      <c r="C181" s="45" t="s">
        <v>168</v>
      </c>
      <c r="D181" s="47"/>
      <c r="E181" s="45" t="s">
        <v>362</v>
      </c>
      <c r="F181" s="45" t="s">
        <v>394</v>
      </c>
      <c r="G181" s="45" t="s">
        <v>30</v>
      </c>
      <c r="H181" s="45" t="s">
        <v>1404</v>
      </c>
      <c r="I181" s="45" t="s">
        <v>1405</v>
      </c>
      <c r="J181" s="45">
        <v>575392789</v>
      </c>
      <c r="K181" s="45" t="s">
        <v>86</v>
      </c>
      <c r="L181" s="48">
        <v>960</v>
      </c>
      <c r="M181" s="49">
        <v>20241021746</v>
      </c>
      <c r="N181" s="50"/>
      <c r="O181" s="50"/>
      <c r="P181" s="50" t="s">
        <v>304</v>
      </c>
      <c r="Q181" s="51" t="s">
        <v>1406</v>
      </c>
      <c r="R181" s="50"/>
      <c r="S181" s="50"/>
      <c r="T181" s="51"/>
      <c r="U181" s="50"/>
    </row>
    <row r="182" spans="1:21" x14ac:dyDescent="0.25">
      <c r="A182" s="45" t="s">
        <v>29</v>
      </c>
      <c r="B182" s="46">
        <v>45598</v>
      </c>
      <c r="C182" s="45" t="s">
        <v>168</v>
      </c>
      <c r="D182" s="47"/>
      <c r="E182" s="45" t="s">
        <v>362</v>
      </c>
      <c r="F182" s="45" t="s">
        <v>394</v>
      </c>
      <c r="G182" s="45" t="s">
        <v>30</v>
      </c>
      <c r="H182" s="45" t="s">
        <v>1404</v>
      </c>
      <c r="I182" s="45" t="s">
        <v>1405</v>
      </c>
      <c r="J182" s="45">
        <v>575392789</v>
      </c>
      <c r="K182" s="45" t="s">
        <v>184</v>
      </c>
      <c r="L182" s="48">
        <v>750</v>
      </c>
      <c r="M182" s="49">
        <v>20241021762</v>
      </c>
      <c r="N182" s="50" t="s">
        <v>28</v>
      </c>
      <c r="O182" s="50"/>
      <c r="P182" s="50"/>
      <c r="Q182" s="51"/>
      <c r="R182" s="50"/>
      <c r="S182" s="50"/>
      <c r="T182" s="51"/>
      <c r="U182" s="50"/>
    </row>
    <row r="183" spans="1:21" x14ac:dyDescent="0.25">
      <c r="A183" s="45" t="s">
        <v>29</v>
      </c>
      <c r="B183" s="46">
        <v>45598</v>
      </c>
      <c r="C183" s="45" t="s">
        <v>168</v>
      </c>
      <c r="D183" s="47"/>
      <c r="E183" s="45" t="s">
        <v>411</v>
      </c>
      <c r="F183" s="45" t="s">
        <v>412</v>
      </c>
      <c r="G183" s="45" t="s">
        <v>171</v>
      </c>
      <c r="H183" s="45" t="s">
        <v>1407</v>
      </c>
      <c r="I183" s="45" t="s">
        <v>1408</v>
      </c>
      <c r="J183" s="45">
        <v>350704301</v>
      </c>
      <c r="K183" s="45" t="s">
        <v>52</v>
      </c>
      <c r="L183" s="48">
        <v>250</v>
      </c>
      <c r="M183" s="49">
        <v>20240926606</v>
      </c>
      <c r="N183" s="50" t="s">
        <v>28</v>
      </c>
      <c r="O183" s="50"/>
      <c r="P183" s="50"/>
      <c r="Q183" s="51"/>
      <c r="R183" s="50"/>
      <c r="S183" s="50"/>
      <c r="T183" s="51"/>
      <c r="U183" s="50"/>
    </row>
    <row r="184" spans="1:21" x14ac:dyDescent="0.25">
      <c r="A184" s="45" t="s">
        <v>233</v>
      </c>
      <c r="B184" s="46">
        <v>45632</v>
      </c>
      <c r="C184" s="45" t="s">
        <v>21</v>
      </c>
      <c r="D184" s="47"/>
      <c r="E184" s="45" t="s">
        <v>417</v>
      </c>
      <c r="F184" s="45" t="s">
        <v>418</v>
      </c>
      <c r="G184" s="45" t="s">
        <v>298</v>
      </c>
      <c r="H184" s="45" t="s">
        <v>1393</v>
      </c>
      <c r="I184" s="45" t="s">
        <v>1409</v>
      </c>
      <c r="J184" s="45">
        <v>59120</v>
      </c>
      <c r="K184" s="45" t="s">
        <v>282</v>
      </c>
      <c r="L184" s="48">
        <v>139.16</v>
      </c>
      <c r="M184" s="49">
        <v>20240829179</v>
      </c>
      <c r="N184" s="50" t="s">
        <v>28</v>
      </c>
      <c r="O184" s="50"/>
      <c r="P184" s="50"/>
      <c r="Q184" s="51"/>
      <c r="R184" s="50"/>
      <c r="S184" s="50"/>
      <c r="T184" s="51"/>
      <c r="U184" s="50"/>
    </row>
    <row r="185" spans="1:21" x14ac:dyDescent="0.25">
      <c r="A185" s="45" t="s">
        <v>314</v>
      </c>
      <c r="B185" s="46">
        <v>45598</v>
      </c>
      <c r="C185" s="45" t="s">
        <v>168</v>
      </c>
      <c r="D185" s="47"/>
      <c r="E185" s="45" t="s">
        <v>556</v>
      </c>
      <c r="F185" s="45" t="s">
        <v>557</v>
      </c>
      <c r="G185" s="45" t="s">
        <v>798</v>
      </c>
      <c r="H185" s="45" t="s">
        <v>1228</v>
      </c>
      <c r="I185" s="45" t="s">
        <v>1410</v>
      </c>
      <c r="J185" s="45">
        <v>130749039</v>
      </c>
      <c r="K185" s="45" t="s">
        <v>1347</v>
      </c>
      <c r="L185" s="48">
        <v>142</v>
      </c>
      <c r="M185" s="49">
        <v>20241025638</v>
      </c>
      <c r="N185" s="50" t="s">
        <v>28</v>
      </c>
      <c r="O185" s="50"/>
      <c r="P185" s="50"/>
      <c r="Q185" s="51"/>
      <c r="R185" s="50"/>
      <c r="S185" s="50"/>
      <c r="T185" s="51"/>
      <c r="U185" s="50"/>
    </row>
    <row r="186" spans="1:21" x14ac:dyDescent="0.25">
      <c r="A186" s="45" t="s">
        <v>20</v>
      </c>
      <c r="B186" s="46">
        <v>45598</v>
      </c>
      <c r="C186" s="45" t="s">
        <v>168</v>
      </c>
      <c r="D186" s="47"/>
      <c r="E186" s="45" t="s">
        <v>556</v>
      </c>
      <c r="F186" s="45" t="s">
        <v>557</v>
      </c>
      <c r="G186" s="45" t="s">
        <v>178</v>
      </c>
      <c r="H186" s="45" t="s">
        <v>861</v>
      </c>
      <c r="I186" s="45" t="s">
        <v>1411</v>
      </c>
      <c r="J186" s="45">
        <v>230212940</v>
      </c>
      <c r="K186" s="45" t="s">
        <v>898</v>
      </c>
      <c r="L186" s="48">
        <v>144.33000000000001</v>
      </c>
      <c r="M186" s="49">
        <v>20241025624</v>
      </c>
      <c r="N186" s="50" t="s">
        <v>28</v>
      </c>
      <c r="O186" s="50"/>
      <c r="P186" s="50"/>
      <c r="Q186" s="51"/>
      <c r="R186" s="50"/>
      <c r="S186" s="50"/>
      <c r="T186" s="51"/>
      <c r="U186" s="50"/>
    </row>
    <row r="187" spans="1:21" x14ac:dyDescent="0.25">
      <c r="A187" s="45" t="s">
        <v>20</v>
      </c>
      <c r="B187" s="46">
        <v>45598</v>
      </c>
      <c r="C187" s="45" t="s">
        <v>168</v>
      </c>
      <c r="D187" s="47"/>
      <c r="E187" s="45" t="s">
        <v>556</v>
      </c>
      <c r="F187" s="45" t="s">
        <v>557</v>
      </c>
      <c r="G187" s="45" t="s">
        <v>1412</v>
      </c>
      <c r="H187" s="45" t="s">
        <v>875</v>
      </c>
      <c r="I187" s="45" t="s">
        <v>1413</v>
      </c>
      <c r="J187" s="45">
        <v>318982982</v>
      </c>
      <c r="K187" s="45" t="s">
        <v>237</v>
      </c>
      <c r="L187" s="48">
        <v>186.6</v>
      </c>
      <c r="M187" s="49">
        <v>20241025663</v>
      </c>
      <c r="N187" s="50"/>
      <c r="O187" s="50" t="s">
        <v>124</v>
      </c>
      <c r="P187" s="50"/>
      <c r="Q187" s="51" t="s">
        <v>1414</v>
      </c>
      <c r="R187" s="50"/>
      <c r="S187" s="50"/>
      <c r="T187" s="51"/>
      <c r="U187" s="50"/>
    </row>
    <row r="188" spans="1:21" ht="75" x14ac:dyDescent="0.25">
      <c r="A188" s="45" t="s">
        <v>20</v>
      </c>
      <c r="B188" s="46">
        <v>45598</v>
      </c>
      <c r="C188" s="45" t="s">
        <v>168</v>
      </c>
      <c r="D188" s="47"/>
      <c r="E188" s="45" t="s">
        <v>556</v>
      </c>
      <c r="F188" s="45" t="s">
        <v>557</v>
      </c>
      <c r="G188" s="45" t="s">
        <v>1011</v>
      </c>
      <c r="H188" s="45" t="s">
        <v>1415</v>
      </c>
      <c r="I188" s="45" t="s">
        <v>1416</v>
      </c>
      <c r="J188" s="45">
        <v>355707135</v>
      </c>
      <c r="K188" s="45" t="s">
        <v>416</v>
      </c>
      <c r="L188" s="48">
        <v>15.67</v>
      </c>
      <c r="M188" s="49">
        <v>20241025642</v>
      </c>
      <c r="N188" s="50"/>
      <c r="O188" s="50"/>
      <c r="P188" s="50" t="s">
        <v>304</v>
      </c>
      <c r="Q188" s="51" t="s">
        <v>1417</v>
      </c>
      <c r="R188" s="50"/>
      <c r="S188" s="50"/>
      <c r="T188" s="51"/>
      <c r="U188" s="50"/>
    </row>
    <row r="189" spans="1:21" ht="45" x14ac:dyDescent="0.25">
      <c r="A189" s="45" t="s">
        <v>20</v>
      </c>
      <c r="B189" s="46">
        <v>45598</v>
      </c>
      <c r="C189" s="45" t="s">
        <v>168</v>
      </c>
      <c r="D189" s="47"/>
      <c r="E189" s="45" t="s">
        <v>556</v>
      </c>
      <c r="F189" s="45" t="s">
        <v>557</v>
      </c>
      <c r="G189" s="45" t="s">
        <v>1011</v>
      </c>
      <c r="H189" s="45" t="s">
        <v>1415</v>
      </c>
      <c r="I189" s="45" t="s">
        <v>1416</v>
      </c>
      <c r="J189" s="45">
        <v>355707135</v>
      </c>
      <c r="K189" s="45" t="s">
        <v>781</v>
      </c>
      <c r="L189" s="48">
        <v>24.48</v>
      </c>
      <c r="M189" s="49">
        <v>20241025646</v>
      </c>
      <c r="N189" s="50" t="s">
        <v>28</v>
      </c>
      <c r="O189" s="50"/>
      <c r="P189" s="50"/>
      <c r="Q189" s="51" t="s">
        <v>1418</v>
      </c>
      <c r="R189" s="50"/>
      <c r="S189" s="50"/>
      <c r="T189" s="51"/>
      <c r="U189" s="50"/>
    </row>
    <row r="190" spans="1:21" x14ac:dyDescent="0.25">
      <c r="A190" s="45" t="s">
        <v>20</v>
      </c>
      <c r="B190" s="46">
        <v>45598</v>
      </c>
      <c r="C190" s="45" t="s">
        <v>168</v>
      </c>
      <c r="D190" s="47"/>
      <c r="E190" s="45" t="s">
        <v>556</v>
      </c>
      <c r="F190" s="45" t="s">
        <v>557</v>
      </c>
      <c r="G190" s="45" t="s">
        <v>1419</v>
      </c>
      <c r="H190" s="45" t="s">
        <v>1420</v>
      </c>
      <c r="I190" s="45" t="s">
        <v>1421</v>
      </c>
      <c r="J190" s="45">
        <v>369644870</v>
      </c>
      <c r="K190" s="45" t="s">
        <v>1227</v>
      </c>
      <c r="L190" s="48">
        <v>55</v>
      </c>
      <c r="M190" s="49">
        <v>20241025640</v>
      </c>
      <c r="N190" s="50" t="s">
        <v>28</v>
      </c>
      <c r="O190" s="50"/>
      <c r="P190" s="50"/>
      <c r="Q190" s="51"/>
      <c r="R190" s="50"/>
      <c r="S190" s="50"/>
      <c r="T190" s="51"/>
      <c r="U190" s="50"/>
    </row>
  </sheetData>
  <sortState xmlns:xlrd2="http://schemas.microsoft.com/office/spreadsheetml/2017/richdata2" ref="A2:U190">
    <sortCondition ref="J2:J190"/>
  </sortState>
  <conditionalFormatting sqref="N1:N1048576">
    <cfRule type="cellIs" priority="13" stopIfTrue="1" operator="equal">
      <formula>""</formula>
    </cfRule>
    <cfRule type="cellIs" priority="14" stopIfTrue="1" operator="equal">
      <formula>"Correct = C"</formula>
    </cfRule>
    <cfRule type="cellIs" dxfId="181" priority="15" operator="notEqual">
      <formula>"C"</formula>
    </cfRule>
  </conditionalFormatting>
  <conditionalFormatting sqref="O1:O1048576">
    <cfRule type="cellIs" priority="10" stopIfTrue="1" operator="equal">
      <formula>""</formula>
    </cfRule>
    <cfRule type="cellIs" priority="11" stopIfTrue="1" operator="equal">
      <formula>"Major = M"</formula>
    </cfRule>
    <cfRule type="cellIs" dxfId="180" priority="12" operator="notEqual">
      <formula>"M"</formula>
    </cfRule>
  </conditionalFormatting>
  <conditionalFormatting sqref="P1:P1048576">
    <cfRule type="cellIs" priority="7" stopIfTrue="1" operator="equal">
      <formula>""</formula>
    </cfRule>
    <cfRule type="cellIs" priority="8" stopIfTrue="1" operator="equal">
      <formula>"Minor = E"</formula>
    </cfRule>
    <cfRule type="cellIs" dxfId="179" priority="9" operator="notEqual">
      <formula>"E"</formula>
    </cfRule>
  </conditionalFormatting>
  <conditionalFormatting sqref="R1:R1048576">
    <cfRule type="cellIs" priority="4" stopIfTrue="1" operator="equal">
      <formula>""</formula>
    </cfRule>
    <cfRule type="cellIs" priority="5" stopIfTrue="1" operator="equal">
      <formula>"Inserted Major = M"</formula>
    </cfRule>
    <cfRule type="cellIs" dxfId="178" priority="6" operator="notEqual">
      <formula>"M"</formula>
    </cfRule>
  </conditionalFormatting>
  <conditionalFormatting sqref="S1:S1048576">
    <cfRule type="cellIs" priority="1" stopIfTrue="1" operator="equal">
      <formula>""</formula>
    </cfRule>
    <cfRule type="cellIs" priority="2" stopIfTrue="1" operator="equal">
      <formula>"Inserted Minor = E"</formula>
    </cfRule>
    <cfRule type="cellIs" dxfId="177" priority="3" operator="notEqual">
      <formula>"E"</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78E99B-8480-43C5-9F05-823752E5CDA3}">
  <sheetPr codeName="Sheet14"/>
  <dimension ref="B2:AA48"/>
  <sheetViews>
    <sheetView workbookViewId="0"/>
  </sheetViews>
  <sheetFormatPr defaultRowHeight="15" x14ac:dyDescent="0.25"/>
  <cols>
    <col min="1" max="1" width="2.7109375" customWidth="1"/>
    <col min="2" max="2" width="28.140625" style="1" bestFit="1" customWidth="1"/>
    <col min="3" max="3" width="19.140625" style="1" hidden="1" customWidth="1"/>
    <col min="4" max="4" width="21.7109375" style="1" hidden="1" customWidth="1"/>
    <col min="5" max="5" width="11" style="1" hidden="1" customWidth="1"/>
    <col min="6" max="6" width="9.5703125" style="1" hidden="1" customWidth="1"/>
    <col min="7" max="7" width="16.140625" style="1" hidden="1" customWidth="1"/>
    <col min="8" max="8" width="17.140625" style="1" customWidth="1"/>
    <col min="9" max="9" width="33.85546875" style="1" hidden="1" customWidth="1"/>
    <col min="10" max="10" width="16.140625" style="1" customWidth="1"/>
    <col min="11" max="11" width="20.85546875" style="1" hidden="1" customWidth="1"/>
    <col min="12" max="12" width="19.85546875" style="1" hidden="1" customWidth="1"/>
    <col min="13" max="13" width="9.140625" style="1"/>
    <col min="14" max="16" width="0" style="1" hidden="1" customWidth="1"/>
    <col min="17" max="17" width="9.140625" style="1"/>
    <col min="18" max="19" width="9.140625" style="27"/>
    <col min="20" max="20" width="9.140625" style="1"/>
    <col min="21" max="22" width="9.140625" style="2"/>
    <col min="23" max="23" width="9.140625" style="1"/>
    <col min="24" max="24" width="18.85546875" style="1" bestFit="1" customWidth="1"/>
    <col min="25" max="27" width="9.140625" style="1"/>
  </cols>
  <sheetData>
    <row r="2" spans="2:24" s="1" customFormat="1" ht="52.5" x14ac:dyDescent="0.25">
      <c r="B2" s="22" t="s">
        <v>437</v>
      </c>
      <c r="C2" s="22" t="s">
        <v>438</v>
      </c>
      <c r="D2" s="22" t="s">
        <v>439</v>
      </c>
      <c r="E2" s="23" t="s">
        <v>440</v>
      </c>
      <c r="F2" s="23" t="s">
        <v>441</v>
      </c>
      <c r="G2" s="23" t="s">
        <v>442</v>
      </c>
      <c r="H2" s="23" t="s">
        <v>443</v>
      </c>
      <c r="I2" s="23" t="s">
        <v>444</v>
      </c>
      <c r="J2" s="23" t="s">
        <v>445</v>
      </c>
      <c r="K2" s="23" t="s">
        <v>446</v>
      </c>
      <c r="L2" s="23" t="s">
        <v>447</v>
      </c>
      <c r="M2" s="24" t="s">
        <v>448</v>
      </c>
      <c r="N2" s="24"/>
      <c r="O2" s="24"/>
      <c r="P2" s="24" t="s">
        <v>449</v>
      </c>
      <c r="Q2" s="24" t="s">
        <v>450</v>
      </c>
      <c r="R2" s="25" t="s">
        <v>451</v>
      </c>
      <c r="S2" s="25" t="s">
        <v>452</v>
      </c>
      <c r="T2" s="24" t="s">
        <v>453</v>
      </c>
      <c r="U2" s="26" t="s">
        <v>454</v>
      </c>
      <c r="V2" s="2"/>
    </row>
    <row r="3" spans="2:24" s="1" customFormat="1" ht="15" customHeight="1" x14ac:dyDescent="0.25">
      <c r="B3" s="1" t="s">
        <v>455</v>
      </c>
      <c r="C3" s="1" t="s">
        <v>456</v>
      </c>
      <c r="D3" s="1" t="s">
        <v>297</v>
      </c>
      <c r="E3" t="s">
        <v>457</v>
      </c>
      <c r="F3" t="s">
        <v>458</v>
      </c>
      <c r="G3" t="s">
        <v>459</v>
      </c>
      <c r="H3" t="s">
        <v>460</v>
      </c>
      <c r="I3" t="s">
        <v>461</v>
      </c>
      <c r="J3" t="s">
        <v>462</v>
      </c>
      <c r="K3"/>
      <c r="L3" t="s">
        <v>463</v>
      </c>
      <c r="M3">
        <v>0</v>
      </c>
      <c r="N3" t="s">
        <v>464</v>
      </c>
      <c r="O3"/>
      <c r="P3"/>
      <c r="Q3" s="7">
        <v>32</v>
      </c>
      <c r="R3" s="27">
        <f t="shared" ref="R3:R47" si="0">IF(Q3-SUM(S3:T3)=0,"",Q3-SUM(S3:T3))</f>
        <v>32</v>
      </c>
      <c r="S3" s="27" t="str">
        <f>IF(SUM(COUNTIFS('10_21_10_27'!E:E,'10_21_10_27 Acc Rate'!C3,'10_21_10_27'!O:O,"*M*"),COUNTIFS('10_21_10_27'!E:E,'10_21_10_27 Acc Rate'!C3,'10_21_10_27'!R:R,"*M*"))=0,"",SUM(COUNTIFS('10_21_10_27'!E:E,'10_21_10_27 Acc Rate'!C3,'10_21_10_27'!O:O,"*M*"),COUNTIFS('10_21_10_27'!E:E,'10_21_10_27 Acc Rate'!C3,'10_21_10_27'!R:R,"*M*")))</f>
        <v/>
      </c>
      <c r="T3" s="1" t="str">
        <f>IF(SUM(COUNTIFS('10_21_10_27'!E:E,'10_21_10_27 Acc Rate'!C3,'10_21_10_27'!P:P,"*E*"),COUNTIFS('10_21_10_27'!E:E,'10_21_10_27 Acc Rate'!C3,'10_21_10_27'!S:S,"*E*"))=0,"",SUM(COUNTIFS('10_21_10_27'!E:E,'10_21_10_27 Acc Rate'!C3,'10_21_10_27'!P:P,"*E*"),COUNTIFS('10_21_10_27'!E:E,'10_21_10_27 Acc Rate'!C3,'10_21_10_27'!S:S,"*E*")))</f>
        <v/>
      </c>
      <c r="U3" s="8">
        <f>IF(ISERROR(SUM(_xlfn.NUMBERVALUE(S3)*8+_xlfn.NUMBERVALUE(T3)*2)/Q3),"",SUM(_xlfn.NUMBERVALUE(S3)*8+_xlfn.NUMBERVALUE(T3)*2)/Q3)</f>
        <v>0</v>
      </c>
      <c r="V3" s="2"/>
      <c r="W3" s="83" t="s">
        <v>465</v>
      </c>
      <c r="X3" s="83"/>
    </row>
    <row r="4" spans="2:24" s="1" customFormat="1" ht="15" customHeight="1" x14ac:dyDescent="0.25">
      <c r="B4" s="1" t="s">
        <v>466</v>
      </c>
      <c r="C4" s="1" t="s">
        <v>353</v>
      </c>
      <c r="D4" s="1" t="s">
        <v>354</v>
      </c>
      <c r="E4" t="s">
        <v>467</v>
      </c>
      <c r="F4" t="s">
        <v>294</v>
      </c>
      <c r="G4" t="s">
        <v>468</v>
      </c>
      <c r="H4" t="s">
        <v>460</v>
      </c>
      <c r="I4" t="s">
        <v>469</v>
      </c>
      <c r="J4" t="s">
        <v>470</v>
      </c>
      <c r="K4"/>
      <c r="L4" t="s">
        <v>471</v>
      </c>
      <c r="M4">
        <v>15</v>
      </c>
      <c r="N4" t="s">
        <v>472</v>
      </c>
      <c r="O4">
        <v>127</v>
      </c>
      <c r="P4">
        <v>40</v>
      </c>
      <c r="Q4" s="7">
        <v>145</v>
      </c>
      <c r="R4" s="27">
        <f t="shared" si="0"/>
        <v>145</v>
      </c>
      <c r="S4" s="27" t="str">
        <f>IF(SUM(COUNTIFS('10_21_10_27'!E:E,'10_21_10_27 Acc Rate'!C4,'10_21_10_27'!O:O,"*M*"),COUNTIFS('10_21_10_27'!E:E,'10_21_10_27 Acc Rate'!C4,'10_21_10_27'!R:R,"*M*"))=0,"",SUM(COUNTIFS('10_21_10_27'!E:E,'10_21_10_27 Acc Rate'!C4,'10_21_10_27'!O:O,"*M*"),COUNTIFS('10_21_10_27'!E:E,'10_21_10_27 Acc Rate'!C4,'10_21_10_27'!R:R,"*M*")))</f>
        <v/>
      </c>
      <c r="T4" s="1" t="str">
        <f>IF(SUM(COUNTIFS('10_21_10_27'!E:E,'10_21_10_27 Acc Rate'!C4,'10_21_10_27'!P:P,"*E*"),COUNTIFS('10_21_10_27'!E:E,'10_21_10_27 Acc Rate'!C4,'10_21_10_27'!S:S,"*E*"))=0,"",SUM(COUNTIFS('10_21_10_27'!E:E,'10_21_10_27 Acc Rate'!C4,'10_21_10_27'!P:P,"*E*"),COUNTIFS('10_21_10_27'!E:E,'10_21_10_27 Acc Rate'!C4,'10_21_10_27'!S:S,"*E*")))</f>
        <v/>
      </c>
      <c r="U4" s="8">
        <f t="shared" ref="U4:U46" si="1">IF(ISERROR(SUM(_xlfn.NUMBERVALUE(S4)*8+_xlfn.NUMBERVALUE(T4)*2)/Q4),"",SUM(_xlfn.NUMBERVALUE(S4)*8+_xlfn.NUMBERVALUE(T4)*2)/Q4)</f>
        <v>0</v>
      </c>
      <c r="V4" s="2"/>
      <c r="W4" s="40" t="s">
        <v>473</v>
      </c>
      <c r="X4" s="41" t="s">
        <v>474</v>
      </c>
    </row>
    <row r="5" spans="2:24" s="1" customFormat="1" ht="15" customHeight="1" x14ac:dyDescent="0.25">
      <c r="B5" s="1" t="s">
        <v>475</v>
      </c>
      <c r="C5" s="1" t="s">
        <v>362</v>
      </c>
      <c r="D5" s="1" t="s">
        <v>394</v>
      </c>
      <c r="E5" t="s">
        <v>476</v>
      </c>
      <c r="F5" t="s">
        <v>175</v>
      </c>
      <c r="G5" t="s">
        <v>477</v>
      </c>
      <c r="H5" t="s">
        <v>460</v>
      </c>
      <c r="I5" t="s">
        <v>478</v>
      </c>
      <c r="J5" t="s">
        <v>479</v>
      </c>
      <c r="K5" t="s">
        <v>469</v>
      </c>
      <c r="L5" t="s">
        <v>480</v>
      </c>
      <c r="M5">
        <v>15</v>
      </c>
      <c r="N5" t="s">
        <v>481</v>
      </c>
      <c r="O5">
        <v>67</v>
      </c>
      <c r="P5">
        <v>20</v>
      </c>
      <c r="Q5" s="7">
        <v>270</v>
      </c>
      <c r="R5" s="27">
        <f t="shared" si="0"/>
        <v>269</v>
      </c>
      <c r="S5" s="27" t="str">
        <f>IF(SUM(COUNTIFS('10_21_10_27'!E:E,'10_21_10_27 Acc Rate'!C5,'10_21_10_27'!O:O,"*M*"),COUNTIFS('10_21_10_27'!E:E,'10_21_10_27 Acc Rate'!C5,'10_21_10_27'!R:R,"*M*"))=0,"",SUM(COUNTIFS('10_21_10_27'!E:E,'10_21_10_27 Acc Rate'!C5,'10_21_10_27'!O:O,"*M*"),COUNTIFS('10_21_10_27'!E:E,'10_21_10_27 Acc Rate'!C5,'10_21_10_27'!R:R,"*M*")))</f>
        <v/>
      </c>
      <c r="T5" s="1">
        <f>IF(SUM(COUNTIFS('10_21_10_27'!E:E,'10_21_10_27 Acc Rate'!C5,'10_21_10_27'!P:P,"*E*"),COUNTIFS('10_21_10_27'!E:E,'10_21_10_27 Acc Rate'!C5,'10_21_10_27'!S:S,"*E*"))=0,"",SUM(COUNTIFS('10_21_10_27'!E:E,'10_21_10_27 Acc Rate'!C5,'10_21_10_27'!P:P,"*E*"),COUNTIFS('10_21_10_27'!E:E,'10_21_10_27 Acc Rate'!C5,'10_21_10_27'!S:S,"*E*")))</f>
        <v>1</v>
      </c>
      <c r="U5" s="8">
        <f t="shared" si="1"/>
        <v>7.4074074074074077E-3</v>
      </c>
      <c r="V5" s="2"/>
      <c r="W5" s="40" t="s">
        <v>482</v>
      </c>
      <c r="X5" s="41" t="s">
        <v>483</v>
      </c>
    </row>
    <row r="6" spans="2:24" s="1" customFormat="1" ht="15" customHeight="1" x14ac:dyDescent="0.25">
      <c r="B6" s="1" t="s">
        <v>484</v>
      </c>
      <c r="C6" s="1" t="s">
        <v>22</v>
      </c>
      <c r="D6" s="1" t="s">
        <v>23</v>
      </c>
      <c r="E6" t="s">
        <v>485</v>
      </c>
      <c r="F6" t="s">
        <v>486</v>
      </c>
      <c r="G6" t="s">
        <v>487</v>
      </c>
      <c r="H6" t="s">
        <v>460</v>
      </c>
      <c r="I6" t="s">
        <v>488</v>
      </c>
      <c r="J6" t="s">
        <v>479</v>
      </c>
      <c r="K6" t="s">
        <v>469</v>
      </c>
      <c r="L6"/>
      <c r="M6">
        <v>15</v>
      </c>
      <c r="N6" t="s">
        <v>489</v>
      </c>
      <c r="O6">
        <v>2117</v>
      </c>
      <c r="P6">
        <v>40</v>
      </c>
      <c r="Q6" s="7">
        <v>821</v>
      </c>
      <c r="R6" s="27">
        <f t="shared" si="0"/>
        <v>821</v>
      </c>
      <c r="S6" s="27" t="str">
        <f>IF(SUM(COUNTIFS('10_21_10_27'!E:E,'10_21_10_27 Acc Rate'!C6,'10_21_10_27'!O:O,"*M*"),COUNTIFS('10_21_10_27'!E:E,'10_21_10_27 Acc Rate'!C6,'10_21_10_27'!R:R,"*M*"))=0,"",SUM(COUNTIFS('10_21_10_27'!E:E,'10_21_10_27 Acc Rate'!C6,'10_21_10_27'!O:O,"*M*"),COUNTIFS('10_21_10_27'!E:E,'10_21_10_27 Acc Rate'!C6,'10_21_10_27'!R:R,"*M*")))</f>
        <v/>
      </c>
      <c r="T6" s="1" t="str">
        <f>IF(SUM(COUNTIFS('10_21_10_27'!E:E,'10_21_10_27 Acc Rate'!C6,'10_21_10_27'!P:P,"*E*"),COUNTIFS('10_21_10_27'!E:E,'10_21_10_27 Acc Rate'!C6,'10_21_10_27'!S:S,"*E*"))=0,"",SUM(COUNTIFS('10_21_10_27'!E:E,'10_21_10_27 Acc Rate'!C6,'10_21_10_27'!P:P,"*E*"),COUNTIFS('10_21_10_27'!E:E,'10_21_10_27 Acc Rate'!C6,'10_21_10_27'!S:S,"*E*")))</f>
        <v/>
      </c>
      <c r="U6" s="8">
        <f t="shared" si="1"/>
        <v>0</v>
      </c>
      <c r="V6" s="2"/>
      <c r="W6" s="40" t="s">
        <v>490</v>
      </c>
      <c r="X6" s="41" t="s">
        <v>491</v>
      </c>
    </row>
    <row r="7" spans="2:24" s="1" customFormat="1" ht="15" customHeight="1" x14ac:dyDescent="0.25">
      <c r="B7" s="1" t="s">
        <v>492</v>
      </c>
      <c r="C7" s="1" t="s">
        <v>107</v>
      </c>
      <c r="D7" s="1" t="s">
        <v>108</v>
      </c>
      <c r="E7" t="s">
        <v>493</v>
      </c>
      <c r="F7" t="s">
        <v>494</v>
      </c>
      <c r="G7" t="s">
        <v>495</v>
      </c>
      <c r="H7" t="s">
        <v>460</v>
      </c>
      <c r="I7" t="s">
        <v>496</v>
      </c>
      <c r="J7" t="s">
        <v>479</v>
      </c>
      <c r="K7" t="s">
        <v>469</v>
      </c>
      <c r="L7"/>
      <c r="M7">
        <v>15</v>
      </c>
      <c r="N7" t="s">
        <v>497</v>
      </c>
      <c r="O7" t="s">
        <v>498</v>
      </c>
      <c r="P7">
        <v>40</v>
      </c>
      <c r="Q7" s="7">
        <v>979</v>
      </c>
      <c r="R7" s="27">
        <f t="shared" si="0"/>
        <v>978</v>
      </c>
      <c r="S7" s="27" t="str">
        <f>IF(SUM(COUNTIFS('10_21_10_27'!E:E,'10_21_10_27 Acc Rate'!C7,'10_21_10_27'!O:O,"*M*"),COUNTIFS('10_21_10_27'!E:E,'10_21_10_27 Acc Rate'!C7,'10_21_10_27'!R:R,"*M*"))=0,"",SUM(COUNTIFS('10_21_10_27'!E:E,'10_21_10_27 Acc Rate'!C7,'10_21_10_27'!O:O,"*M*"),COUNTIFS('10_21_10_27'!E:E,'10_21_10_27 Acc Rate'!C7,'10_21_10_27'!R:R,"*M*")))</f>
        <v/>
      </c>
      <c r="T7" s="1">
        <f>IF(SUM(COUNTIFS('10_21_10_27'!E:E,'10_21_10_27 Acc Rate'!C7,'10_21_10_27'!P:P,"*E*"),COUNTIFS('10_21_10_27'!E:E,'10_21_10_27 Acc Rate'!C7,'10_21_10_27'!S:S,"*E*"))=0,"",SUM(COUNTIFS('10_21_10_27'!E:E,'10_21_10_27 Acc Rate'!C7,'10_21_10_27'!P:P,"*E*"),COUNTIFS('10_21_10_27'!E:E,'10_21_10_27 Acc Rate'!C7,'10_21_10_27'!S:S,"*E*")))</f>
        <v>1</v>
      </c>
      <c r="U7" s="8">
        <f t="shared" si="1"/>
        <v>2.0429009193054137E-3</v>
      </c>
      <c r="V7" s="2"/>
      <c r="W7" s="84" t="s">
        <v>499</v>
      </c>
      <c r="X7" s="84"/>
    </row>
    <row r="8" spans="2:24" s="1" customFormat="1" ht="15" customHeight="1" x14ac:dyDescent="0.25">
      <c r="B8" s="1" t="s">
        <v>500</v>
      </c>
      <c r="C8" s="1" t="s">
        <v>176</v>
      </c>
      <c r="D8" s="1" t="s">
        <v>177</v>
      </c>
      <c r="E8" t="s">
        <v>501</v>
      </c>
      <c r="F8" t="s">
        <v>168</v>
      </c>
      <c r="G8" t="s">
        <v>502</v>
      </c>
      <c r="H8" t="s">
        <v>460</v>
      </c>
      <c r="I8" t="s">
        <v>503</v>
      </c>
      <c r="J8" t="s">
        <v>479</v>
      </c>
      <c r="K8" t="s">
        <v>469</v>
      </c>
      <c r="L8"/>
      <c r="M8">
        <v>15</v>
      </c>
      <c r="N8" t="s">
        <v>504</v>
      </c>
      <c r="O8">
        <v>182</v>
      </c>
      <c r="P8">
        <v>40</v>
      </c>
      <c r="Q8" s="7">
        <v>795</v>
      </c>
      <c r="R8" s="27">
        <f t="shared" si="0"/>
        <v>795</v>
      </c>
      <c r="S8" s="27" t="str">
        <f>IF(SUM(COUNTIFS('10_21_10_27'!E:E,'10_21_10_27 Acc Rate'!C8,'10_21_10_27'!O:O,"*M*"),COUNTIFS('10_21_10_27'!E:E,'10_21_10_27 Acc Rate'!C8,'10_21_10_27'!R:R,"*M*"))=0,"",SUM(COUNTIFS('10_21_10_27'!E:E,'10_21_10_27 Acc Rate'!C8,'10_21_10_27'!O:O,"*M*"),COUNTIFS('10_21_10_27'!E:E,'10_21_10_27 Acc Rate'!C8,'10_21_10_27'!R:R,"*M*")))</f>
        <v/>
      </c>
      <c r="T8" s="1" t="str">
        <f>IF(SUM(COUNTIFS('10_21_10_27'!E:E,'10_21_10_27 Acc Rate'!C8,'10_21_10_27'!P:P,"*E*"),COUNTIFS('10_21_10_27'!E:E,'10_21_10_27 Acc Rate'!C8,'10_21_10_27'!S:S,"*E*"))=0,"",SUM(COUNTIFS('10_21_10_27'!E:E,'10_21_10_27 Acc Rate'!C8,'10_21_10_27'!P:P,"*E*"),COUNTIFS('10_21_10_27'!E:E,'10_21_10_27 Acc Rate'!C8,'10_21_10_27'!S:S,"*E*")))</f>
        <v/>
      </c>
      <c r="U8" s="8">
        <f t="shared" si="1"/>
        <v>0</v>
      </c>
      <c r="V8" s="2"/>
      <c r="W8" s="85" t="s">
        <v>505</v>
      </c>
      <c r="X8" s="85"/>
    </row>
    <row r="9" spans="2:24" s="1" customFormat="1" ht="15" customHeight="1" x14ac:dyDescent="0.25">
      <c r="B9" s="1" t="s">
        <v>506</v>
      </c>
      <c r="C9" s="1" t="s">
        <v>208</v>
      </c>
      <c r="D9" s="1" t="s">
        <v>209</v>
      </c>
      <c r="E9" t="s">
        <v>507</v>
      </c>
      <c r="F9" t="s">
        <v>352</v>
      </c>
      <c r="G9" t="s">
        <v>508</v>
      </c>
      <c r="H9" t="s">
        <v>460</v>
      </c>
      <c r="I9" t="s">
        <v>509</v>
      </c>
      <c r="J9" t="s">
        <v>479</v>
      </c>
      <c r="K9" t="s">
        <v>469</v>
      </c>
      <c r="L9" t="s">
        <v>510</v>
      </c>
      <c r="M9">
        <v>15</v>
      </c>
      <c r="N9" t="s">
        <v>511</v>
      </c>
      <c r="O9">
        <v>32</v>
      </c>
      <c r="P9">
        <v>40</v>
      </c>
      <c r="Q9" s="7">
        <v>378</v>
      </c>
      <c r="R9" s="27">
        <f t="shared" si="0"/>
        <v>378</v>
      </c>
      <c r="S9" s="27" t="str">
        <f>IF(SUM(COUNTIFS('10_21_10_27'!E:E,'10_21_10_27 Acc Rate'!C9,'10_21_10_27'!O:O,"*M*"),COUNTIFS('10_21_10_27'!E:E,'10_21_10_27 Acc Rate'!C9,'10_21_10_27'!R:R,"*M*"))=0,"",SUM(COUNTIFS('10_21_10_27'!E:E,'10_21_10_27 Acc Rate'!C9,'10_21_10_27'!O:O,"*M*"),COUNTIFS('10_21_10_27'!E:E,'10_21_10_27 Acc Rate'!C9,'10_21_10_27'!R:R,"*M*")))</f>
        <v/>
      </c>
      <c r="T9" s="1" t="str">
        <f>IF(SUM(COUNTIFS('10_21_10_27'!E:E,'10_21_10_27 Acc Rate'!C9,'10_21_10_27'!P:P,"*E*"),COUNTIFS('10_21_10_27'!E:E,'10_21_10_27 Acc Rate'!C9,'10_21_10_27'!S:S,"*E*"))=0,"",SUM(COUNTIFS('10_21_10_27'!E:E,'10_21_10_27 Acc Rate'!C9,'10_21_10_27'!P:P,"*E*"),COUNTIFS('10_21_10_27'!E:E,'10_21_10_27 Acc Rate'!C9,'10_21_10_27'!S:S,"*E*")))</f>
        <v/>
      </c>
      <c r="U9" s="8">
        <f t="shared" si="1"/>
        <v>0</v>
      </c>
      <c r="V9" s="2"/>
    </row>
    <row r="10" spans="2:24" s="1" customFormat="1" ht="15" customHeight="1" x14ac:dyDescent="0.25">
      <c r="B10" s="1" t="s">
        <v>512</v>
      </c>
      <c r="C10" s="1" t="s">
        <v>371</v>
      </c>
      <c r="D10" s="1" t="s">
        <v>372</v>
      </c>
      <c r="E10" t="s">
        <v>513</v>
      </c>
      <c r="F10" t="s">
        <v>34</v>
      </c>
      <c r="G10" t="s">
        <v>514</v>
      </c>
      <c r="H10" t="s">
        <v>460</v>
      </c>
      <c r="I10" t="s">
        <v>515</v>
      </c>
      <c r="J10" t="s">
        <v>470</v>
      </c>
      <c r="K10"/>
      <c r="L10" t="s">
        <v>516</v>
      </c>
      <c r="M10">
        <v>15</v>
      </c>
      <c r="N10" t="s">
        <v>517</v>
      </c>
      <c r="O10">
        <v>132</v>
      </c>
      <c r="P10">
        <v>40</v>
      </c>
      <c r="Q10" s="7">
        <v>485</v>
      </c>
      <c r="R10" s="27">
        <f t="shared" si="0"/>
        <v>485</v>
      </c>
      <c r="S10" s="27" t="str">
        <f>IF(SUM(COUNTIFS('10_21_10_27'!E:E,'10_21_10_27 Acc Rate'!C10,'10_21_10_27'!O:O,"*M*"),COUNTIFS('10_21_10_27'!E:E,'10_21_10_27 Acc Rate'!C10,'10_21_10_27'!R:R,"*M*"))=0,"",SUM(COUNTIFS('10_21_10_27'!E:E,'10_21_10_27 Acc Rate'!C10,'10_21_10_27'!O:O,"*M*"),COUNTIFS('10_21_10_27'!E:E,'10_21_10_27 Acc Rate'!C10,'10_21_10_27'!R:R,"*M*")))</f>
        <v/>
      </c>
      <c r="T10" s="1" t="str">
        <f>IF(SUM(COUNTIFS('10_21_10_27'!E:E,'10_21_10_27 Acc Rate'!C10,'10_21_10_27'!P:P,"*E*"),COUNTIFS('10_21_10_27'!E:E,'10_21_10_27 Acc Rate'!C10,'10_21_10_27'!S:S,"*E*"))=0,"",SUM(COUNTIFS('10_21_10_27'!E:E,'10_21_10_27 Acc Rate'!C10,'10_21_10_27'!P:P,"*E*"),COUNTIFS('10_21_10_27'!E:E,'10_21_10_27 Acc Rate'!C10,'10_21_10_27'!S:S,"*E*")))</f>
        <v/>
      </c>
      <c r="U10" s="8">
        <f t="shared" si="1"/>
        <v>0</v>
      </c>
      <c r="V10" s="2"/>
    </row>
    <row r="11" spans="2:24" s="1" customFormat="1" ht="15" customHeight="1" x14ac:dyDescent="0.25">
      <c r="B11" s="1" t="s">
        <v>518</v>
      </c>
      <c r="C11" s="1" t="s">
        <v>296</v>
      </c>
      <c r="D11" s="1" t="s">
        <v>297</v>
      </c>
      <c r="E11" t="s">
        <v>519</v>
      </c>
      <c r="F11" t="s">
        <v>520</v>
      </c>
      <c r="G11" t="s">
        <v>521</v>
      </c>
      <c r="H11" t="s">
        <v>460</v>
      </c>
      <c r="I11" t="s">
        <v>522</v>
      </c>
      <c r="J11" t="s">
        <v>523</v>
      </c>
      <c r="K11" t="s">
        <v>515</v>
      </c>
      <c r="L11"/>
      <c r="M11">
        <v>15</v>
      </c>
      <c r="N11" t="s">
        <v>524</v>
      </c>
      <c r="O11">
        <v>719</v>
      </c>
      <c r="P11">
        <v>40</v>
      </c>
      <c r="Q11" s="7">
        <v>156</v>
      </c>
      <c r="R11" s="27">
        <f t="shared" si="0"/>
        <v>155</v>
      </c>
      <c r="S11" s="27">
        <f>IF(SUM(COUNTIFS('10_21_10_27'!E:E,'10_21_10_27 Acc Rate'!C11,'10_21_10_27'!O:O,"*M*"),COUNTIFS('10_21_10_27'!E:E,'10_21_10_27 Acc Rate'!C11,'10_21_10_27'!R:R,"*M*"))=0,"",SUM(COUNTIFS('10_21_10_27'!E:E,'10_21_10_27 Acc Rate'!C11,'10_21_10_27'!O:O,"*M*"),COUNTIFS('10_21_10_27'!E:E,'10_21_10_27 Acc Rate'!C11,'10_21_10_27'!R:R,"*M*")))</f>
        <v>1</v>
      </c>
      <c r="T11" s="1" t="str">
        <f>IF(SUM(COUNTIFS('10_21_10_27'!E:E,'10_21_10_27 Acc Rate'!C11,'10_21_10_27'!P:P,"*E*"),COUNTIFS('10_21_10_27'!E:E,'10_21_10_27 Acc Rate'!C11,'10_21_10_27'!S:S,"*E*"))=0,"",SUM(COUNTIFS('10_21_10_27'!E:E,'10_21_10_27 Acc Rate'!C11,'10_21_10_27'!P:P,"*E*"),COUNTIFS('10_21_10_27'!E:E,'10_21_10_27 Acc Rate'!C11,'10_21_10_27'!S:S,"*E*")))</f>
        <v/>
      </c>
      <c r="U11" s="8">
        <f t="shared" si="1"/>
        <v>5.128205128205128E-2</v>
      </c>
      <c r="V11" s="2"/>
    </row>
    <row r="12" spans="2:24" s="1" customFormat="1" ht="15" customHeight="1" x14ac:dyDescent="0.25">
      <c r="B12" s="1" t="s">
        <v>525</v>
      </c>
      <c r="C12" s="1" t="s">
        <v>277</v>
      </c>
      <c r="D12" s="1" t="s">
        <v>278</v>
      </c>
      <c r="E12" t="s">
        <v>526</v>
      </c>
      <c r="F12" t="s">
        <v>527</v>
      </c>
      <c r="G12" t="s">
        <v>528</v>
      </c>
      <c r="H12" t="s">
        <v>460</v>
      </c>
      <c r="I12" t="s">
        <v>529</v>
      </c>
      <c r="J12" t="s">
        <v>523</v>
      </c>
      <c r="K12" t="s">
        <v>515</v>
      </c>
      <c r="L12"/>
      <c r="M12">
        <v>15</v>
      </c>
      <c r="N12" t="s">
        <v>530</v>
      </c>
      <c r="O12">
        <v>219</v>
      </c>
      <c r="P12">
        <v>25</v>
      </c>
      <c r="Q12" s="7">
        <v>461</v>
      </c>
      <c r="R12" s="27">
        <f t="shared" si="0"/>
        <v>461</v>
      </c>
      <c r="S12" s="27" t="str">
        <f>IF(SUM(COUNTIFS('10_21_10_27'!E:E,'10_21_10_27 Acc Rate'!C12,'10_21_10_27'!O:O,"*M*"),COUNTIFS('10_21_10_27'!E:E,'10_21_10_27 Acc Rate'!C12,'10_21_10_27'!R:R,"*M*"))=0,"",SUM(COUNTIFS('10_21_10_27'!E:E,'10_21_10_27 Acc Rate'!C12,'10_21_10_27'!O:O,"*M*"),COUNTIFS('10_21_10_27'!E:E,'10_21_10_27 Acc Rate'!C12,'10_21_10_27'!R:R,"*M*")))</f>
        <v/>
      </c>
      <c r="T12" s="1" t="str">
        <f>IF(SUM(COUNTIFS('10_21_10_27'!E:E,'10_21_10_27 Acc Rate'!C12,'10_21_10_27'!P:P,"*E*"),COUNTIFS('10_21_10_27'!E:E,'10_21_10_27 Acc Rate'!C12,'10_21_10_27'!S:S,"*E*"))=0,"",SUM(COUNTIFS('10_21_10_27'!E:E,'10_21_10_27 Acc Rate'!C12,'10_21_10_27'!P:P,"*E*"),COUNTIFS('10_21_10_27'!E:E,'10_21_10_27 Acc Rate'!C12,'10_21_10_27'!S:S,"*E*")))</f>
        <v/>
      </c>
      <c r="U12" s="8">
        <f t="shared" si="1"/>
        <v>0</v>
      </c>
      <c r="V12" s="2"/>
    </row>
    <row r="13" spans="2:24" s="1" customFormat="1" ht="15" customHeight="1" x14ac:dyDescent="0.25">
      <c r="B13" s="1" t="s">
        <v>531</v>
      </c>
      <c r="C13" s="1" t="s">
        <v>325</v>
      </c>
      <c r="D13" s="1" t="s">
        <v>278</v>
      </c>
      <c r="E13" t="s">
        <v>532</v>
      </c>
      <c r="F13" t="s">
        <v>244</v>
      </c>
      <c r="G13" t="s">
        <v>533</v>
      </c>
      <c r="H13" t="s">
        <v>460</v>
      </c>
      <c r="I13" t="s">
        <v>534</v>
      </c>
      <c r="J13" t="s">
        <v>523</v>
      </c>
      <c r="K13" t="s">
        <v>515</v>
      </c>
      <c r="L13" t="s">
        <v>535</v>
      </c>
      <c r="M13">
        <v>15</v>
      </c>
      <c r="N13" t="s">
        <v>536</v>
      </c>
      <c r="O13">
        <v>142</v>
      </c>
      <c r="P13">
        <v>25</v>
      </c>
      <c r="Q13" s="7">
        <v>124</v>
      </c>
      <c r="R13" s="27">
        <f t="shared" si="0"/>
        <v>124</v>
      </c>
      <c r="S13" s="27" t="str">
        <f>IF(SUM(COUNTIFS('10_21_10_27'!E:E,'10_21_10_27 Acc Rate'!C13,'10_21_10_27'!O:O,"*M*"),COUNTIFS('10_21_10_27'!E:E,'10_21_10_27 Acc Rate'!C13,'10_21_10_27'!R:R,"*M*"))=0,"",SUM(COUNTIFS('10_21_10_27'!E:E,'10_21_10_27 Acc Rate'!C13,'10_21_10_27'!O:O,"*M*"),COUNTIFS('10_21_10_27'!E:E,'10_21_10_27 Acc Rate'!C13,'10_21_10_27'!R:R,"*M*")))</f>
        <v/>
      </c>
      <c r="T13" s="1" t="str">
        <f>IF(SUM(COUNTIFS('10_21_10_27'!E:E,'10_21_10_27 Acc Rate'!C13,'10_21_10_27'!P:P,"*E*"),COUNTIFS('10_21_10_27'!E:E,'10_21_10_27 Acc Rate'!C13,'10_21_10_27'!S:S,"*E*"))=0,"",SUM(COUNTIFS('10_21_10_27'!E:E,'10_21_10_27 Acc Rate'!C13,'10_21_10_27'!P:P,"*E*"),COUNTIFS('10_21_10_27'!E:E,'10_21_10_27 Acc Rate'!C13,'10_21_10_27'!S:S,"*E*")))</f>
        <v/>
      </c>
      <c r="U13" s="8">
        <f t="shared" si="1"/>
        <v>0</v>
      </c>
      <c r="V13" s="2"/>
    </row>
    <row r="14" spans="2:24" s="1" customFormat="1" ht="15" customHeight="1" x14ac:dyDescent="0.25">
      <c r="B14" s="1" t="s">
        <v>537</v>
      </c>
      <c r="C14" s="1" t="s">
        <v>64</v>
      </c>
      <c r="D14" s="1" t="s">
        <v>65</v>
      </c>
      <c r="E14" t="s">
        <v>538</v>
      </c>
      <c r="F14" t="s">
        <v>114</v>
      </c>
      <c r="G14" t="s">
        <v>539</v>
      </c>
      <c r="H14" t="s">
        <v>460</v>
      </c>
      <c r="I14" t="s">
        <v>540</v>
      </c>
      <c r="J14" t="s">
        <v>523</v>
      </c>
      <c r="K14" t="s">
        <v>515</v>
      </c>
      <c r="L14"/>
      <c r="M14">
        <v>15</v>
      </c>
      <c r="N14" t="s">
        <v>541</v>
      </c>
      <c r="O14">
        <v>716</v>
      </c>
      <c r="P14">
        <v>25</v>
      </c>
      <c r="Q14" s="7">
        <v>506</v>
      </c>
      <c r="R14" s="27">
        <f t="shared" si="0"/>
        <v>506</v>
      </c>
      <c r="S14" s="27" t="str">
        <f>IF(SUM(COUNTIFS('10_21_10_27'!E:E,'10_21_10_27 Acc Rate'!C14,'10_21_10_27'!O:O,"*M*"),COUNTIFS('10_21_10_27'!E:E,'10_21_10_27 Acc Rate'!C14,'10_21_10_27'!R:R,"*M*"))=0,"",SUM(COUNTIFS('10_21_10_27'!E:E,'10_21_10_27 Acc Rate'!C14,'10_21_10_27'!O:O,"*M*"),COUNTIFS('10_21_10_27'!E:E,'10_21_10_27 Acc Rate'!C14,'10_21_10_27'!R:R,"*M*")))</f>
        <v/>
      </c>
      <c r="T14" s="1" t="str">
        <f>IF(SUM(COUNTIFS('10_21_10_27'!E:E,'10_21_10_27 Acc Rate'!C14,'10_21_10_27'!P:P,"*E*"),COUNTIFS('10_21_10_27'!E:E,'10_21_10_27 Acc Rate'!C14,'10_21_10_27'!S:S,"*E*"))=0,"",SUM(COUNTIFS('10_21_10_27'!E:E,'10_21_10_27 Acc Rate'!C14,'10_21_10_27'!P:P,"*E*"),COUNTIFS('10_21_10_27'!E:E,'10_21_10_27 Acc Rate'!C14,'10_21_10_27'!S:S,"*E*")))</f>
        <v/>
      </c>
      <c r="U14" s="8">
        <f t="shared" si="1"/>
        <v>0</v>
      </c>
      <c r="V14" s="2"/>
    </row>
    <row r="15" spans="2:24" ht="15" customHeight="1" x14ac:dyDescent="0.25">
      <c r="B15" s="1" t="s">
        <v>542</v>
      </c>
      <c r="C15" s="1" t="s">
        <v>245</v>
      </c>
      <c r="D15" s="1" t="s">
        <v>246</v>
      </c>
      <c r="E15" t="s">
        <v>543</v>
      </c>
      <c r="F15" t="s">
        <v>21</v>
      </c>
      <c r="G15" t="s">
        <v>544</v>
      </c>
      <c r="H15" t="s">
        <v>460</v>
      </c>
      <c r="I15" t="s">
        <v>545</v>
      </c>
      <c r="J15" t="s">
        <v>523</v>
      </c>
      <c r="K15" t="s">
        <v>515</v>
      </c>
      <c r="L15" t="s">
        <v>546</v>
      </c>
      <c r="M15">
        <v>15</v>
      </c>
      <c r="N15" t="s">
        <v>547</v>
      </c>
      <c r="O15">
        <v>209</v>
      </c>
      <c r="P15">
        <v>40</v>
      </c>
      <c r="Q15" s="7">
        <v>197</v>
      </c>
      <c r="R15" s="27">
        <f t="shared" si="0"/>
        <v>197</v>
      </c>
      <c r="S15" s="27" t="str">
        <f>IF(SUM(COUNTIFS('10_21_10_27'!E:E,'10_21_10_27 Acc Rate'!C15,'10_21_10_27'!O:O,"*M*"),COUNTIFS('10_21_10_27'!E:E,'10_21_10_27 Acc Rate'!C15,'10_21_10_27'!R:R,"*M*"))=0,"",SUM(COUNTIFS('10_21_10_27'!E:E,'10_21_10_27 Acc Rate'!C15,'10_21_10_27'!O:O,"*M*"),COUNTIFS('10_21_10_27'!E:E,'10_21_10_27 Acc Rate'!C15,'10_21_10_27'!R:R,"*M*")))</f>
        <v/>
      </c>
      <c r="T15" s="1" t="str">
        <f>IF(SUM(COUNTIFS('10_21_10_27'!E:E,'10_21_10_27 Acc Rate'!C15,'10_21_10_27'!P:P,"*E*"),COUNTIFS('10_21_10_27'!E:E,'10_21_10_27 Acc Rate'!C15,'10_21_10_27'!S:S,"*E*"))=0,"",SUM(COUNTIFS('10_21_10_27'!E:E,'10_21_10_27 Acc Rate'!C15,'10_21_10_27'!P:P,"*E*"),COUNTIFS('10_21_10_27'!E:E,'10_21_10_27 Acc Rate'!C15,'10_21_10_27'!S:S,"*E*")))</f>
        <v/>
      </c>
      <c r="U15" s="8">
        <f t="shared" si="1"/>
        <v>0</v>
      </c>
    </row>
    <row r="16" spans="2:24" ht="15" customHeight="1" x14ac:dyDescent="0.25">
      <c r="B16" s="1" t="s">
        <v>548</v>
      </c>
      <c r="C16" s="1" t="s">
        <v>396</v>
      </c>
      <c r="D16" s="1" t="s">
        <v>549</v>
      </c>
      <c r="E16"/>
      <c r="F16" t="s">
        <v>550</v>
      </c>
      <c r="G16" t="s">
        <v>551</v>
      </c>
      <c r="H16" t="s">
        <v>552</v>
      </c>
      <c r="I16" t="s">
        <v>553</v>
      </c>
      <c r="J16" t="s">
        <v>554</v>
      </c>
      <c r="K16"/>
      <c r="L16"/>
      <c r="M16">
        <v>6</v>
      </c>
      <c r="N16"/>
      <c r="O16"/>
      <c r="P16"/>
      <c r="Q16" s="7"/>
      <c r="R16" s="27" t="str">
        <f t="shared" si="0"/>
        <v/>
      </c>
      <c r="S16" s="27" t="str">
        <f>IF(SUM(COUNTIFS('10_21_10_27'!E:E,'10_21_10_27 Acc Rate'!C16,'10_21_10_27'!O:O,"*M*"),COUNTIFS('10_21_10_27'!E:E,'10_21_10_27 Acc Rate'!C16,'10_21_10_27'!R:R,"*M*"))=0,"",SUM(COUNTIFS('10_21_10_27'!E:E,'10_21_10_27 Acc Rate'!C16,'10_21_10_27'!O:O,"*M*"),COUNTIFS('10_21_10_27'!E:E,'10_21_10_27 Acc Rate'!C16,'10_21_10_27'!R:R,"*M*")))</f>
        <v/>
      </c>
      <c r="T16" s="1" t="str">
        <f>IF(SUM(COUNTIFS('10_21_10_27'!E:E,'10_21_10_27 Acc Rate'!C16,'10_21_10_27'!P:P,"*E*"),COUNTIFS('10_21_10_27'!E:E,'10_21_10_27 Acc Rate'!C16,'10_21_10_27'!S:S,"*E*"))=0,"",SUM(COUNTIFS('10_21_10_27'!E:E,'10_21_10_27 Acc Rate'!C16,'10_21_10_27'!P:P,"*E*"),COUNTIFS('10_21_10_27'!E:E,'10_21_10_27 Acc Rate'!C16,'10_21_10_27'!S:S,"*E*")))</f>
        <v/>
      </c>
      <c r="U16" s="8" t="str">
        <f t="shared" si="1"/>
        <v/>
      </c>
    </row>
    <row r="17" spans="2:21" ht="15" customHeight="1" x14ac:dyDescent="0.25">
      <c r="B17" s="1" t="s">
        <v>555</v>
      </c>
      <c r="C17" s="1" t="s">
        <v>556</v>
      </c>
      <c r="D17" s="1" t="s">
        <v>557</v>
      </c>
      <c r="E17"/>
      <c r="F17" t="s">
        <v>558</v>
      </c>
      <c r="G17" t="s">
        <v>559</v>
      </c>
      <c r="H17" t="s">
        <v>552</v>
      </c>
      <c r="I17" t="s">
        <v>560</v>
      </c>
      <c r="J17" t="s">
        <v>561</v>
      </c>
      <c r="K17" t="s">
        <v>553</v>
      </c>
      <c r="L17"/>
      <c r="M17">
        <v>6</v>
      </c>
      <c r="N17"/>
      <c r="O17"/>
      <c r="P17"/>
      <c r="Q17" s="7">
        <v>15</v>
      </c>
      <c r="R17" s="27">
        <f t="shared" si="0"/>
        <v>13</v>
      </c>
      <c r="S17" s="27">
        <f>IF(SUM(COUNTIFS('10_21_10_27'!E:E,'10_21_10_27 Acc Rate'!C17,'10_21_10_27'!O:O,"*M*"),COUNTIFS('10_21_10_27'!E:E,'10_21_10_27 Acc Rate'!C17,'10_21_10_27'!R:R,"*M*"))=0,"",SUM(COUNTIFS('10_21_10_27'!E:E,'10_21_10_27 Acc Rate'!C17,'10_21_10_27'!O:O,"*M*"),COUNTIFS('10_21_10_27'!E:E,'10_21_10_27 Acc Rate'!C17,'10_21_10_27'!R:R,"*M*")))</f>
        <v>1</v>
      </c>
      <c r="T17" s="1">
        <f>IF(SUM(COUNTIFS('10_21_10_27'!E:E,'10_21_10_27 Acc Rate'!C17,'10_21_10_27'!P:P,"*E*"),COUNTIFS('10_21_10_27'!E:E,'10_21_10_27 Acc Rate'!C17,'10_21_10_27'!S:S,"*E*"))=0,"",SUM(COUNTIFS('10_21_10_27'!E:E,'10_21_10_27 Acc Rate'!C17,'10_21_10_27'!P:P,"*E*"),COUNTIFS('10_21_10_27'!E:E,'10_21_10_27 Acc Rate'!C17,'10_21_10_27'!S:S,"*E*")))</f>
        <v>1</v>
      </c>
      <c r="U17" s="8">
        <f t="shared" si="1"/>
        <v>0.66666666666666663</v>
      </c>
    </row>
    <row r="18" spans="2:21" ht="15" customHeight="1" x14ac:dyDescent="0.25">
      <c r="B18" s="1" t="s">
        <v>562</v>
      </c>
      <c r="C18" s="1" t="s">
        <v>563</v>
      </c>
      <c r="D18" s="1" t="s">
        <v>564</v>
      </c>
      <c r="E18"/>
      <c r="F18" t="s">
        <v>565</v>
      </c>
      <c r="G18" t="s">
        <v>566</v>
      </c>
      <c r="H18" t="s">
        <v>552</v>
      </c>
      <c r="I18" t="s">
        <v>567</v>
      </c>
      <c r="J18" t="s">
        <v>561</v>
      </c>
      <c r="K18" t="s">
        <v>553</v>
      </c>
      <c r="L18"/>
      <c r="M18">
        <v>6</v>
      </c>
      <c r="N18"/>
      <c r="O18"/>
      <c r="P18"/>
      <c r="Q18" s="7"/>
      <c r="R18" s="27" t="str">
        <f t="shared" si="0"/>
        <v/>
      </c>
      <c r="S18" s="27" t="str">
        <f>IF(SUM(COUNTIFS('10_21_10_27'!E:E,'10_21_10_27 Acc Rate'!C18,'10_21_10_27'!O:O,"*M*"),COUNTIFS('10_21_10_27'!E:E,'10_21_10_27 Acc Rate'!C18,'10_21_10_27'!R:R,"*M*"))=0,"",SUM(COUNTIFS('10_21_10_27'!E:E,'10_21_10_27 Acc Rate'!C18,'10_21_10_27'!O:O,"*M*"),COUNTIFS('10_21_10_27'!E:E,'10_21_10_27 Acc Rate'!C18,'10_21_10_27'!R:R,"*M*")))</f>
        <v/>
      </c>
      <c r="T18" s="1" t="str">
        <f>IF(SUM(COUNTIFS('10_21_10_27'!E:E,'10_21_10_27 Acc Rate'!C18,'10_21_10_27'!P:P,"*E*"),COUNTIFS('10_21_10_27'!E:E,'10_21_10_27 Acc Rate'!C18,'10_21_10_27'!S:S,"*E*"))=0,"",SUM(COUNTIFS('10_21_10_27'!E:E,'10_21_10_27 Acc Rate'!C18,'10_21_10_27'!P:P,"*E*"),COUNTIFS('10_21_10_27'!E:E,'10_21_10_27 Acc Rate'!C18,'10_21_10_27'!S:S,"*E*")))</f>
        <v/>
      </c>
      <c r="U18" s="8" t="str">
        <f t="shared" si="1"/>
        <v/>
      </c>
    </row>
    <row r="19" spans="2:21" ht="15" customHeight="1" x14ac:dyDescent="0.25">
      <c r="B19" s="1" t="s">
        <v>568</v>
      </c>
      <c r="C19" s="1" t="s">
        <v>569</v>
      </c>
      <c r="D19" s="1" t="s">
        <v>570</v>
      </c>
      <c r="E19"/>
      <c r="F19" t="s">
        <v>571</v>
      </c>
      <c r="G19" t="s">
        <v>572</v>
      </c>
      <c r="H19" t="s">
        <v>552</v>
      </c>
      <c r="I19" t="s">
        <v>573</v>
      </c>
      <c r="J19" t="s">
        <v>561</v>
      </c>
      <c r="K19" t="s">
        <v>553</v>
      </c>
      <c r="L19"/>
      <c r="M19">
        <v>6</v>
      </c>
      <c r="N19"/>
      <c r="O19"/>
      <c r="P19"/>
      <c r="Q19" s="7"/>
      <c r="R19" s="27" t="str">
        <f t="shared" si="0"/>
        <v/>
      </c>
      <c r="S19" s="27" t="str">
        <f>IF(SUM(COUNTIFS('10_21_10_27'!E:E,'10_21_10_27 Acc Rate'!C19,'10_21_10_27'!O:O,"*M*"),COUNTIFS('10_21_10_27'!E:E,'10_21_10_27 Acc Rate'!C19,'10_21_10_27'!R:R,"*M*"))=0,"",SUM(COUNTIFS('10_21_10_27'!E:E,'10_21_10_27 Acc Rate'!C19,'10_21_10_27'!O:O,"*M*"),COUNTIFS('10_21_10_27'!E:E,'10_21_10_27 Acc Rate'!C19,'10_21_10_27'!R:R,"*M*")))</f>
        <v/>
      </c>
      <c r="T19" s="1" t="str">
        <f>IF(SUM(COUNTIFS('10_21_10_27'!E:E,'10_21_10_27 Acc Rate'!C19,'10_21_10_27'!P:P,"*E*"),COUNTIFS('10_21_10_27'!E:E,'10_21_10_27 Acc Rate'!C19,'10_21_10_27'!S:S,"*E*"))=0,"",SUM(COUNTIFS('10_21_10_27'!E:E,'10_21_10_27 Acc Rate'!C19,'10_21_10_27'!P:P,"*E*"),COUNTIFS('10_21_10_27'!E:E,'10_21_10_27 Acc Rate'!C19,'10_21_10_27'!S:S,"*E*")))</f>
        <v/>
      </c>
      <c r="U19" s="8" t="str">
        <f t="shared" si="1"/>
        <v/>
      </c>
    </row>
    <row r="20" spans="2:21" ht="15" customHeight="1" x14ac:dyDescent="0.25">
      <c r="B20" s="1" t="s">
        <v>574</v>
      </c>
      <c r="C20" s="1" t="s">
        <v>575</v>
      </c>
      <c r="D20" s="1" t="s">
        <v>576</v>
      </c>
      <c r="E20"/>
      <c r="F20" t="s">
        <v>577</v>
      </c>
      <c r="G20" t="s">
        <v>578</v>
      </c>
      <c r="H20" t="s">
        <v>552</v>
      </c>
      <c r="I20" t="s">
        <v>579</v>
      </c>
      <c r="J20" t="s">
        <v>561</v>
      </c>
      <c r="K20" t="s">
        <v>553</v>
      </c>
      <c r="L20"/>
      <c r="M20">
        <v>6</v>
      </c>
      <c r="N20"/>
      <c r="O20"/>
      <c r="P20"/>
      <c r="Q20" s="7"/>
      <c r="R20" s="27" t="str">
        <f t="shared" si="0"/>
        <v/>
      </c>
      <c r="S20" s="27" t="str">
        <f>IF(SUM(COUNTIFS('10_21_10_27'!E:E,'10_21_10_27 Acc Rate'!C20,'10_21_10_27'!O:O,"*M*"),COUNTIFS('10_21_10_27'!E:E,'10_21_10_27 Acc Rate'!C20,'10_21_10_27'!R:R,"*M*"))=0,"",SUM(COUNTIFS('10_21_10_27'!E:E,'10_21_10_27 Acc Rate'!C20,'10_21_10_27'!O:O,"*M*"),COUNTIFS('10_21_10_27'!E:E,'10_21_10_27 Acc Rate'!C20,'10_21_10_27'!R:R,"*M*")))</f>
        <v/>
      </c>
      <c r="T20" s="1" t="str">
        <f>IF(SUM(COUNTIFS('10_21_10_27'!E:E,'10_21_10_27 Acc Rate'!C20,'10_21_10_27'!P:P,"*E*"),COUNTIFS('10_21_10_27'!E:E,'10_21_10_27 Acc Rate'!C20,'10_21_10_27'!S:S,"*E*"))=0,"",SUM(COUNTIFS('10_21_10_27'!E:E,'10_21_10_27 Acc Rate'!C20,'10_21_10_27'!P:P,"*E*"),COUNTIFS('10_21_10_27'!E:E,'10_21_10_27 Acc Rate'!C20,'10_21_10_27'!S:S,"*E*")))</f>
        <v/>
      </c>
      <c r="U20" s="8" t="str">
        <f t="shared" si="1"/>
        <v/>
      </c>
    </row>
    <row r="21" spans="2:21" ht="15" customHeight="1" x14ac:dyDescent="0.25">
      <c r="B21" s="1" t="s">
        <v>580</v>
      </c>
      <c r="C21" s="1" t="s">
        <v>316</v>
      </c>
      <c r="D21" s="1" t="s">
        <v>581</v>
      </c>
      <c r="E21"/>
      <c r="F21" t="s">
        <v>565</v>
      </c>
      <c r="G21" t="s">
        <v>582</v>
      </c>
      <c r="H21" t="s">
        <v>583</v>
      </c>
      <c r="I21" t="s">
        <v>584</v>
      </c>
      <c r="J21" t="s">
        <v>585</v>
      </c>
      <c r="K21"/>
      <c r="L21"/>
      <c r="M21">
        <v>1</v>
      </c>
      <c r="N21"/>
      <c r="O21"/>
      <c r="P21"/>
      <c r="Q21" s="7"/>
      <c r="R21" s="27" t="str">
        <f t="shared" si="0"/>
        <v/>
      </c>
      <c r="S21" s="27" t="str">
        <f>IF(SUM(COUNTIFS('10_21_10_27'!E:E,'10_21_10_27 Acc Rate'!C21,'10_21_10_27'!O:O,"*M*"),COUNTIFS('10_21_10_27'!E:E,'10_21_10_27 Acc Rate'!C21,'10_21_10_27'!R:R,"*M*"))=0,"",SUM(COUNTIFS('10_21_10_27'!E:E,'10_21_10_27 Acc Rate'!C21,'10_21_10_27'!O:O,"*M*"),COUNTIFS('10_21_10_27'!E:E,'10_21_10_27 Acc Rate'!C21,'10_21_10_27'!R:R,"*M*")))</f>
        <v/>
      </c>
      <c r="T21" s="1" t="str">
        <f>IF(SUM(COUNTIFS('10_21_10_27'!E:E,'10_21_10_27 Acc Rate'!C21,'10_21_10_27'!P:P,"*E*"),COUNTIFS('10_21_10_27'!E:E,'10_21_10_27 Acc Rate'!C21,'10_21_10_27'!S:S,"*E*"))=0,"",SUM(COUNTIFS('10_21_10_27'!E:E,'10_21_10_27 Acc Rate'!C21,'10_21_10_27'!P:P,"*E*"),COUNTIFS('10_21_10_27'!E:E,'10_21_10_27 Acc Rate'!C21,'10_21_10_27'!S:S,"*E*")))</f>
        <v/>
      </c>
      <c r="U21" s="8" t="str">
        <f t="shared" si="1"/>
        <v/>
      </c>
    </row>
    <row r="22" spans="2:21" ht="15" customHeight="1" x14ac:dyDescent="0.25">
      <c r="B22" s="1" t="s">
        <v>586</v>
      </c>
      <c r="C22" s="1" t="s">
        <v>587</v>
      </c>
      <c r="D22" s="1" t="s">
        <v>588</v>
      </c>
      <c r="E22"/>
      <c r="F22" t="s">
        <v>589</v>
      </c>
      <c r="G22" t="s">
        <v>590</v>
      </c>
      <c r="H22" t="s">
        <v>583</v>
      </c>
      <c r="I22" t="s">
        <v>591</v>
      </c>
      <c r="J22" t="s">
        <v>592</v>
      </c>
      <c r="K22"/>
      <c r="L22"/>
      <c r="M22">
        <v>1</v>
      </c>
      <c r="N22"/>
      <c r="O22"/>
      <c r="P22"/>
      <c r="Q22" s="7"/>
      <c r="R22" s="27" t="str">
        <f t="shared" si="0"/>
        <v/>
      </c>
      <c r="S22" s="27" t="str">
        <f>IF(SUM(COUNTIFS('10_21_10_27'!E:E,'10_21_10_27 Acc Rate'!C22,'10_21_10_27'!O:O,"*M*"),COUNTIFS('10_21_10_27'!E:E,'10_21_10_27 Acc Rate'!C22,'10_21_10_27'!R:R,"*M*"))=0,"",SUM(COUNTIFS('10_21_10_27'!E:E,'10_21_10_27 Acc Rate'!C22,'10_21_10_27'!O:O,"*M*"),COUNTIFS('10_21_10_27'!E:E,'10_21_10_27 Acc Rate'!C22,'10_21_10_27'!R:R,"*M*")))</f>
        <v/>
      </c>
      <c r="T22" s="1" t="str">
        <f>IF(SUM(COUNTIFS('10_21_10_27'!E:E,'10_21_10_27 Acc Rate'!C22,'10_21_10_27'!P:P,"*E*"),COUNTIFS('10_21_10_27'!E:E,'10_21_10_27 Acc Rate'!C22,'10_21_10_27'!S:S,"*E*"))=0,"",SUM(COUNTIFS('10_21_10_27'!E:E,'10_21_10_27 Acc Rate'!C22,'10_21_10_27'!P:P,"*E*"),COUNTIFS('10_21_10_27'!E:E,'10_21_10_27 Acc Rate'!C22,'10_21_10_27'!S:S,"*E*")))</f>
        <v/>
      </c>
      <c r="U22" s="8" t="str">
        <f t="shared" si="1"/>
        <v/>
      </c>
    </row>
    <row r="23" spans="2:21" s="1" customFormat="1" ht="15" customHeight="1" x14ac:dyDescent="0.25">
      <c r="B23" s="1" t="s">
        <v>593</v>
      </c>
      <c r="C23" s="1" t="s">
        <v>169</v>
      </c>
      <c r="D23" s="1" t="s">
        <v>170</v>
      </c>
      <c r="E23"/>
      <c r="F23" t="s">
        <v>594</v>
      </c>
      <c r="G23" t="s">
        <v>595</v>
      </c>
      <c r="H23" t="s">
        <v>583</v>
      </c>
      <c r="I23" t="s">
        <v>596</v>
      </c>
      <c r="J23" t="s">
        <v>592</v>
      </c>
      <c r="K23"/>
      <c r="L23"/>
      <c r="M23">
        <v>1</v>
      </c>
      <c r="N23"/>
      <c r="O23"/>
      <c r="P23"/>
      <c r="Q23" s="7"/>
      <c r="R23" s="27" t="str">
        <f t="shared" si="0"/>
        <v/>
      </c>
      <c r="S23" s="27" t="str">
        <f>IF(SUM(COUNTIFS('10_21_10_27'!E:E,'10_21_10_27 Acc Rate'!C23,'10_21_10_27'!O:O,"*M*"),COUNTIFS('10_21_10_27'!E:E,'10_21_10_27 Acc Rate'!C23,'10_21_10_27'!R:R,"*M*"))=0,"",SUM(COUNTIFS('10_21_10_27'!E:E,'10_21_10_27 Acc Rate'!C23,'10_21_10_27'!O:O,"*M*"),COUNTIFS('10_21_10_27'!E:E,'10_21_10_27 Acc Rate'!C23,'10_21_10_27'!R:R,"*M*")))</f>
        <v/>
      </c>
      <c r="T23" s="1" t="str">
        <f>IF(SUM(COUNTIFS('10_21_10_27'!E:E,'10_21_10_27 Acc Rate'!C23,'10_21_10_27'!P:P,"*E*"),COUNTIFS('10_21_10_27'!E:E,'10_21_10_27 Acc Rate'!C23,'10_21_10_27'!S:S,"*E*"))=0,"",SUM(COUNTIFS('10_21_10_27'!E:E,'10_21_10_27 Acc Rate'!C23,'10_21_10_27'!P:P,"*E*"),COUNTIFS('10_21_10_27'!E:E,'10_21_10_27 Acc Rate'!C23,'10_21_10_27'!S:S,"*E*")))</f>
        <v/>
      </c>
      <c r="U23" s="9" t="str">
        <f t="shared" si="1"/>
        <v/>
      </c>
    </row>
    <row r="24" spans="2:21" s="1" customFormat="1" ht="15" customHeight="1" x14ac:dyDescent="0.25">
      <c r="B24" s="1" t="s">
        <v>597</v>
      </c>
      <c r="C24" s="1" t="s">
        <v>423</v>
      </c>
      <c r="D24" s="1" t="s">
        <v>424</v>
      </c>
      <c r="E24"/>
      <c r="F24" t="s">
        <v>598</v>
      </c>
      <c r="G24" t="s">
        <v>599</v>
      </c>
      <c r="H24" t="s">
        <v>583</v>
      </c>
      <c r="I24" t="s">
        <v>600</v>
      </c>
      <c r="J24" t="s">
        <v>601</v>
      </c>
      <c r="K24"/>
      <c r="L24"/>
      <c r="M24">
        <v>1</v>
      </c>
      <c r="N24"/>
      <c r="O24"/>
      <c r="P24"/>
      <c r="Q24" s="7"/>
      <c r="R24" s="27" t="str">
        <f t="shared" si="0"/>
        <v/>
      </c>
      <c r="S24" s="27" t="str">
        <f>IF(SUM(COUNTIFS('10_21_10_27'!E:E,'10_21_10_27 Acc Rate'!C24,'10_21_10_27'!O:O,"*M*"),COUNTIFS('10_21_10_27'!E:E,'10_21_10_27 Acc Rate'!C24,'10_21_10_27'!R:R,"*M*"))=0,"",SUM(COUNTIFS('10_21_10_27'!E:E,'10_21_10_27 Acc Rate'!C24,'10_21_10_27'!O:O,"*M*"),COUNTIFS('10_21_10_27'!E:E,'10_21_10_27 Acc Rate'!C24,'10_21_10_27'!R:R,"*M*")))</f>
        <v/>
      </c>
      <c r="T24" s="1" t="str">
        <f>IF(SUM(COUNTIFS('10_21_10_27'!E:E,'10_21_10_27 Acc Rate'!C24,'10_21_10_27'!P:P,"*E*"),COUNTIFS('10_21_10_27'!E:E,'10_21_10_27 Acc Rate'!C24,'10_21_10_27'!S:S,"*E*"))=0,"",SUM(COUNTIFS('10_21_10_27'!E:E,'10_21_10_27 Acc Rate'!C24,'10_21_10_27'!P:P,"*E*"),COUNTIFS('10_21_10_27'!E:E,'10_21_10_27 Acc Rate'!C24,'10_21_10_27'!S:S,"*E*")))</f>
        <v/>
      </c>
      <c r="U24" s="9" t="str">
        <f t="shared" si="1"/>
        <v/>
      </c>
    </row>
    <row r="25" spans="2:21" s="1" customFormat="1" ht="15" customHeight="1" x14ac:dyDescent="0.25">
      <c r="B25" s="1" t="s">
        <v>602</v>
      </c>
      <c r="C25" s="1" t="s">
        <v>603</v>
      </c>
      <c r="D25" s="1" t="s">
        <v>1175</v>
      </c>
      <c r="E25"/>
      <c r="F25" t="s">
        <v>565</v>
      </c>
      <c r="G25" t="s">
        <v>1176</v>
      </c>
      <c r="H25" t="s">
        <v>583</v>
      </c>
      <c r="I25" t="s">
        <v>606</v>
      </c>
      <c r="J25" t="s">
        <v>607</v>
      </c>
      <c r="K25"/>
      <c r="L25"/>
      <c r="M25">
        <v>1</v>
      </c>
      <c r="N25"/>
      <c r="O25"/>
      <c r="P25"/>
      <c r="Q25" s="7"/>
      <c r="R25" s="27" t="str">
        <f t="shared" si="0"/>
        <v/>
      </c>
      <c r="S25" s="27" t="str">
        <f>IF(SUM(COUNTIFS('10_21_10_27'!E:E,'10_21_10_27 Acc Rate'!C25,'10_21_10_27'!O:O,"*M*"),COUNTIFS('10_21_10_27'!E:E,'10_21_10_27 Acc Rate'!C25,'10_21_10_27'!R:R,"*M*"))=0,"",SUM(COUNTIFS('10_21_10_27'!E:E,'10_21_10_27 Acc Rate'!C25,'10_21_10_27'!O:O,"*M*"),COUNTIFS('10_21_10_27'!E:E,'10_21_10_27 Acc Rate'!C25,'10_21_10_27'!R:R,"*M*")))</f>
        <v/>
      </c>
      <c r="T25" s="1" t="str">
        <f>IF(SUM(COUNTIFS('10_21_10_27'!E:E,'10_21_10_27 Acc Rate'!C25,'10_21_10_27'!P:P,"*E*"),COUNTIFS('10_21_10_27'!E:E,'10_21_10_27 Acc Rate'!C25,'10_21_10_27'!S:S,"*E*"))=0,"",SUM(COUNTIFS('10_21_10_27'!E:E,'10_21_10_27 Acc Rate'!C25,'10_21_10_27'!P:P,"*E*"),COUNTIFS('10_21_10_27'!E:E,'10_21_10_27 Acc Rate'!C25,'10_21_10_27'!S:S,"*E*")))</f>
        <v/>
      </c>
      <c r="U25" s="9" t="str">
        <f t="shared" si="1"/>
        <v/>
      </c>
    </row>
    <row r="26" spans="2:21" s="1" customFormat="1" ht="15" customHeight="1" x14ac:dyDescent="0.25">
      <c r="B26" s="1" t="s">
        <v>608</v>
      </c>
      <c r="C26" s="1" t="s">
        <v>609</v>
      </c>
      <c r="D26" s="1" t="s">
        <v>610</v>
      </c>
      <c r="E26"/>
      <c r="F26" t="s">
        <v>611</v>
      </c>
      <c r="G26" t="s">
        <v>612</v>
      </c>
      <c r="H26" t="s">
        <v>583</v>
      </c>
      <c r="I26" t="s">
        <v>613</v>
      </c>
      <c r="J26" t="s">
        <v>614</v>
      </c>
      <c r="K26" t="s">
        <v>606</v>
      </c>
      <c r="L26"/>
      <c r="M26">
        <v>1</v>
      </c>
      <c r="N26"/>
      <c r="O26"/>
      <c r="P26"/>
      <c r="Q26" s="7"/>
      <c r="R26" s="27" t="str">
        <f t="shared" si="0"/>
        <v/>
      </c>
      <c r="S26" s="27" t="str">
        <f>IF(SUM(COUNTIFS('10_21_10_27'!E:E,'10_21_10_27 Acc Rate'!C26,'10_21_10_27'!O:O,"*M*"),COUNTIFS('10_21_10_27'!E:E,'10_21_10_27 Acc Rate'!C26,'10_21_10_27'!R:R,"*M*"))=0,"",SUM(COUNTIFS('10_21_10_27'!E:E,'10_21_10_27 Acc Rate'!C26,'10_21_10_27'!O:O,"*M*"),COUNTIFS('10_21_10_27'!E:E,'10_21_10_27 Acc Rate'!C26,'10_21_10_27'!R:R,"*M*")))</f>
        <v/>
      </c>
      <c r="T26" s="1" t="str">
        <f>IF(SUM(COUNTIFS('10_21_10_27'!E:E,'10_21_10_27 Acc Rate'!C26,'10_21_10_27'!P:P,"*E*"),COUNTIFS('10_21_10_27'!E:E,'10_21_10_27 Acc Rate'!C26,'10_21_10_27'!S:S,"*E*"))=0,"",SUM(COUNTIFS('10_21_10_27'!E:E,'10_21_10_27 Acc Rate'!C26,'10_21_10_27'!P:P,"*E*"),COUNTIFS('10_21_10_27'!E:E,'10_21_10_27 Acc Rate'!C26,'10_21_10_27'!S:S,"*E*")))</f>
        <v/>
      </c>
      <c r="U26" s="9" t="str">
        <f t="shared" si="1"/>
        <v/>
      </c>
    </row>
    <row r="27" spans="2:21" s="1" customFormat="1" ht="15" customHeight="1" x14ac:dyDescent="0.25">
      <c r="B27" s="1" t="s">
        <v>615</v>
      </c>
      <c r="C27" s="1" t="s">
        <v>616</v>
      </c>
      <c r="D27" s="1" t="s">
        <v>617</v>
      </c>
      <c r="E27"/>
      <c r="F27" t="s">
        <v>618</v>
      </c>
      <c r="G27" t="s">
        <v>619</v>
      </c>
      <c r="H27" t="s">
        <v>583</v>
      </c>
      <c r="I27" t="s">
        <v>620</v>
      </c>
      <c r="J27" t="s">
        <v>614</v>
      </c>
      <c r="K27" t="s">
        <v>606</v>
      </c>
      <c r="L27"/>
      <c r="M27">
        <v>1</v>
      </c>
      <c r="N27"/>
      <c r="O27"/>
      <c r="P27"/>
      <c r="Q27" s="7"/>
      <c r="R27" s="27" t="str">
        <f t="shared" si="0"/>
        <v/>
      </c>
      <c r="S27" s="27" t="str">
        <f>IF(SUM(COUNTIFS('10_21_10_27'!E:E,'10_21_10_27 Acc Rate'!C27,'10_21_10_27'!O:O,"*M*"),COUNTIFS('10_21_10_27'!E:E,'10_21_10_27 Acc Rate'!C27,'10_21_10_27'!R:R,"*M*"))=0,"",SUM(COUNTIFS('10_21_10_27'!E:E,'10_21_10_27 Acc Rate'!C27,'10_21_10_27'!O:O,"*M*"),COUNTIFS('10_21_10_27'!E:E,'10_21_10_27 Acc Rate'!C27,'10_21_10_27'!R:R,"*M*")))</f>
        <v/>
      </c>
      <c r="T27" s="1" t="str">
        <f>IF(SUM(COUNTIFS('10_21_10_27'!E:E,'10_21_10_27 Acc Rate'!C27,'10_21_10_27'!P:P,"*E*"),COUNTIFS('10_21_10_27'!E:E,'10_21_10_27 Acc Rate'!C27,'10_21_10_27'!S:S,"*E*"))=0,"",SUM(COUNTIFS('10_21_10_27'!E:E,'10_21_10_27 Acc Rate'!C27,'10_21_10_27'!P:P,"*E*"),COUNTIFS('10_21_10_27'!E:E,'10_21_10_27 Acc Rate'!C27,'10_21_10_27'!S:S,"*E*")))</f>
        <v/>
      </c>
      <c r="U27" s="9" t="str">
        <f t="shared" si="1"/>
        <v/>
      </c>
    </row>
    <row r="28" spans="2:21" s="1" customFormat="1" ht="15" customHeight="1" x14ac:dyDescent="0.25">
      <c r="B28" s="1" t="s">
        <v>621</v>
      </c>
      <c r="C28" s="1" t="s">
        <v>622</v>
      </c>
      <c r="D28" s="1" t="s">
        <v>267</v>
      </c>
      <c r="E28"/>
      <c r="F28" t="s">
        <v>623</v>
      </c>
      <c r="G28" t="s">
        <v>624</v>
      </c>
      <c r="H28" t="s">
        <v>583</v>
      </c>
      <c r="I28" t="s">
        <v>625</v>
      </c>
      <c r="J28" t="s">
        <v>614</v>
      </c>
      <c r="K28" t="s">
        <v>606</v>
      </c>
      <c r="L28"/>
      <c r="M28">
        <v>1</v>
      </c>
      <c r="N28"/>
      <c r="O28"/>
      <c r="P28"/>
      <c r="Q28" s="7"/>
      <c r="R28" s="27" t="str">
        <f t="shared" si="0"/>
        <v/>
      </c>
      <c r="S28" s="27" t="str">
        <f>IF(SUM(COUNTIFS('10_21_10_27'!E:E,'10_21_10_27 Acc Rate'!C28,'10_21_10_27'!O:O,"*M*"),COUNTIFS('10_21_10_27'!E:E,'10_21_10_27 Acc Rate'!C28,'10_21_10_27'!R:R,"*M*"))=0,"",SUM(COUNTIFS('10_21_10_27'!E:E,'10_21_10_27 Acc Rate'!C28,'10_21_10_27'!O:O,"*M*"),COUNTIFS('10_21_10_27'!E:E,'10_21_10_27 Acc Rate'!C28,'10_21_10_27'!R:R,"*M*")))</f>
        <v/>
      </c>
      <c r="T28" s="1" t="str">
        <f>IF(SUM(COUNTIFS('10_21_10_27'!E:E,'10_21_10_27 Acc Rate'!C28,'10_21_10_27'!P:P,"*E*"),COUNTIFS('10_21_10_27'!E:E,'10_21_10_27 Acc Rate'!C28,'10_21_10_27'!S:S,"*E*"))=0,"",SUM(COUNTIFS('10_21_10_27'!E:E,'10_21_10_27 Acc Rate'!C28,'10_21_10_27'!P:P,"*E*"),COUNTIFS('10_21_10_27'!E:E,'10_21_10_27 Acc Rate'!C28,'10_21_10_27'!S:S,"*E*")))</f>
        <v/>
      </c>
      <c r="U28" s="8" t="str">
        <f t="shared" si="1"/>
        <v/>
      </c>
    </row>
    <row r="29" spans="2:21" s="1" customFormat="1" ht="15" customHeight="1" x14ac:dyDescent="0.25">
      <c r="B29" s="1" t="s">
        <v>626</v>
      </c>
      <c r="C29" s="1" t="s">
        <v>362</v>
      </c>
      <c r="D29" s="1" t="s">
        <v>409</v>
      </c>
      <c r="E29"/>
      <c r="F29" t="s">
        <v>627</v>
      </c>
      <c r="G29" t="s">
        <v>628</v>
      </c>
      <c r="H29" t="s">
        <v>583</v>
      </c>
      <c r="I29" t="s">
        <v>629</v>
      </c>
      <c r="J29" t="s">
        <v>614</v>
      </c>
      <c r="K29" t="s">
        <v>606</v>
      </c>
      <c r="L29"/>
      <c r="M29">
        <v>1</v>
      </c>
      <c r="N29"/>
      <c r="O29"/>
      <c r="P29"/>
      <c r="Q29" s="7"/>
      <c r="R29" s="27">
        <f t="shared" si="0"/>
        <v>-1</v>
      </c>
      <c r="S29" s="27" t="str">
        <f>IF(SUM(COUNTIFS('10_21_10_27'!E:E,'10_21_10_27 Acc Rate'!C29,'10_21_10_27'!O:O,"*M*"),COUNTIFS('10_21_10_27'!E:E,'10_21_10_27 Acc Rate'!C29,'10_21_10_27'!R:R,"*M*"))=0,"",SUM(COUNTIFS('10_21_10_27'!E:E,'10_21_10_27 Acc Rate'!C29,'10_21_10_27'!O:O,"*M*"),COUNTIFS('10_21_10_27'!E:E,'10_21_10_27 Acc Rate'!C29,'10_21_10_27'!R:R,"*M*")))</f>
        <v/>
      </c>
      <c r="T29" s="1">
        <f>IF(SUM(COUNTIFS('10_21_10_27'!E:E,'10_21_10_27 Acc Rate'!C29,'10_21_10_27'!P:P,"*E*"),COUNTIFS('10_21_10_27'!E:E,'10_21_10_27 Acc Rate'!C29,'10_21_10_27'!S:S,"*E*"))=0,"",SUM(COUNTIFS('10_21_10_27'!E:E,'10_21_10_27 Acc Rate'!C29,'10_21_10_27'!P:P,"*E*"),COUNTIFS('10_21_10_27'!E:E,'10_21_10_27 Acc Rate'!C29,'10_21_10_27'!S:S,"*E*")))</f>
        <v>1</v>
      </c>
      <c r="U29" s="9" t="str">
        <f t="shared" si="1"/>
        <v/>
      </c>
    </row>
    <row r="30" spans="2:21" s="1" customFormat="1" ht="15" customHeight="1" x14ac:dyDescent="0.25">
      <c r="B30" s="1" t="s">
        <v>630</v>
      </c>
      <c r="C30" s="1" t="s">
        <v>425</v>
      </c>
      <c r="D30" s="1" t="s">
        <v>426</v>
      </c>
      <c r="E30"/>
      <c r="F30" t="s">
        <v>631</v>
      </c>
      <c r="G30" t="s">
        <v>632</v>
      </c>
      <c r="H30" t="s">
        <v>583</v>
      </c>
      <c r="I30" t="s">
        <v>633</v>
      </c>
      <c r="J30" t="s">
        <v>614</v>
      </c>
      <c r="K30" t="s">
        <v>606</v>
      </c>
      <c r="L30"/>
      <c r="M30">
        <v>15</v>
      </c>
      <c r="N30"/>
      <c r="O30"/>
      <c r="P30"/>
      <c r="Q30" s="7"/>
      <c r="R30" s="27" t="str">
        <f t="shared" si="0"/>
        <v/>
      </c>
      <c r="S30" s="27" t="str">
        <f>IF(SUM(COUNTIFS('10_21_10_27'!E:E,'10_21_10_27 Acc Rate'!C30,'10_21_10_27'!O:O,"*M*"),COUNTIFS('10_21_10_27'!E:E,'10_21_10_27 Acc Rate'!C30,'10_21_10_27'!R:R,"*M*"))=0,"",SUM(COUNTIFS('10_21_10_27'!E:E,'10_21_10_27 Acc Rate'!C30,'10_21_10_27'!O:O,"*M*"),COUNTIFS('10_21_10_27'!E:E,'10_21_10_27 Acc Rate'!C30,'10_21_10_27'!R:R,"*M*")))</f>
        <v/>
      </c>
      <c r="T30" s="1" t="str">
        <f>IF(SUM(COUNTIFS('10_21_10_27'!E:E,'10_21_10_27 Acc Rate'!C30,'10_21_10_27'!P:P,"*E*"),COUNTIFS('10_21_10_27'!E:E,'10_21_10_27 Acc Rate'!C30,'10_21_10_27'!S:S,"*E*"))=0,"",SUM(COUNTIFS('10_21_10_27'!E:E,'10_21_10_27 Acc Rate'!C30,'10_21_10_27'!P:P,"*E*"),COUNTIFS('10_21_10_27'!E:E,'10_21_10_27 Acc Rate'!C30,'10_21_10_27'!S:S,"*E*")))</f>
        <v/>
      </c>
      <c r="U30" s="9" t="str">
        <f t="shared" si="1"/>
        <v/>
      </c>
    </row>
    <row r="31" spans="2:21" s="1" customFormat="1" ht="15" customHeight="1" x14ac:dyDescent="0.25">
      <c r="B31" s="1" t="s">
        <v>634</v>
      </c>
      <c r="C31" s="1" t="s">
        <v>635</v>
      </c>
      <c r="D31" s="1" t="s">
        <v>636</v>
      </c>
      <c r="E31"/>
      <c r="F31" t="s">
        <v>21</v>
      </c>
      <c r="G31" t="s">
        <v>637</v>
      </c>
      <c r="H31" t="s">
        <v>583</v>
      </c>
      <c r="I31" t="s">
        <v>638</v>
      </c>
      <c r="J31" t="s">
        <v>607</v>
      </c>
      <c r="K31"/>
      <c r="L31"/>
      <c r="M31">
        <v>1</v>
      </c>
      <c r="N31"/>
      <c r="O31"/>
      <c r="P31"/>
      <c r="Q31" s="7"/>
      <c r="R31" s="27" t="str">
        <f t="shared" si="0"/>
        <v/>
      </c>
      <c r="S31" s="27" t="str">
        <f>IF(SUM(COUNTIFS('10_21_10_27'!E:E,'10_21_10_27 Acc Rate'!C31,'10_21_10_27'!O:O,"*M*"),COUNTIFS('10_21_10_27'!E:E,'10_21_10_27 Acc Rate'!C31,'10_21_10_27'!R:R,"*M*"))=0,"",SUM(COUNTIFS('10_21_10_27'!E:E,'10_21_10_27 Acc Rate'!C31,'10_21_10_27'!O:O,"*M*"),COUNTIFS('10_21_10_27'!E:E,'10_21_10_27 Acc Rate'!C31,'10_21_10_27'!R:R,"*M*")))</f>
        <v/>
      </c>
      <c r="T31" s="1" t="str">
        <f>IF(SUM(COUNTIFS('10_21_10_27'!E:E,'10_21_10_27 Acc Rate'!C31,'10_21_10_27'!P:P,"*E*"),COUNTIFS('10_21_10_27'!E:E,'10_21_10_27 Acc Rate'!C31,'10_21_10_27'!S:S,"*E*"))=0,"",SUM(COUNTIFS('10_21_10_27'!E:E,'10_21_10_27 Acc Rate'!C31,'10_21_10_27'!P:P,"*E*"),COUNTIFS('10_21_10_27'!E:E,'10_21_10_27 Acc Rate'!C31,'10_21_10_27'!S:S,"*E*")))</f>
        <v/>
      </c>
      <c r="U31" s="9" t="str">
        <f t="shared" si="1"/>
        <v/>
      </c>
    </row>
    <row r="32" spans="2:21" ht="15" customHeight="1" x14ac:dyDescent="0.25">
      <c r="B32" s="1" t="s">
        <v>639</v>
      </c>
      <c r="C32" s="1" t="s">
        <v>635</v>
      </c>
      <c r="D32" s="1" t="s">
        <v>640</v>
      </c>
      <c r="E32"/>
      <c r="F32" t="s">
        <v>641</v>
      </c>
      <c r="G32" t="s">
        <v>642</v>
      </c>
      <c r="H32" t="s">
        <v>583</v>
      </c>
      <c r="I32" t="s">
        <v>643</v>
      </c>
      <c r="J32" t="s">
        <v>607</v>
      </c>
      <c r="K32"/>
      <c r="L32"/>
      <c r="M32">
        <v>1</v>
      </c>
      <c r="N32"/>
      <c r="O32"/>
      <c r="P32"/>
      <c r="Q32" s="7"/>
      <c r="R32" s="27" t="str">
        <f t="shared" si="0"/>
        <v/>
      </c>
      <c r="S32" s="27" t="str">
        <f>IF(SUM(COUNTIFS('10_21_10_27'!E:E,'10_21_10_27 Acc Rate'!C32,'10_21_10_27'!O:O,"*M*"),COUNTIFS('10_21_10_27'!E:E,'10_21_10_27 Acc Rate'!C32,'10_21_10_27'!R:R,"*M*"))=0,"",SUM(COUNTIFS('10_21_10_27'!E:E,'10_21_10_27 Acc Rate'!C32,'10_21_10_27'!O:O,"*M*"),COUNTIFS('10_21_10_27'!E:E,'10_21_10_27 Acc Rate'!C32,'10_21_10_27'!R:R,"*M*")))</f>
        <v/>
      </c>
      <c r="T32" s="1" t="str">
        <f>IF(SUM(COUNTIFS('10_21_10_27'!E:E,'10_21_10_27 Acc Rate'!C32,'10_21_10_27'!P:P,"*E*"),COUNTIFS('10_21_10_27'!E:E,'10_21_10_27 Acc Rate'!C32,'10_21_10_27'!S:S,"*E*"))=0,"",SUM(COUNTIFS('10_21_10_27'!E:E,'10_21_10_27 Acc Rate'!C32,'10_21_10_27'!P:P,"*E*"),COUNTIFS('10_21_10_27'!E:E,'10_21_10_27 Acc Rate'!C32,'10_21_10_27'!S:S,"*E*")))</f>
        <v/>
      </c>
      <c r="U32" s="8" t="str">
        <f t="shared" si="1"/>
        <v/>
      </c>
    </row>
    <row r="33" spans="2:21" ht="15" customHeight="1" x14ac:dyDescent="0.25">
      <c r="B33" s="1" t="s">
        <v>644</v>
      </c>
      <c r="C33" s="1" t="s">
        <v>162</v>
      </c>
      <c r="D33" s="1" t="s">
        <v>163</v>
      </c>
      <c r="E33"/>
      <c r="F33" t="s">
        <v>645</v>
      </c>
      <c r="G33" t="s">
        <v>646</v>
      </c>
      <c r="H33" t="s">
        <v>583</v>
      </c>
      <c r="I33" t="s">
        <v>647</v>
      </c>
      <c r="J33" t="s">
        <v>648</v>
      </c>
      <c r="K33" t="s">
        <v>643</v>
      </c>
      <c r="L33"/>
      <c r="M33">
        <v>1</v>
      </c>
      <c r="N33"/>
      <c r="O33"/>
      <c r="P33"/>
      <c r="Q33" s="7"/>
      <c r="R33" s="27" t="str">
        <f t="shared" si="0"/>
        <v/>
      </c>
      <c r="S33" s="27" t="str">
        <f>IF(SUM(COUNTIFS('10_21_10_27'!E:E,'10_21_10_27 Acc Rate'!C33,'10_21_10_27'!O:O,"*M*"),COUNTIFS('10_21_10_27'!E:E,'10_21_10_27 Acc Rate'!C33,'10_21_10_27'!R:R,"*M*"))=0,"",SUM(COUNTIFS('10_21_10_27'!E:E,'10_21_10_27 Acc Rate'!C33,'10_21_10_27'!O:O,"*M*"),COUNTIFS('10_21_10_27'!E:E,'10_21_10_27 Acc Rate'!C33,'10_21_10_27'!R:R,"*M*")))</f>
        <v/>
      </c>
      <c r="T33" s="1" t="str">
        <f>IF(SUM(COUNTIFS('10_21_10_27'!E:E,'10_21_10_27 Acc Rate'!C33,'10_21_10_27'!P:P,"*E*"),COUNTIFS('10_21_10_27'!E:E,'10_21_10_27 Acc Rate'!C33,'10_21_10_27'!S:S,"*E*"))=0,"",SUM(COUNTIFS('10_21_10_27'!E:E,'10_21_10_27 Acc Rate'!C33,'10_21_10_27'!P:P,"*E*"),COUNTIFS('10_21_10_27'!E:E,'10_21_10_27 Acc Rate'!C33,'10_21_10_27'!S:S,"*E*")))</f>
        <v/>
      </c>
      <c r="U33" s="8" t="str">
        <f t="shared" si="1"/>
        <v/>
      </c>
    </row>
    <row r="34" spans="2:21" ht="15" customHeight="1" x14ac:dyDescent="0.25">
      <c r="B34" s="1" t="s">
        <v>649</v>
      </c>
      <c r="C34" s="1" t="s">
        <v>264</v>
      </c>
      <c r="D34" s="1" t="s">
        <v>650</v>
      </c>
      <c r="E34"/>
      <c r="F34" t="s">
        <v>651</v>
      </c>
      <c r="G34" t="s">
        <v>652</v>
      </c>
      <c r="H34" t="s">
        <v>583</v>
      </c>
      <c r="I34" t="s">
        <v>653</v>
      </c>
      <c r="J34" t="s">
        <v>648</v>
      </c>
      <c r="K34" t="s">
        <v>643</v>
      </c>
      <c r="L34"/>
      <c r="M34">
        <v>1</v>
      </c>
      <c r="N34"/>
      <c r="O34"/>
      <c r="P34"/>
      <c r="Q34" s="7"/>
      <c r="R34" s="27" t="str">
        <f t="shared" si="0"/>
        <v/>
      </c>
      <c r="S34" s="27" t="str">
        <f>IF(SUM(COUNTIFS('10_21_10_27'!E:E,'10_21_10_27 Acc Rate'!C34,'10_21_10_27'!O:O,"*M*"),COUNTIFS('10_21_10_27'!E:E,'10_21_10_27 Acc Rate'!C34,'10_21_10_27'!R:R,"*M*"))=0,"",SUM(COUNTIFS('10_21_10_27'!E:E,'10_21_10_27 Acc Rate'!C34,'10_21_10_27'!O:O,"*M*"),COUNTIFS('10_21_10_27'!E:E,'10_21_10_27 Acc Rate'!C34,'10_21_10_27'!R:R,"*M*")))</f>
        <v/>
      </c>
      <c r="T34" s="1" t="str">
        <f>IF(SUM(COUNTIFS('10_21_10_27'!E:E,'10_21_10_27 Acc Rate'!C34,'10_21_10_27'!P:P,"*E*"),COUNTIFS('10_21_10_27'!E:E,'10_21_10_27 Acc Rate'!C34,'10_21_10_27'!S:S,"*E*"))=0,"",SUM(COUNTIFS('10_21_10_27'!E:E,'10_21_10_27 Acc Rate'!C34,'10_21_10_27'!P:P,"*E*"),COUNTIFS('10_21_10_27'!E:E,'10_21_10_27 Acc Rate'!C34,'10_21_10_27'!S:S,"*E*")))</f>
        <v/>
      </c>
      <c r="U34" s="8" t="str">
        <f t="shared" si="1"/>
        <v/>
      </c>
    </row>
    <row r="35" spans="2:21" ht="15" customHeight="1" x14ac:dyDescent="0.25">
      <c r="B35" s="1" t="s">
        <v>654</v>
      </c>
      <c r="C35" s="1" t="s">
        <v>417</v>
      </c>
      <c r="D35" s="1" t="s">
        <v>418</v>
      </c>
      <c r="E35"/>
      <c r="F35" t="s">
        <v>655</v>
      </c>
      <c r="G35" t="s">
        <v>656</v>
      </c>
      <c r="H35" t="s">
        <v>583</v>
      </c>
      <c r="I35" t="s">
        <v>657</v>
      </c>
      <c r="J35" t="s">
        <v>648</v>
      </c>
      <c r="K35" t="s">
        <v>643</v>
      </c>
      <c r="L35"/>
      <c r="M35">
        <v>1</v>
      </c>
      <c r="N35"/>
      <c r="O35"/>
      <c r="P35"/>
      <c r="Q35" s="7">
        <v>2</v>
      </c>
      <c r="R35" s="27">
        <f t="shared" si="0"/>
        <v>2</v>
      </c>
      <c r="S35" s="27" t="str">
        <f>IF(SUM(COUNTIFS('10_21_10_27'!E:E,'10_21_10_27 Acc Rate'!C35,'10_21_10_27'!O:O,"*M*"),COUNTIFS('10_21_10_27'!E:E,'10_21_10_27 Acc Rate'!C35,'10_21_10_27'!R:R,"*M*"))=0,"",SUM(COUNTIFS('10_21_10_27'!E:E,'10_21_10_27 Acc Rate'!C35,'10_21_10_27'!O:O,"*M*"),COUNTIFS('10_21_10_27'!E:E,'10_21_10_27 Acc Rate'!C35,'10_21_10_27'!R:R,"*M*")))</f>
        <v/>
      </c>
      <c r="T35" s="1" t="str">
        <f>IF(SUM(COUNTIFS('10_21_10_27'!E:E,'10_21_10_27 Acc Rate'!C35,'10_21_10_27'!P:P,"*E*"),COUNTIFS('10_21_10_27'!E:E,'10_21_10_27 Acc Rate'!C35,'10_21_10_27'!S:S,"*E*"))=0,"",SUM(COUNTIFS('10_21_10_27'!E:E,'10_21_10_27 Acc Rate'!C35,'10_21_10_27'!P:P,"*E*"),COUNTIFS('10_21_10_27'!E:E,'10_21_10_27 Acc Rate'!C35,'10_21_10_27'!S:S,"*E*")))</f>
        <v/>
      </c>
      <c r="U35" s="8">
        <f t="shared" si="1"/>
        <v>0</v>
      </c>
    </row>
    <row r="36" spans="2:21" ht="15" customHeight="1" x14ac:dyDescent="0.25">
      <c r="B36" s="1" t="s">
        <v>658</v>
      </c>
      <c r="C36" s="1" t="s">
        <v>659</v>
      </c>
      <c r="D36" s="1" t="s">
        <v>660</v>
      </c>
      <c r="E36"/>
      <c r="F36" t="s">
        <v>661</v>
      </c>
      <c r="G36" t="s">
        <v>662</v>
      </c>
      <c r="H36" t="s">
        <v>583</v>
      </c>
      <c r="I36" t="s">
        <v>663</v>
      </c>
      <c r="J36" t="s">
        <v>607</v>
      </c>
      <c r="K36"/>
      <c r="L36"/>
      <c r="M36">
        <v>1</v>
      </c>
      <c r="N36"/>
      <c r="O36"/>
      <c r="P36"/>
      <c r="Q36" s="7"/>
      <c r="R36" s="27" t="str">
        <f t="shared" si="0"/>
        <v/>
      </c>
      <c r="S36" s="27" t="str">
        <f>IF(SUM(COUNTIFS('10_21_10_27'!E:E,'10_21_10_27 Acc Rate'!C36,'10_21_10_27'!O:O,"*M*"),COUNTIFS('10_21_10_27'!E:E,'10_21_10_27 Acc Rate'!C36,'10_21_10_27'!R:R,"*M*"))=0,"",SUM(COUNTIFS('10_21_10_27'!E:E,'10_21_10_27 Acc Rate'!C36,'10_21_10_27'!O:O,"*M*"),COUNTIFS('10_21_10_27'!E:E,'10_21_10_27 Acc Rate'!C36,'10_21_10_27'!R:R,"*M*")))</f>
        <v/>
      </c>
      <c r="T36" s="1" t="str">
        <f>IF(SUM(COUNTIFS('10_21_10_27'!E:E,'10_21_10_27 Acc Rate'!C36,'10_21_10_27'!P:P,"*E*"),COUNTIFS('10_21_10_27'!E:E,'10_21_10_27 Acc Rate'!C36,'10_21_10_27'!S:S,"*E*"))=0,"",SUM(COUNTIFS('10_21_10_27'!E:E,'10_21_10_27 Acc Rate'!C36,'10_21_10_27'!P:P,"*E*"),COUNTIFS('10_21_10_27'!E:E,'10_21_10_27 Acc Rate'!C36,'10_21_10_27'!S:S,"*E*")))</f>
        <v/>
      </c>
      <c r="U36" s="8" t="str">
        <f t="shared" si="1"/>
        <v/>
      </c>
    </row>
    <row r="37" spans="2:21" ht="15" customHeight="1" x14ac:dyDescent="0.25">
      <c r="B37" s="1" t="s">
        <v>664</v>
      </c>
      <c r="C37" s="1" t="s">
        <v>155</v>
      </c>
      <c r="D37" s="1" t="s">
        <v>156</v>
      </c>
      <c r="E37"/>
      <c r="F37" t="s">
        <v>550</v>
      </c>
      <c r="G37" t="s">
        <v>665</v>
      </c>
      <c r="H37" t="s">
        <v>583</v>
      </c>
      <c r="I37" t="s">
        <v>666</v>
      </c>
      <c r="J37" t="s">
        <v>667</v>
      </c>
      <c r="K37" t="s">
        <v>663</v>
      </c>
      <c r="L37"/>
      <c r="M37">
        <v>1</v>
      </c>
      <c r="N37"/>
      <c r="O37"/>
      <c r="P37"/>
      <c r="Q37" s="7">
        <v>2</v>
      </c>
      <c r="R37" s="27">
        <f t="shared" si="0"/>
        <v>2</v>
      </c>
      <c r="S37" s="27" t="str">
        <f>IF(SUM(COUNTIFS('10_21_10_27'!E:E,'10_21_10_27 Acc Rate'!C37,'10_21_10_27'!O:O,"*M*"),COUNTIFS('10_21_10_27'!E:E,'10_21_10_27 Acc Rate'!C37,'10_21_10_27'!R:R,"*M*"))=0,"",SUM(COUNTIFS('10_21_10_27'!E:E,'10_21_10_27 Acc Rate'!C37,'10_21_10_27'!O:O,"*M*"),COUNTIFS('10_21_10_27'!E:E,'10_21_10_27 Acc Rate'!C37,'10_21_10_27'!R:R,"*M*")))</f>
        <v/>
      </c>
      <c r="T37" s="1" t="str">
        <f>IF(SUM(COUNTIFS('10_21_10_27'!E:E,'10_21_10_27 Acc Rate'!C37,'10_21_10_27'!P:P,"*E*"),COUNTIFS('10_21_10_27'!E:E,'10_21_10_27 Acc Rate'!C37,'10_21_10_27'!S:S,"*E*"))=0,"",SUM(COUNTIFS('10_21_10_27'!E:E,'10_21_10_27 Acc Rate'!C37,'10_21_10_27'!P:P,"*E*"),COUNTIFS('10_21_10_27'!E:E,'10_21_10_27 Acc Rate'!C37,'10_21_10_27'!S:S,"*E*")))</f>
        <v/>
      </c>
      <c r="U37" s="8">
        <f t="shared" si="1"/>
        <v>0</v>
      </c>
    </row>
    <row r="38" spans="2:21" ht="15" customHeight="1" x14ac:dyDescent="0.25">
      <c r="B38" s="1" t="s">
        <v>668</v>
      </c>
      <c r="C38" s="1" t="s">
        <v>669</v>
      </c>
      <c r="D38" s="1" t="s">
        <v>670</v>
      </c>
      <c r="E38"/>
      <c r="F38" t="s">
        <v>671</v>
      </c>
      <c r="G38" t="s">
        <v>672</v>
      </c>
      <c r="H38" t="s">
        <v>583</v>
      </c>
      <c r="I38" t="s">
        <v>673</v>
      </c>
      <c r="J38" t="s">
        <v>667</v>
      </c>
      <c r="K38" t="s">
        <v>663</v>
      </c>
      <c r="L38"/>
      <c r="M38">
        <v>1</v>
      </c>
      <c r="N38"/>
      <c r="O38"/>
      <c r="P38"/>
      <c r="Q38" s="7"/>
      <c r="R38" s="27" t="str">
        <f t="shared" si="0"/>
        <v/>
      </c>
      <c r="S38" s="27" t="str">
        <f>IF(SUM(COUNTIFS('10_21_10_27'!E:E,'10_21_10_27 Acc Rate'!C38,'10_21_10_27'!O:O,"*M*"),COUNTIFS('10_21_10_27'!E:E,'10_21_10_27 Acc Rate'!C38,'10_21_10_27'!R:R,"*M*"))=0,"",SUM(COUNTIFS('10_21_10_27'!E:E,'10_21_10_27 Acc Rate'!C38,'10_21_10_27'!O:O,"*M*"),COUNTIFS('10_21_10_27'!E:E,'10_21_10_27 Acc Rate'!C38,'10_21_10_27'!R:R,"*M*")))</f>
        <v/>
      </c>
      <c r="T38" s="1" t="str">
        <f>IF(SUM(COUNTIFS('10_21_10_27'!E:E,'10_21_10_27 Acc Rate'!C38,'10_21_10_27'!P:P,"*E*"),COUNTIFS('10_21_10_27'!E:E,'10_21_10_27 Acc Rate'!C38,'10_21_10_27'!S:S,"*E*"))=0,"",SUM(COUNTIFS('10_21_10_27'!E:E,'10_21_10_27 Acc Rate'!C38,'10_21_10_27'!P:P,"*E*"),COUNTIFS('10_21_10_27'!E:E,'10_21_10_27 Acc Rate'!C38,'10_21_10_27'!S:S,"*E*")))</f>
        <v/>
      </c>
      <c r="U38" s="8" t="str">
        <f t="shared" si="1"/>
        <v/>
      </c>
    </row>
    <row r="39" spans="2:21" ht="15" customHeight="1" x14ac:dyDescent="0.25">
      <c r="B39" s="1" t="s">
        <v>674</v>
      </c>
      <c r="C39" s="1" t="s">
        <v>411</v>
      </c>
      <c r="D39" s="1" t="s">
        <v>412</v>
      </c>
      <c r="E39"/>
      <c r="F39" t="s">
        <v>675</v>
      </c>
      <c r="G39" t="s">
        <v>676</v>
      </c>
      <c r="H39" t="s">
        <v>583</v>
      </c>
      <c r="I39" t="s">
        <v>677</v>
      </c>
      <c r="J39" t="s">
        <v>667</v>
      </c>
      <c r="K39" t="s">
        <v>663</v>
      </c>
      <c r="L39"/>
      <c r="M39">
        <v>1</v>
      </c>
      <c r="N39"/>
      <c r="O39"/>
      <c r="P39"/>
      <c r="Q39" s="7">
        <v>7</v>
      </c>
      <c r="R39" s="27">
        <f t="shared" si="0"/>
        <v>7</v>
      </c>
      <c r="S39" s="27" t="str">
        <f>IF(SUM(COUNTIFS('10_21_10_27'!E:E,'10_21_10_27 Acc Rate'!C39,'10_21_10_27'!O:O,"*M*"),COUNTIFS('10_21_10_27'!E:E,'10_21_10_27 Acc Rate'!C39,'10_21_10_27'!R:R,"*M*"))=0,"",SUM(COUNTIFS('10_21_10_27'!E:E,'10_21_10_27 Acc Rate'!C39,'10_21_10_27'!O:O,"*M*"),COUNTIFS('10_21_10_27'!E:E,'10_21_10_27 Acc Rate'!C39,'10_21_10_27'!R:R,"*M*")))</f>
        <v/>
      </c>
      <c r="T39" s="1" t="str">
        <f>IF(SUM(COUNTIFS('10_21_10_27'!E:E,'10_21_10_27 Acc Rate'!C39,'10_21_10_27'!P:P,"*E*"),COUNTIFS('10_21_10_27'!E:E,'10_21_10_27 Acc Rate'!C39,'10_21_10_27'!S:S,"*E*"))=0,"",SUM(COUNTIFS('10_21_10_27'!E:E,'10_21_10_27 Acc Rate'!C39,'10_21_10_27'!P:P,"*E*"),COUNTIFS('10_21_10_27'!E:E,'10_21_10_27 Acc Rate'!C39,'10_21_10_27'!S:S,"*E*")))</f>
        <v/>
      </c>
      <c r="U39" s="8">
        <f t="shared" si="1"/>
        <v>0</v>
      </c>
    </row>
    <row r="40" spans="2:21" ht="15" customHeight="1" x14ac:dyDescent="0.25">
      <c r="B40" s="1" t="s">
        <v>678</v>
      </c>
      <c r="C40" s="1" t="s">
        <v>679</v>
      </c>
      <c r="D40" s="1" t="s">
        <v>680</v>
      </c>
      <c r="E40"/>
      <c r="F40" t="s">
        <v>681</v>
      </c>
      <c r="G40" t="s">
        <v>682</v>
      </c>
      <c r="H40" t="s">
        <v>583</v>
      </c>
      <c r="I40" t="s">
        <v>683</v>
      </c>
      <c r="J40" t="s">
        <v>607</v>
      </c>
      <c r="K40"/>
      <c r="L40"/>
      <c r="M40">
        <v>1</v>
      </c>
      <c r="N40"/>
      <c r="O40"/>
      <c r="P40"/>
      <c r="Q40" s="7"/>
      <c r="R40" s="27" t="str">
        <f t="shared" si="0"/>
        <v/>
      </c>
      <c r="S40" s="27" t="str">
        <f>IF(SUM(COUNTIFS('10_21_10_27'!E:E,'10_21_10_27 Acc Rate'!C40,'10_21_10_27'!O:O,"*M*"),COUNTIFS('10_21_10_27'!E:E,'10_21_10_27 Acc Rate'!C40,'10_21_10_27'!R:R,"*M*"))=0,"",SUM(COUNTIFS('10_21_10_27'!E:E,'10_21_10_27 Acc Rate'!C40,'10_21_10_27'!O:O,"*M*"),COUNTIFS('10_21_10_27'!E:E,'10_21_10_27 Acc Rate'!C40,'10_21_10_27'!R:R,"*M*")))</f>
        <v/>
      </c>
      <c r="T40" s="1" t="str">
        <f>IF(SUM(COUNTIFS('10_21_10_27'!E:E,'10_21_10_27 Acc Rate'!C40,'10_21_10_27'!P:P,"*E*"),COUNTIFS('10_21_10_27'!E:E,'10_21_10_27 Acc Rate'!C40,'10_21_10_27'!S:S,"*E*"))=0,"",SUM(COUNTIFS('10_21_10_27'!E:E,'10_21_10_27 Acc Rate'!C40,'10_21_10_27'!P:P,"*E*"),COUNTIFS('10_21_10_27'!E:E,'10_21_10_27 Acc Rate'!C40,'10_21_10_27'!S:S,"*E*")))</f>
        <v/>
      </c>
      <c r="U40" s="8" t="str">
        <f t="shared" si="1"/>
        <v/>
      </c>
    </row>
    <row r="41" spans="2:21" ht="15" customHeight="1" x14ac:dyDescent="0.25">
      <c r="B41" s="1" t="s">
        <v>684</v>
      </c>
      <c r="C41" s="1" t="s">
        <v>84</v>
      </c>
      <c r="D41" s="1" t="s">
        <v>273</v>
      </c>
      <c r="E41"/>
      <c r="F41" t="s">
        <v>685</v>
      </c>
      <c r="G41" t="s">
        <v>686</v>
      </c>
      <c r="H41" t="s">
        <v>583</v>
      </c>
      <c r="I41" t="s">
        <v>687</v>
      </c>
      <c r="J41" t="s">
        <v>688</v>
      </c>
      <c r="K41" t="s">
        <v>683</v>
      </c>
      <c r="L41"/>
      <c r="M41">
        <v>1</v>
      </c>
      <c r="N41"/>
      <c r="O41"/>
      <c r="P41"/>
      <c r="Q41" s="7"/>
      <c r="R41" s="27" t="str">
        <f t="shared" si="0"/>
        <v/>
      </c>
      <c r="S41" s="27" t="str">
        <f>IF(SUM(COUNTIFS('10_21_10_27'!E:E,'10_21_10_27 Acc Rate'!C41,'10_21_10_27'!O:O,"*M*"),COUNTIFS('10_21_10_27'!E:E,'10_21_10_27 Acc Rate'!C41,'10_21_10_27'!R:R,"*M*"))=0,"",SUM(COUNTIFS('10_21_10_27'!E:E,'10_21_10_27 Acc Rate'!C41,'10_21_10_27'!O:O,"*M*"),COUNTIFS('10_21_10_27'!E:E,'10_21_10_27 Acc Rate'!C41,'10_21_10_27'!R:R,"*M*")))</f>
        <v/>
      </c>
      <c r="T41" s="1" t="str">
        <f>IF(SUM(COUNTIFS('10_21_10_27'!E:E,'10_21_10_27 Acc Rate'!C41,'10_21_10_27'!P:P,"*E*"),COUNTIFS('10_21_10_27'!E:E,'10_21_10_27 Acc Rate'!C41,'10_21_10_27'!S:S,"*E*"))=0,"",SUM(COUNTIFS('10_21_10_27'!E:E,'10_21_10_27 Acc Rate'!C41,'10_21_10_27'!P:P,"*E*"),COUNTIFS('10_21_10_27'!E:E,'10_21_10_27 Acc Rate'!C41,'10_21_10_27'!S:S,"*E*")))</f>
        <v/>
      </c>
      <c r="U41" s="8" t="str">
        <f t="shared" si="1"/>
        <v/>
      </c>
    </row>
    <row r="42" spans="2:21" ht="15" customHeight="1" x14ac:dyDescent="0.25">
      <c r="B42" s="1" t="s">
        <v>689</v>
      </c>
      <c r="C42" s="1" t="s">
        <v>690</v>
      </c>
      <c r="D42" s="1" t="s">
        <v>691</v>
      </c>
      <c r="E42"/>
      <c r="F42" t="s">
        <v>692</v>
      </c>
      <c r="G42" t="s">
        <v>693</v>
      </c>
      <c r="H42" t="s">
        <v>583</v>
      </c>
      <c r="I42" t="s">
        <v>694</v>
      </c>
      <c r="J42" t="s">
        <v>688</v>
      </c>
      <c r="K42" t="s">
        <v>683</v>
      </c>
      <c r="L42"/>
      <c r="M42">
        <v>1</v>
      </c>
      <c r="N42"/>
      <c r="O42"/>
      <c r="P42"/>
      <c r="Q42" s="7"/>
      <c r="R42" s="27" t="str">
        <f t="shared" si="0"/>
        <v/>
      </c>
      <c r="S42" s="27" t="str">
        <f>IF(SUM(COUNTIFS('10_21_10_27'!E:E,'10_21_10_27 Acc Rate'!C42,'10_21_10_27'!O:O,"*M*"),COUNTIFS('10_21_10_27'!E:E,'10_21_10_27 Acc Rate'!C42,'10_21_10_27'!R:R,"*M*"))=0,"",SUM(COUNTIFS('10_21_10_27'!E:E,'10_21_10_27 Acc Rate'!C42,'10_21_10_27'!O:O,"*M*"),COUNTIFS('10_21_10_27'!E:E,'10_21_10_27 Acc Rate'!C42,'10_21_10_27'!R:R,"*M*")))</f>
        <v/>
      </c>
      <c r="T42" s="1" t="str">
        <f>IF(SUM(COUNTIFS('10_21_10_27'!E:E,'10_21_10_27 Acc Rate'!C42,'10_21_10_27'!P:P,"*E*"),COUNTIFS('10_21_10_27'!E:E,'10_21_10_27 Acc Rate'!C42,'10_21_10_27'!S:S,"*E*"))=0,"",SUM(COUNTIFS('10_21_10_27'!E:E,'10_21_10_27 Acc Rate'!C42,'10_21_10_27'!P:P,"*E*"),COUNTIFS('10_21_10_27'!E:E,'10_21_10_27 Acc Rate'!C42,'10_21_10_27'!S:S,"*E*")))</f>
        <v/>
      </c>
      <c r="U42" s="8" t="str">
        <f t="shared" si="1"/>
        <v/>
      </c>
    </row>
    <row r="43" spans="2:21" ht="15" customHeight="1" x14ac:dyDescent="0.25">
      <c r="B43" s="1" t="s">
        <v>695</v>
      </c>
      <c r="C43" s="1" t="s">
        <v>696</v>
      </c>
      <c r="D43" s="1" t="s">
        <v>697</v>
      </c>
      <c r="E43"/>
      <c r="F43" t="s">
        <v>698</v>
      </c>
      <c r="G43" t="s">
        <v>699</v>
      </c>
      <c r="H43" t="s">
        <v>583</v>
      </c>
      <c r="I43" t="s">
        <v>700</v>
      </c>
      <c r="J43" t="s">
        <v>607</v>
      </c>
      <c r="K43"/>
      <c r="L43"/>
      <c r="M43">
        <v>1</v>
      </c>
      <c r="N43"/>
      <c r="O43"/>
      <c r="P43"/>
      <c r="Q43" s="7"/>
      <c r="R43" s="27" t="str">
        <f t="shared" si="0"/>
        <v/>
      </c>
      <c r="S43" s="27" t="str">
        <f>IF(SUM(COUNTIFS('10_21_10_27'!E:E,'10_21_10_27 Acc Rate'!C43,'10_21_10_27'!O:O,"*M*"),COUNTIFS('10_21_10_27'!E:E,'10_21_10_27 Acc Rate'!C43,'10_21_10_27'!R:R,"*M*"))=0,"",SUM(COUNTIFS('10_21_10_27'!E:E,'10_21_10_27 Acc Rate'!C43,'10_21_10_27'!O:O,"*M*"),COUNTIFS('10_21_10_27'!E:E,'10_21_10_27 Acc Rate'!C43,'10_21_10_27'!R:R,"*M*")))</f>
        <v/>
      </c>
      <c r="T43" s="1" t="str">
        <f>IF(SUM(COUNTIFS('10_21_10_27'!E:E,'10_21_10_27 Acc Rate'!C43,'10_21_10_27'!P:P,"*E*"),COUNTIFS('10_21_10_27'!E:E,'10_21_10_27 Acc Rate'!C43,'10_21_10_27'!S:S,"*E*"))=0,"",SUM(COUNTIFS('10_21_10_27'!E:E,'10_21_10_27 Acc Rate'!C43,'10_21_10_27'!P:P,"*E*"),COUNTIFS('10_21_10_27'!E:E,'10_21_10_27 Acc Rate'!C43,'10_21_10_27'!S:S,"*E*")))</f>
        <v/>
      </c>
      <c r="U43" s="8" t="str">
        <f t="shared" si="1"/>
        <v/>
      </c>
    </row>
    <row r="44" spans="2:21" ht="15" customHeight="1" x14ac:dyDescent="0.25">
      <c r="B44" s="1" t="s">
        <v>701</v>
      </c>
      <c r="C44" s="1" t="s">
        <v>696</v>
      </c>
      <c r="D44" s="1" t="s">
        <v>702</v>
      </c>
      <c r="E44"/>
      <c r="F44" t="s">
        <v>703</v>
      </c>
      <c r="G44" t="s">
        <v>704</v>
      </c>
      <c r="H44" t="s">
        <v>583</v>
      </c>
      <c r="I44" t="s">
        <v>705</v>
      </c>
      <c r="J44" t="s">
        <v>706</v>
      </c>
      <c r="K44" t="s">
        <v>700</v>
      </c>
      <c r="L44"/>
      <c r="M44">
        <v>1</v>
      </c>
      <c r="N44"/>
      <c r="O44"/>
      <c r="P44"/>
      <c r="Q44" s="7"/>
      <c r="R44" s="27" t="str">
        <f t="shared" si="0"/>
        <v/>
      </c>
      <c r="S44" s="27" t="str">
        <f>IF(SUM(COUNTIFS('10_21_10_27'!E:E,'10_21_10_27 Acc Rate'!C44,'10_21_10_27'!O:O,"*M*"),COUNTIFS('10_21_10_27'!E:E,'10_21_10_27 Acc Rate'!C44,'10_21_10_27'!R:R,"*M*"))=0,"",SUM(COUNTIFS('10_21_10_27'!E:E,'10_21_10_27 Acc Rate'!C44,'10_21_10_27'!O:O,"*M*"),COUNTIFS('10_21_10_27'!E:E,'10_21_10_27 Acc Rate'!C44,'10_21_10_27'!R:R,"*M*")))</f>
        <v/>
      </c>
      <c r="T44" s="1" t="str">
        <f>IF(SUM(COUNTIFS('10_21_10_27'!E:E,'10_21_10_27 Acc Rate'!C44,'10_21_10_27'!P:P,"*E*"),COUNTIFS('10_21_10_27'!E:E,'10_21_10_27 Acc Rate'!C44,'10_21_10_27'!S:S,"*E*"))=0,"",SUM(COUNTIFS('10_21_10_27'!E:E,'10_21_10_27 Acc Rate'!C44,'10_21_10_27'!P:P,"*E*"),COUNTIFS('10_21_10_27'!E:E,'10_21_10_27 Acc Rate'!C44,'10_21_10_27'!S:S,"*E*")))</f>
        <v/>
      </c>
      <c r="U44" s="8" t="str">
        <f t="shared" si="1"/>
        <v/>
      </c>
    </row>
    <row r="45" spans="2:21" ht="15" customHeight="1" x14ac:dyDescent="0.25">
      <c r="B45" s="1" t="s">
        <v>707</v>
      </c>
      <c r="C45" s="1" t="s">
        <v>708</v>
      </c>
      <c r="D45" s="1" t="s">
        <v>709</v>
      </c>
      <c r="E45"/>
      <c r="F45" t="s">
        <v>710</v>
      </c>
      <c r="G45" t="s">
        <v>711</v>
      </c>
      <c r="H45" t="s">
        <v>583</v>
      </c>
      <c r="I45" t="s">
        <v>712</v>
      </c>
      <c r="J45" t="s">
        <v>706</v>
      </c>
      <c r="K45" t="s">
        <v>700</v>
      </c>
      <c r="L45"/>
      <c r="M45">
        <v>1</v>
      </c>
      <c r="N45"/>
      <c r="O45"/>
      <c r="P45"/>
      <c r="Q45" s="7"/>
      <c r="R45" s="27" t="str">
        <f t="shared" si="0"/>
        <v/>
      </c>
      <c r="S45" s="27" t="str">
        <f>IF(SUM(COUNTIFS('10_21_10_27'!E:E,'10_21_10_27 Acc Rate'!C45,'10_21_10_27'!O:O,"*M*"),COUNTIFS('10_21_10_27'!E:E,'10_21_10_27 Acc Rate'!C45,'10_21_10_27'!R:R,"*M*"))=0,"",SUM(COUNTIFS('10_21_10_27'!E:E,'10_21_10_27 Acc Rate'!C45,'10_21_10_27'!O:O,"*M*"),COUNTIFS('10_21_10_27'!E:E,'10_21_10_27 Acc Rate'!C45,'10_21_10_27'!R:R,"*M*")))</f>
        <v/>
      </c>
      <c r="T45" s="1" t="str">
        <f>IF(SUM(COUNTIFS('10_21_10_27'!E:E,'10_21_10_27 Acc Rate'!C45,'10_21_10_27'!P:P,"*E*"),COUNTIFS('10_21_10_27'!E:E,'10_21_10_27 Acc Rate'!C45,'10_21_10_27'!S:S,"*E*"))=0,"",SUM(COUNTIFS('10_21_10_27'!E:E,'10_21_10_27 Acc Rate'!C45,'10_21_10_27'!P:P,"*E*"),COUNTIFS('10_21_10_27'!E:E,'10_21_10_27 Acc Rate'!C45,'10_21_10_27'!S:S,"*E*")))</f>
        <v/>
      </c>
      <c r="U45" s="8" t="str">
        <f t="shared" si="1"/>
        <v/>
      </c>
    </row>
    <row r="46" spans="2:21" ht="15" customHeight="1" x14ac:dyDescent="0.25">
      <c r="B46" s="1" t="s">
        <v>713</v>
      </c>
      <c r="C46" s="1" t="s">
        <v>714</v>
      </c>
      <c r="D46" s="1" t="s">
        <v>715</v>
      </c>
      <c r="E46"/>
      <c r="F46" t="s">
        <v>716</v>
      </c>
      <c r="G46" t="s">
        <v>717</v>
      </c>
      <c r="H46" t="s">
        <v>583</v>
      </c>
      <c r="I46" t="s">
        <v>718</v>
      </c>
      <c r="J46" t="s">
        <v>706</v>
      </c>
      <c r="K46" t="s">
        <v>700</v>
      </c>
      <c r="L46"/>
      <c r="M46">
        <v>1</v>
      </c>
      <c r="N46"/>
      <c r="O46"/>
      <c r="P46"/>
      <c r="Q46" s="7"/>
      <c r="R46" s="27" t="str">
        <f t="shared" si="0"/>
        <v/>
      </c>
      <c r="S46" s="27" t="str">
        <f>IF(SUM(COUNTIFS('10_21_10_27'!E:E,'10_21_10_27 Acc Rate'!C46,'10_21_10_27'!O:O,"*M*"),COUNTIFS('10_21_10_27'!E:E,'10_21_10_27 Acc Rate'!C46,'10_21_10_27'!R:R,"*M*"))=0,"",SUM(COUNTIFS('10_21_10_27'!E:E,'10_21_10_27 Acc Rate'!C46,'10_21_10_27'!O:O,"*M*"),COUNTIFS('10_21_10_27'!E:E,'10_21_10_27 Acc Rate'!C46,'10_21_10_27'!R:R,"*M*")))</f>
        <v/>
      </c>
      <c r="T46" s="1" t="str">
        <f>IF(SUM(COUNTIFS('10_21_10_27'!E:E,'10_21_10_27 Acc Rate'!C46,'10_21_10_27'!P:P,"*E*"),COUNTIFS('10_21_10_27'!E:E,'10_21_10_27 Acc Rate'!C46,'10_21_10_27'!S:S,"*E*"))=0,"",SUM(COUNTIFS('10_21_10_27'!E:E,'10_21_10_27 Acc Rate'!C46,'10_21_10_27'!P:P,"*E*"),COUNTIFS('10_21_10_27'!E:E,'10_21_10_27 Acc Rate'!C46,'10_21_10_27'!S:S,"*E*")))</f>
        <v/>
      </c>
      <c r="U46" s="8" t="str">
        <f t="shared" si="1"/>
        <v/>
      </c>
    </row>
    <row r="47" spans="2:21" ht="15" customHeight="1" x14ac:dyDescent="0.25">
      <c r="B47" s="1" t="s">
        <v>719</v>
      </c>
      <c r="C47" s="1" t="s">
        <v>556</v>
      </c>
      <c r="D47" s="1" t="s">
        <v>720</v>
      </c>
      <c r="E47"/>
      <c r="F47" t="s">
        <v>721</v>
      </c>
      <c r="G47" t="s">
        <v>722</v>
      </c>
      <c r="H47" t="s">
        <v>583</v>
      </c>
      <c r="I47" t="s">
        <v>723</v>
      </c>
      <c r="J47" t="s">
        <v>706</v>
      </c>
      <c r="K47" t="s">
        <v>700</v>
      </c>
      <c r="L47"/>
      <c r="M47">
        <v>1</v>
      </c>
      <c r="N47"/>
      <c r="O47"/>
      <c r="P47"/>
      <c r="Q47" s="7"/>
      <c r="R47" s="27">
        <f t="shared" si="0"/>
        <v>-2</v>
      </c>
      <c r="S47" s="27">
        <f>IF(SUM(COUNTIFS('10_21_10_27'!E:E,'10_21_10_27 Acc Rate'!C47,'10_21_10_27'!O:O,"*M*"),COUNTIFS('10_21_10_27'!E:E,'10_21_10_27 Acc Rate'!C47,'10_21_10_27'!R:R,"*M*"))=0,"",SUM(COUNTIFS('10_21_10_27'!E:E,'10_21_10_27 Acc Rate'!C47,'10_21_10_27'!O:O,"*M*"),COUNTIFS('10_21_10_27'!E:E,'10_21_10_27 Acc Rate'!C47,'10_21_10_27'!R:R,"*M*")))</f>
        <v>1</v>
      </c>
      <c r="T47" s="1">
        <f>IF(SUM(COUNTIFS('10_21_10_27'!E:E,'10_21_10_27 Acc Rate'!C47,'10_21_10_27'!P:P,"*E*"),COUNTIFS('10_21_10_27'!E:E,'10_21_10_27 Acc Rate'!C47,'10_21_10_27'!S:S,"*E*"))=0,"",SUM(COUNTIFS('10_21_10_27'!E:E,'10_21_10_27 Acc Rate'!C47,'10_21_10_27'!P:P,"*E*"),COUNTIFS('10_21_10_27'!E:E,'10_21_10_27 Acc Rate'!C47,'10_21_10_27'!S:S,"*E*")))</f>
        <v>1</v>
      </c>
      <c r="U47" s="8"/>
    </row>
    <row r="48" spans="2:21" x14ac:dyDescent="0.25">
      <c r="M48" s="1" t="s">
        <v>724</v>
      </c>
      <c r="Q48" s="1">
        <f>SUM(Q3:Q46)</f>
        <v>5375</v>
      </c>
      <c r="R48" s="27">
        <f>SUM(R3:R46)</f>
        <v>5369</v>
      </c>
      <c r="S48" s="27">
        <f>SUM(S3:S46)</f>
        <v>2</v>
      </c>
      <c r="T48" s="1">
        <f>SUM(T3:T46)</f>
        <v>4</v>
      </c>
      <c r="U48" s="2">
        <f>IFERROR(SUM(S47*8+T47*2)/Q47,0)</f>
        <v>0</v>
      </c>
    </row>
  </sheetData>
  <mergeCells count="3">
    <mergeCell ref="W3:X3"/>
    <mergeCell ref="W7:X7"/>
    <mergeCell ref="W8:X8"/>
  </mergeCells>
  <conditionalFormatting sqref="B1:P1048576">
    <cfRule type="expression" dxfId="176" priority="6">
      <formula>$H1="Service Center"</formula>
    </cfRule>
    <cfRule type="expression" dxfId="175" priority="7">
      <formula>$H1="COBRA"</formula>
    </cfRule>
    <cfRule type="expression" dxfId="174" priority="8">
      <formula>$H1="Claims"</formula>
    </cfRule>
  </conditionalFormatting>
  <conditionalFormatting sqref="B1:U1048576">
    <cfRule type="expression" dxfId="173" priority="4">
      <formula>NOT(ISBLANK($B1))</formula>
    </cfRule>
    <cfRule type="expression" dxfId="172" priority="5">
      <formula>AND($H1="Service Center",$M1=15)</formula>
    </cfRule>
    <cfRule type="expression" dxfId="171" priority="9">
      <formula>$B1="Full Name"</formula>
    </cfRule>
    <cfRule type="expression" dxfId="170" priority="10">
      <formula>$M1="Totals"</formula>
    </cfRule>
  </conditionalFormatting>
  <conditionalFormatting sqref="Q2">
    <cfRule type="expression" dxfId="169" priority="1">
      <formula>$H2="Service Center"</formula>
    </cfRule>
    <cfRule type="expression" dxfId="168" priority="2">
      <formula>$H2="COBRA"</formula>
    </cfRule>
    <cfRule type="expression" dxfId="167" priority="3">
      <formula>$H2="Claims"</formula>
    </cfRule>
  </conditionalFormatting>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E95E52-7343-4B84-B44B-D6E90B8FC1B5}">
  <sheetPr codeName="Sheet18"/>
  <dimension ref="A1:U178"/>
  <sheetViews>
    <sheetView topLeftCell="A54" zoomScale="90" zoomScaleNormal="90" workbookViewId="0">
      <selection activeCell="D66" sqref="D66"/>
    </sheetView>
  </sheetViews>
  <sheetFormatPr defaultRowHeight="15" x14ac:dyDescent="0.25"/>
  <cols>
    <col min="1" max="1" width="6.7109375" customWidth="1"/>
    <col min="2" max="2" width="10.85546875" customWidth="1"/>
    <col min="3" max="4" width="6.7109375" customWidth="1"/>
    <col min="5" max="6" width="15.7109375" customWidth="1"/>
    <col min="7" max="7" width="26.140625" customWidth="1"/>
    <col min="8" max="9" width="15.7109375" customWidth="1"/>
    <col min="10" max="12" width="10.7109375" customWidth="1"/>
    <col min="13" max="13" width="14.5703125" style="21" bestFit="1" customWidth="1"/>
    <col min="14" max="14" width="12.7109375" customWidth="1"/>
    <col min="15" max="16" width="10.7109375" customWidth="1"/>
    <col min="17" max="17" width="30.7109375" customWidth="1"/>
    <col min="18" max="19" width="17.7109375" customWidth="1"/>
    <col min="20" max="20" width="30.7109375" customWidth="1"/>
    <col min="21" max="21" width="8.7109375" customWidth="1"/>
  </cols>
  <sheetData>
    <row r="1" spans="1:21" ht="51" x14ac:dyDescent="0.25">
      <c r="A1" s="42" t="s">
        <v>0</v>
      </c>
      <c r="B1" s="42" t="s">
        <v>1</v>
      </c>
      <c r="C1" s="42" t="s">
        <v>2</v>
      </c>
      <c r="D1" s="42" t="s">
        <v>3</v>
      </c>
      <c r="E1" s="42" t="s">
        <v>4</v>
      </c>
      <c r="F1" s="42" t="s">
        <v>5</v>
      </c>
      <c r="G1" s="42" t="s">
        <v>6</v>
      </c>
      <c r="H1" s="42" t="s">
        <v>7</v>
      </c>
      <c r="I1" s="42" t="s">
        <v>8</v>
      </c>
      <c r="J1" s="42" t="s">
        <v>9</v>
      </c>
      <c r="K1" s="42" t="s">
        <v>10</v>
      </c>
      <c r="L1" s="42" t="s">
        <v>11</v>
      </c>
      <c r="M1" s="43" t="s">
        <v>12</v>
      </c>
      <c r="N1" s="42" t="s">
        <v>13</v>
      </c>
      <c r="O1" s="42" t="s">
        <v>14</v>
      </c>
      <c r="P1" s="42" t="s">
        <v>15</v>
      </c>
      <c r="Q1" s="42" t="s">
        <v>16</v>
      </c>
      <c r="R1" s="42" t="s">
        <v>17</v>
      </c>
      <c r="S1" s="42" t="s">
        <v>18</v>
      </c>
      <c r="T1" s="42" t="s">
        <v>16</v>
      </c>
      <c r="U1" s="44" t="s">
        <v>19</v>
      </c>
    </row>
    <row r="2" spans="1:21" x14ac:dyDescent="0.25">
      <c r="A2" s="45" t="s">
        <v>20</v>
      </c>
      <c r="B2" s="46">
        <v>45631</v>
      </c>
      <c r="C2" s="45" t="s">
        <v>168</v>
      </c>
      <c r="D2" s="47"/>
      <c r="E2" s="45" t="s">
        <v>563</v>
      </c>
      <c r="F2" s="45" t="s">
        <v>564</v>
      </c>
      <c r="G2" s="45" t="s">
        <v>30</v>
      </c>
      <c r="H2" s="45" t="s">
        <v>1422</v>
      </c>
      <c r="I2" s="45" t="s">
        <v>1423</v>
      </c>
      <c r="J2" s="45">
        <v>575299833</v>
      </c>
      <c r="K2" s="45" t="s">
        <v>1227</v>
      </c>
      <c r="L2" s="48">
        <v>7.12</v>
      </c>
      <c r="M2" s="49">
        <v>202410301045</v>
      </c>
      <c r="N2" s="50" t="s">
        <v>28</v>
      </c>
      <c r="O2" s="50"/>
      <c r="P2" s="50"/>
      <c r="Q2" s="51"/>
      <c r="R2" s="50"/>
      <c r="S2" s="50"/>
      <c r="T2" s="51"/>
      <c r="U2" s="50"/>
    </row>
    <row r="3" spans="1:21" ht="45" x14ac:dyDescent="0.25">
      <c r="A3" s="45" t="s">
        <v>20</v>
      </c>
      <c r="B3" s="46">
        <v>45631</v>
      </c>
      <c r="C3" s="45" t="s">
        <v>168</v>
      </c>
      <c r="D3" s="47"/>
      <c r="E3" s="45" t="s">
        <v>563</v>
      </c>
      <c r="F3" s="45" t="s">
        <v>564</v>
      </c>
      <c r="G3" s="45" t="s">
        <v>30</v>
      </c>
      <c r="H3" s="45" t="s">
        <v>1177</v>
      </c>
      <c r="I3" s="45" t="s">
        <v>1424</v>
      </c>
      <c r="J3" s="45">
        <v>575941236</v>
      </c>
      <c r="K3" s="45" t="s">
        <v>1230</v>
      </c>
      <c r="L3" s="48">
        <v>325.57</v>
      </c>
      <c r="M3" s="49">
        <v>202410301040</v>
      </c>
      <c r="N3" s="50"/>
      <c r="O3" s="50" t="s">
        <v>124</v>
      </c>
      <c r="P3" s="50"/>
      <c r="Q3" s="51" t="s">
        <v>1425</v>
      </c>
      <c r="R3" s="50"/>
      <c r="S3" s="50"/>
      <c r="T3" s="51"/>
      <c r="U3" s="50"/>
    </row>
    <row r="4" spans="1:21" ht="25.5" x14ac:dyDescent="0.25">
      <c r="A4" s="45" t="s">
        <v>20</v>
      </c>
      <c r="B4" s="46">
        <v>45631</v>
      </c>
      <c r="C4" s="45" t="s">
        <v>168</v>
      </c>
      <c r="D4" s="47"/>
      <c r="E4" s="45" t="s">
        <v>563</v>
      </c>
      <c r="F4" s="45" t="s">
        <v>564</v>
      </c>
      <c r="G4" s="45" t="s">
        <v>120</v>
      </c>
      <c r="H4" s="45" t="s">
        <v>1426</v>
      </c>
      <c r="I4" s="45" t="s">
        <v>1427</v>
      </c>
      <c r="J4" s="45">
        <v>576175619</v>
      </c>
      <c r="K4" s="45" t="s">
        <v>1261</v>
      </c>
      <c r="L4" s="48">
        <v>8.3699999999999992</v>
      </c>
      <c r="M4" s="49">
        <v>202410301043</v>
      </c>
      <c r="N4" s="50" t="s">
        <v>28</v>
      </c>
      <c r="O4" s="50"/>
      <c r="P4" s="50"/>
      <c r="Q4" s="51"/>
      <c r="R4" s="50"/>
      <c r="S4" s="50"/>
      <c r="T4" s="51"/>
      <c r="U4" s="50"/>
    </row>
    <row r="5" spans="1:21" x14ac:dyDescent="0.25">
      <c r="A5" s="45" t="s">
        <v>38</v>
      </c>
      <c r="B5" s="46">
        <v>45631</v>
      </c>
      <c r="C5" s="45" t="s">
        <v>168</v>
      </c>
      <c r="D5" s="47"/>
      <c r="E5" s="45" t="s">
        <v>22</v>
      </c>
      <c r="F5" s="45" t="s">
        <v>23</v>
      </c>
      <c r="G5" s="45" t="s">
        <v>1428</v>
      </c>
      <c r="H5" s="45" t="s">
        <v>1429</v>
      </c>
      <c r="I5" s="45" t="s">
        <v>1430</v>
      </c>
      <c r="J5" s="45">
        <v>338402247</v>
      </c>
      <c r="K5" s="45" t="s">
        <v>160</v>
      </c>
      <c r="L5" s="48">
        <v>8.44</v>
      </c>
      <c r="M5" s="49">
        <v>20241029572</v>
      </c>
      <c r="N5" s="50" t="s">
        <v>28</v>
      </c>
      <c r="O5" s="50"/>
      <c r="P5" s="50"/>
      <c r="Q5" s="51"/>
      <c r="R5" s="50"/>
      <c r="S5" s="50"/>
      <c r="T5" s="51"/>
      <c r="U5" s="50"/>
    </row>
    <row r="6" spans="1:21" x14ac:dyDescent="0.25">
      <c r="A6" s="45" t="s">
        <v>38</v>
      </c>
      <c r="B6" s="46">
        <v>45631</v>
      </c>
      <c r="C6" s="45" t="s">
        <v>168</v>
      </c>
      <c r="D6" s="47"/>
      <c r="E6" s="45" t="s">
        <v>22</v>
      </c>
      <c r="F6" s="45" t="s">
        <v>23</v>
      </c>
      <c r="G6" s="45" t="s">
        <v>1428</v>
      </c>
      <c r="H6" s="45" t="s">
        <v>1429</v>
      </c>
      <c r="I6" s="45" t="s">
        <v>1430</v>
      </c>
      <c r="J6" s="45">
        <v>338402247</v>
      </c>
      <c r="K6" s="45" t="s">
        <v>59</v>
      </c>
      <c r="L6" s="48">
        <v>6.99</v>
      </c>
      <c r="M6" s="49">
        <v>20241029573</v>
      </c>
      <c r="N6" s="50" t="s">
        <v>28</v>
      </c>
      <c r="O6" s="50"/>
      <c r="P6" s="50"/>
      <c r="Q6" s="51"/>
      <c r="R6" s="50"/>
      <c r="S6" s="50"/>
      <c r="T6" s="51"/>
      <c r="U6" s="50"/>
    </row>
    <row r="7" spans="1:21" x14ac:dyDescent="0.25">
      <c r="A7" s="45" t="s">
        <v>20</v>
      </c>
      <c r="B7" s="46">
        <v>45631</v>
      </c>
      <c r="C7" s="45" t="s">
        <v>168</v>
      </c>
      <c r="D7" s="47"/>
      <c r="E7" s="45" t="s">
        <v>22</v>
      </c>
      <c r="F7" s="45" t="s">
        <v>23</v>
      </c>
      <c r="G7" s="45" t="s">
        <v>210</v>
      </c>
      <c r="H7" s="45" t="s">
        <v>1330</v>
      </c>
      <c r="I7" s="45" t="s">
        <v>1331</v>
      </c>
      <c r="J7" s="45">
        <v>374903016</v>
      </c>
      <c r="K7" s="45" t="s">
        <v>1338</v>
      </c>
      <c r="L7" s="48">
        <v>660.2</v>
      </c>
      <c r="M7" s="49">
        <v>20241028719</v>
      </c>
      <c r="N7" s="50" t="s">
        <v>28</v>
      </c>
      <c r="O7" s="50"/>
      <c r="P7" s="50"/>
      <c r="Q7" s="51"/>
      <c r="R7" s="50"/>
      <c r="S7" s="50"/>
      <c r="T7" s="51"/>
      <c r="U7" s="50"/>
    </row>
    <row r="8" spans="1:21" x14ac:dyDescent="0.25">
      <c r="A8" s="45" t="s">
        <v>20</v>
      </c>
      <c r="B8" s="46">
        <v>45634</v>
      </c>
      <c r="C8" s="45" t="s">
        <v>21</v>
      </c>
      <c r="D8" s="47"/>
      <c r="E8" s="45" t="s">
        <v>22</v>
      </c>
      <c r="F8" s="45" t="s">
        <v>23</v>
      </c>
      <c r="G8" s="45" t="s">
        <v>178</v>
      </c>
      <c r="H8" s="45" t="s">
        <v>1431</v>
      </c>
      <c r="I8" s="45" t="s">
        <v>1432</v>
      </c>
      <c r="J8" s="64">
        <v>382686519</v>
      </c>
      <c r="K8" s="45" t="s">
        <v>63</v>
      </c>
      <c r="L8" s="48">
        <v>250</v>
      </c>
      <c r="M8" s="49">
        <v>20241029603</v>
      </c>
      <c r="N8" s="50"/>
      <c r="O8" s="50"/>
      <c r="P8" s="50"/>
      <c r="Q8" s="51"/>
      <c r="R8" s="50"/>
      <c r="S8" s="50"/>
      <c r="T8" s="51"/>
      <c r="U8" s="50"/>
    </row>
    <row r="9" spans="1:21" x14ac:dyDescent="0.25">
      <c r="A9" s="45" t="s">
        <v>20</v>
      </c>
      <c r="B9" s="46">
        <v>45634</v>
      </c>
      <c r="C9" s="45" t="s">
        <v>21</v>
      </c>
      <c r="D9" s="47"/>
      <c r="E9" s="45" t="s">
        <v>22</v>
      </c>
      <c r="F9" s="45" t="s">
        <v>23</v>
      </c>
      <c r="G9" s="45" t="s">
        <v>178</v>
      </c>
      <c r="H9" s="45" t="s">
        <v>1431</v>
      </c>
      <c r="I9" s="45" t="s">
        <v>1432</v>
      </c>
      <c r="J9" s="45">
        <v>382686519</v>
      </c>
      <c r="K9" s="45" t="s">
        <v>398</v>
      </c>
      <c r="L9" s="48">
        <v>409.87</v>
      </c>
      <c r="M9" s="49">
        <v>20241029602</v>
      </c>
      <c r="N9" s="50" t="s">
        <v>28</v>
      </c>
      <c r="O9" s="50"/>
      <c r="P9" s="50"/>
      <c r="Q9" s="51"/>
      <c r="R9" s="50"/>
      <c r="S9" s="50"/>
      <c r="T9" s="51"/>
      <c r="U9" s="50"/>
    </row>
    <row r="10" spans="1:21" x14ac:dyDescent="0.25">
      <c r="A10" s="45" t="s">
        <v>20</v>
      </c>
      <c r="B10" s="46">
        <v>45634</v>
      </c>
      <c r="C10" s="45" t="s">
        <v>21</v>
      </c>
      <c r="D10" s="47"/>
      <c r="E10" s="45" t="s">
        <v>22</v>
      </c>
      <c r="F10" s="45" t="s">
        <v>23</v>
      </c>
      <c r="G10" s="45" t="s">
        <v>30</v>
      </c>
      <c r="H10" s="45" t="s">
        <v>1433</v>
      </c>
      <c r="I10" s="45" t="s">
        <v>1434</v>
      </c>
      <c r="J10" s="45">
        <v>454332580</v>
      </c>
      <c r="K10" s="45" t="s">
        <v>1033</v>
      </c>
      <c r="L10" s="48">
        <v>465</v>
      </c>
      <c r="M10" s="49">
        <v>20241017356</v>
      </c>
      <c r="N10" s="50" t="s">
        <v>28</v>
      </c>
      <c r="O10" s="50"/>
      <c r="P10" s="50"/>
      <c r="Q10" s="51"/>
      <c r="R10" s="50"/>
      <c r="S10" s="50"/>
      <c r="T10" s="51"/>
      <c r="U10" s="50"/>
    </row>
    <row r="11" spans="1:21" ht="25.5" x14ac:dyDescent="0.25">
      <c r="A11" s="45" t="s">
        <v>29</v>
      </c>
      <c r="B11" s="46">
        <v>45634</v>
      </c>
      <c r="C11" s="45" t="s">
        <v>21</v>
      </c>
      <c r="D11" s="47"/>
      <c r="E11" s="45" t="s">
        <v>22</v>
      </c>
      <c r="F11" s="45" t="s">
        <v>23</v>
      </c>
      <c r="G11" s="45" t="s">
        <v>368</v>
      </c>
      <c r="H11" s="45" t="s">
        <v>1435</v>
      </c>
      <c r="I11" s="45" t="s">
        <v>1436</v>
      </c>
      <c r="J11" s="45">
        <v>461730775</v>
      </c>
      <c r="K11" s="45" t="s">
        <v>184</v>
      </c>
      <c r="L11" s="48">
        <v>631.20000000000005</v>
      </c>
      <c r="M11" s="49">
        <v>20241029719</v>
      </c>
      <c r="N11" s="50" t="s">
        <v>28</v>
      </c>
      <c r="O11" s="50"/>
      <c r="P11" s="50"/>
      <c r="Q11" s="51"/>
      <c r="R11" s="50"/>
      <c r="S11" s="50"/>
      <c r="T11" s="51"/>
      <c r="U11" s="50"/>
    </row>
    <row r="12" spans="1:21" x14ac:dyDescent="0.25">
      <c r="A12" s="45" t="s">
        <v>20</v>
      </c>
      <c r="B12" s="46">
        <v>45634</v>
      </c>
      <c r="C12" s="45" t="s">
        <v>21</v>
      </c>
      <c r="D12" s="47"/>
      <c r="E12" s="45" t="s">
        <v>22</v>
      </c>
      <c r="F12" s="45" t="s">
        <v>23</v>
      </c>
      <c r="G12" s="45" t="s">
        <v>1437</v>
      </c>
      <c r="H12" s="45" t="s">
        <v>1438</v>
      </c>
      <c r="I12" s="45" t="s">
        <v>1439</v>
      </c>
      <c r="J12" s="45">
        <v>461984701</v>
      </c>
      <c r="K12" s="45" t="s">
        <v>1071</v>
      </c>
      <c r="L12" s="48">
        <v>14.88</v>
      </c>
      <c r="M12" s="49">
        <v>20241029547</v>
      </c>
      <c r="N12" s="50" t="s">
        <v>28</v>
      </c>
      <c r="O12" s="50"/>
      <c r="P12" s="50"/>
      <c r="Q12" s="51"/>
      <c r="R12" s="50"/>
      <c r="S12" s="50"/>
      <c r="T12" s="51"/>
      <c r="U12" s="50"/>
    </row>
    <row r="13" spans="1:21" x14ac:dyDescent="0.25">
      <c r="A13" s="45" t="s">
        <v>20</v>
      </c>
      <c r="B13" s="46">
        <v>45634</v>
      </c>
      <c r="C13" s="45" t="s">
        <v>21</v>
      </c>
      <c r="D13" s="47"/>
      <c r="E13" s="45" t="s">
        <v>22</v>
      </c>
      <c r="F13" s="45" t="s">
        <v>23</v>
      </c>
      <c r="G13" s="45" t="s">
        <v>1437</v>
      </c>
      <c r="H13" s="45" t="s">
        <v>1438</v>
      </c>
      <c r="I13" s="45" t="s">
        <v>1439</v>
      </c>
      <c r="J13" s="45">
        <v>461984701</v>
      </c>
      <c r="K13" s="45" t="s">
        <v>1347</v>
      </c>
      <c r="L13" s="48">
        <v>60.95</v>
      </c>
      <c r="M13" s="49">
        <v>20241029548</v>
      </c>
      <c r="N13" s="50" t="s">
        <v>28</v>
      </c>
      <c r="O13" s="50"/>
      <c r="P13" s="50"/>
      <c r="Q13" s="51"/>
      <c r="R13" s="50"/>
      <c r="S13" s="50"/>
      <c r="T13" s="51"/>
      <c r="U13" s="50"/>
    </row>
    <row r="14" spans="1:21" x14ac:dyDescent="0.25">
      <c r="A14" s="45" t="s">
        <v>20</v>
      </c>
      <c r="B14" s="46">
        <v>45634</v>
      </c>
      <c r="C14" s="45" t="s">
        <v>21</v>
      </c>
      <c r="D14" s="47"/>
      <c r="E14" s="45" t="s">
        <v>22</v>
      </c>
      <c r="F14" s="45" t="s">
        <v>23</v>
      </c>
      <c r="G14" s="45" t="s">
        <v>1437</v>
      </c>
      <c r="H14" s="45" t="s">
        <v>1438</v>
      </c>
      <c r="I14" s="45" t="s">
        <v>1439</v>
      </c>
      <c r="J14" s="45">
        <v>461984701</v>
      </c>
      <c r="K14" s="45" t="s">
        <v>1005</v>
      </c>
      <c r="L14" s="48">
        <v>2.34</v>
      </c>
      <c r="M14" s="49">
        <v>20241029549</v>
      </c>
      <c r="N14" s="50" t="s">
        <v>28</v>
      </c>
      <c r="O14" s="50"/>
      <c r="P14" s="50"/>
      <c r="Q14" s="51"/>
      <c r="R14" s="50"/>
      <c r="S14" s="50"/>
      <c r="T14" s="51"/>
      <c r="U14" s="50"/>
    </row>
    <row r="15" spans="1:21" x14ac:dyDescent="0.25">
      <c r="A15" s="45" t="s">
        <v>20</v>
      </c>
      <c r="B15" s="46">
        <v>45634</v>
      </c>
      <c r="C15" s="45" t="s">
        <v>21</v>
      </c>
      <c r="D15" s="47"/>
      <c r="E15" s="45" t="s">
        <v>22</v>
      </c>
      <c r="F15" s="45" t="s">
        <v>23</v>
      </c>
      <c r="G15" s="45" t="s">
        <v>1437</v>
      </c>
      <c r="H15" s="45" t="s">
        <v>1438</v>
      </c>
      <c r="I15" s="45" t="s">
        <v>1439</v>
      </c>
      <c r="J15" s="45">
        <v>461984701</v>
      </c>
      <c r="K15" s="45" t="s">
        <v>269</v>
      </c>
      <c r="L15" s="48">
        <v>14.88</v>
      </c>
      <c r="M15" s="49">
        <v>20241029550</v>
      </c>
      <c r="N15" s="50" t="s">
        <v>28</v>
      </c>
      <c r="O15" s="50"/>
      <c r="P15" s="50"/>
      <c r="Q15" s="51"/>
      <c r="R15" s="50"/>
      <c r="S15" s="50"/>
      <c r="T15" s="51"/>
      <c r="U15" s="50"/>
    </row>
    <row r="16" spans="1:21" ht="25.5" x14ac:dyDescent="0.25">
      <c r="A16" s="45" t="s">
        <v>20</v>
      </c>
      <c r="B16" s="46">
        <v>45634</v>
      </c>
      <c r="C16" s="45" t="s">
        <v>21</v>
      </c>
      <c r="D16" s="47"/>
      <c r="E16" s="45" t="s">
        <v>22</v>
      </c>
      <c r="F16" s="45" t="s">
        <v>23</v>
      </c>
      <c r="G16" s="45" t="s">
        <v>1239</v>
      </c>
      <c r="H16" s="45" t="s">
        <v>1440</v>
      </c>
      <c r="I16" s="45" t="s">
        <v>1441</v>
      </c>
      <c r="J16" s="45">
        <v>466571362</v>
      </c>
      <c r="K16" s="45" t="s">
        <v>194</v>
      </c>
      <c r="L16" s="48">
        <v>190</v>
      </c>
      <c r="M16" s="49">
        <v>20241028745</v>
      </c>
      <c r="N16" s="50" t="s">
        <v>28</v>
      </c>
      <c r="O16" s="50"/>
      <c r="P16" s="50"/>
      <c r="Q16" s="51"/>
      <c r="R16" s="50"/>
      <c r="S16" s="50"/>
      <c r="T16" s="51"/>
      <c r="U16" s="50"/>
    </row>
    <row r="17" spans="1:21" ht="25.5" x14ac:dyDescent="0.25">
      <c r="A17" s="45" t="s">
        <v>20</v>
      </c>
      <c r="B17" s="46">
        <v>45634</v>
      </c>
      <c r="C17" s="45" t="s">
        <v>21</v>
      </c>
      <c r="D17" s="47"/>
      <c r="E17" s="45" t="s">
        <v>22</v>
      </c>
      <c r="F17" s="45" t="s">
        <v>23</v>
      </c>
      <c r="G17" s="45" t="s">
        <v>1239</v>
      </c>
      <c r="H17" s="45" t="s">
        <v>1440</v>
      </c>
      <c r="I17" s="45" t="s">
        <v>1441</v>
      </c>
      <c r="J17" s="45">
        <v>466571362</v>
      </c>
      <c r="K17" s="45" t="s">
        <v>926</v>
      </c>
      <c r="L17" s="48">
        <v>55.1</v>
      </c>
      <c r="M17" s="49">
        <v>20241028746</v>
      </c>
      <c r="N17" s="50" t="s">
        <v>28</v>
      </c>
      <c r="O17" s="50"/>
      <c r="P17" s="50"/>
      <c r="Q17" s="51"/>
      <c r="R17" s="50"/>
      <c r="S17" s="50"/>
      <c r="T17" s="51"/>
      <c r="U17" s="50"/>
    </row>
    <row r="18" spans="1:21" ht="25.5" x14ac:dyDescent="0.25">
      <c r="A18" s="45" t="s">
        <v>20</v>
      </c>
      <c r="B18" s="46">
        <v>45634</v>
      </c>
      <c r="C18" s="45" t="s">
        <v>21</v>
      </c>
      <c r="D18" s="47"/>
      <c r="E18" s="45" t="s">
        <v>22</v>
      </c>
      <c r="F18" s="45" t="s">
        <v>23</v>
      </c>
      <c r="G18" s="45" t="s">
        <v>1239</v>
      </c>
      <c r="H18" s="45" t="s">
        <v>1440</v>
      </c>
      <c r="I18" s="45" t="s">
        <v>1441</v>
      </c>
      <c r="J18" s="45">
        <v>466571362</v>
      </c>
      <c r="K18" s="45" t="s">
        <v>194</v>
      </c>
      <c r="L18" s="48">
        <v>450</v>
      </c>
      <c r="M18" s="49">
        <v>20241028747</v>
      </c>
      <c r="N18" s="50" t="s">
        <v>28</v>
      </c>
      <c r="O18" s="50"/>
      <c r="P18" s="50"/>
      <c r="Q18" s="51"/>
      <c r="R18" s="50"/>
      <c r="S18" s="50"/>
      <c r="T18" s="51"/>
      <c r="U18" s="50"/>
    </row>
    <row r="19" spans="1:21" ht="25.5" x14ac:dyDescent="0.25">
      <c r="A19" s="45" t="s">
        <v>20</v>
      </c>
      <c r="B19" s="46">
        <v>45634</v>
      </c>
      <c r="C19" s="45" t="s">
        <v>21</v>
      </c>
      <c r="D19" s="47"/>
      <c r="E19" s="45" t="s">
        <v>22</v>
      </c>
      <c r="F19" s="45" t="s">
        <v>23</v>
      </c>
      <c r="G19" s="45" t="s">
        <v>1239</v>
      </c>
      <c r="H19" s="45" t="s">
        <v>1440</v>
      </c>
      <c r="I19" s="45" t="s">
        <v>1441</v>
      </c>
      <c r="J19" s="45">
        <v>466571362</v>
      </c>
      <c r="K19" s="45" t="s">
        <v>196</v>
      </c>
      <c r="L19" s="48">
        <v>33.090000000000003</v>
      </c>
      <c r="M19" s="49">
        <v>20241028748</v>
      </c>
      <c r="N19" s="50" t="s">
        <v>28</v>
      </c>
      <c r="O19" s="50"/>
      <c r="P19" s="50"/>
      <c r="Q19" s="51"/>
      <c r="R19" s="50"/>
      <c r="S19" s="50"/>
      <c r="T19" s="51"/>
      <c r="U19" s="50"/>
    </row>
    <row r="20" spans="1:21" ht="45" x14ac:dyDescent="0.25">
      <c r="A20" s="45" t="s">
        <v>38</v>
      </c>
      <c r="B20" s="46">
        <v>45634</v>
      </c>
      <c r="C20" s="45" t="s">
        <v>21</v>
      </c>
      <c r="D20" s="47"/>
      <c r="E20" s="45" t="s">
        <v>107</v>
      </c>
      <c r="F20" s="45" t="s">
        <v>108</v>
      </c>
      <c r="G20" s="45" t="s">
        <v>828</v>
      </c>
      <c r="H20" s="45" t="s">
        <v>1442</v>
      </c>
      <c r="I20" s="45" t="s">
        <v>1443</v>
      </c>
      <c r="J20" s="45">
        <v>16800885</v>
      </c>
      <c r="K20" s="45" t="s">
        <v>194</v>
      </c>
      <c r="L20" s="48">
        <v>400</v>
      </c>
      <c r="M20" s="49">
        <v>20241008672</v>
      </c>
      <c r="N20" s="50"/>
      <c r="O20" s="50"/>
      <c r="P20" s="50" t="s">
        <v>124</v>
      </c>
      <c r="Q20" s="51" t="s">
        <v>1444</v>
      </c>
      <c r="R20" s="50"/>
      <c r="S20" s="50"/>
      <c r="T20" s="51"/>
      <c r="U20" s="50"/>
    </row>
    <row r="21" spans="1:21" x14ac:dyDescent="0.25">
      <c r="A21" s="45" t="s">
        <v>314</v>
      </c>
      <c r="B21" s="46">
        <v>45634</v>
      </c>
      <c r="C21" s="45" t="s">
        <v>21</v>
      </c>
      <c r="D21" s="47"/>
      <c r="E21" s="45" t="s">
        <v>107</v>
      </c>
      <c r="F21" s="45" t="s">
        <v>108</v>
      </c>
      <c r="G21" s="45" t="s">
        <v>178</v>
      </c>
      <c r="H21" s="45" t="s">
        <v>299</v>
      </c>
      <c r="I21" s="45" t="s">
        <v>335</v>
      </c>
      <c r="J21" s="45">
        <v>17627160</v>
      </c>
      <c r="K21" s="45" t="s">
        <v>1190</v>
      </c>
      <c r="L21" s="48">
        <v>230</v>
      </c>
      <c r="M21" s="49">
        <v>202410312277</v>
      </c>
      <c r="N21" s="50" t="s">
        <v>28</v>
      </c>
      <c r="O21" s="50"/>
      <c r="P21" s="50"/>
      <c r="Q21" s="51"/>
      <c r="R21" s="50"/>
      <c r="S21" s="50"/>
      <c r="T21" s="51"/>
      <c r="U21" s="50"/>
    </row>
    <row r="22" spans="1:21" x14ac:dyDescent="0.25">
      <c r="A22" s="45" t="s">
        <v>314</v>
      </c>
      <c r="B22" s="46">
        <v>45634</v>
      </c>
      <c r="C22" s="45" t="s">
        <v>21</v>
      </c>
      <c r="D22" s="47"/>
      <c r="E22" s="45" t="s">
        <v>107</v>
      </c>
      <c r="F22" s="45" t="s">
        <v>108</v>
      </c>
      <c r="G22" s="45" t="s">
        <v>178</v>
      </c>
      <c r="H22" s="45" t="s">
        <v>299</v>
      </c>
      <c r="I22" s="45" t="s">
        <v>335</v>
      </c>
      <c r="J22" s="45">
        <v>17627160</v>
      </c>
      <c r="K22" s="45" t="s">
        <v>1227</v>
      </c>
      <c r="L22" s="48">
        <v>41</v>
      </c>
      <c r="M22" s="49">
        <v>202410312278</v>
      </c>
      <c r="N22" s="50" t="s">
        <v>28</v>
      </c>
      <c r="O22" s="50"/>
      <c r="P22" s="50"/>
      <c r="Q22" s="51"/>
      <c r="R22" s="50"/>
      <c r="S22" s="50"/>
      <c r="T22" s="51"/>
      <c r="U22" s="50"/>
    </row>
    <row r="23" spans="1:21" x14ac:dyDescent="0.25">
      <c r="A23" s="45" t="s">
        <v>20</v>
      </c>
      <c r="B23" s="46">
        <v>45634</v>
      </c>
      <c r="C23" s="45" t="s">
        <v>21</v>
      </c>
      <c r="D23" s="47"/>
      <c r="E23" s="45" t="s">
        <v>107</v>
      </c>
      <c r="F23" s="45" t="s">
        <v>108</v>
      </c>
      <c r="G23" s="45" t="s">
        <v>1445</v>
      </c>
      <c r="H23" s="45" t="s">
        <v>1446</v>
      </c>
      <c r="I23" s="45" t="s">
        <v>1130</v>
      </c>
      <c r="J23" s="45">
        <v>27581199</v>
      </c>
      <c r="K23" s="45" t="s">
        <v>63</v>
      </c>
      <c r="L23" s="48">
        <v>135.44999999999999</v>
      </c>
      <c r="M23" s="49">
        <v>20241029505</v>
      </c>
      <c r="N23" s="50" t="s">
        <v>28</v>
      </c>
      <c r="O23" s="50"/>
      <c r="P23" s="50"/>
      <c r="Q23" s="51"/>
      <c r="R23" s="50"/>
      <c r="S23" s="50"/>
      <c r="T23" s="51"/>
      <c r="U23" s="50"/>
    </row>
    <row r="24" spans="1:21" ht="90" x14ac:dyDescent="0.25">
      <c r="A24" s="45" t="s">
        <v>20</v>
      </c>
      <c r="B24" s="46">
        <v>45638</v>
      </c>
      <c r="C24" s="45" t="s">
        <v>244</v>
      </c>
      <c r="D24" s="47"/>
      <c r="E24" s="45" t="s">
        <v>107</v>
      </c>
      <c r="F24" s="45" t="s">
        <v>108</v>
      </c>
      <c r="G24" s="45" t="s">
        <v>1445</v>
      </c>
      <c r="H24" s="45" t="s">
        <v>1446</v>
      </c>
      <c r="I24" s="45" t="s">
        <v>1130</v>
      </c>
      <c r="J24" s="45">
        <v>27581199</v>
      </c>
      <c r="K24" s="45" t="s">
        <v>1187</v>
      </c>
      <c r="L24" s="48">
        <v>341</v>
      </c>
      <c r="M24" s="49">
        <v>20241029507</v>
      </c>
      <c r="N24" s="50"/>
      <c r="O24" s="50" t="s">
        <v>304</v>
      </c>
      <c r="P24" s="50"/>
      <c r="Q24" s="51" t="s">
        <v>1447</v>
      </c>
      <c r="R24" s="50"/>
      <c r="S24" s="50"/>
      <c r="T24" s="51"/>
      <c r="U24" s="50"/>
    </row>
    <row r="25" spans="1:21" x14ac:dyDescent="0.25">
      <c r="A25" s="45" t="s">
        <v>20</v>
      </c>
      <c r="B25" s="65">
        <v>45638</v>
      </c>
      <c r="C25" s="45" t="s">
        <v>244</v>
      </c>
      <c r="D25" s="47"/>
      <c r="E25" s="45" t="s">
        <v>107</v>
      </c>
      <c r="F25" s="45" t="s">
        <v>108</v>
      </c>
      <c r="G25" s="45" t="s">
        <v>1445</v>
      </c>
      <c r="H25" s="45" t="s">
        <v>1446</v>
      </c>
      <c r="I25" s="45" t="s">
        <v>1130</v>
      </c>
      <c r="J25" s="45">
        <v>27581199</v>
      </c>
      <c r="K25" s="45" t="s">
        <v>1219</v>
      </c>
      <c r="L25" s="48">
        <v>492</v>
      </c>
      <c r="M25" s="49">
        <v>20241029509</v>
      </c>
      <c r="N25" s="50" t="s">
        <v>28</v>
      </c>
      <c r="O25" s="50"/>
      <c r="P25" s="50"/>
      <c r="Q25" s="66" t="s">
        <v>1447</v>
      </c>
      <c r="R25" s="50"/>
      <c r="S25" s="50"/>
      <c r="T25" s="51"/>
      <c r="U25" s="50"/>
    </row>
    <row r="26" spans="1:21" x14ac:dyDescent="0.25">
      <c r="A26" s="45" t="s">
        <v>29</v>
      </c>
      <c r="B26" s="65">
        <v>45638</v>
      </c>
      <c r="C26" s="45" t="s">
        <v>244</v>
      </c>
      <c r="D26" s="47"/>
      <c r="E26" s="45" t="s">
        <v>107</v>
      </c>
      <c r="F26" s="45" t="s">
        <v>108</v>
      </c>
      <c r="G26" s="45" t="s">
        <v>1014</v>
      </c>
      <c r="H26" s="45" t="s">
        <v>1448</v>
      </c>
      <c r="I26" s="45" t="s">
        <v>1449</v>
      </c>
      <c r="J26" s="45">
        <v>29748254</v>
      </c>
      <c r="K26" s="45" t="s">
        <v>56</v>
      </c>
      <c r="L26" s="48">
        <v>416</v>
      </c>
      <c r="M26" s="49">
        <v>20241030753</v>
      </c>
      <c r="N26" s="50" t="s">
        <v>28</v>
      </c>
      <c r="O26" s="50"/>
      <c r="P26" s="50"/>
      <c r="Q26" s="51"/>
      <c r="R26" s="50"/>
      <c r="S26" s="50"/>
      <c r="T26" s="51"/>
      <c r="U26" s="50"/>
    </row>
    <row r="27" spans="1:21" x14ac:dyDescent="0.25">
      <c r="A27" s="45" t="s">
        <v>314</v>
      </c>
      <c r="B27" s="65">
        <v>45638</v>
      </c>
      <c r="C27" s="45" t="s">
        <v>244</v>
      </c>
      <c r="D27" s="47"/>
      <c r="E27" s="45" t="s">
        <v>107</v>
      </c>
      <c r="F27" s="45" t="s">
        <v>108</v>
      </c>
      <c r="G27" s="45" t="s">
        <v>178</v>
      </c>
      <c r="H27" s="45" t="s">
        <v>1450</v>
      </c>
      <c r="I27" s="45" t="s">
        <v>1451</v>
      </c>
      <c r="J27" s="45">
        <v>30821545</v>
      </c>
      <c r="K27" s="45" t="s">
        <v>1347</v>
      </c>
      <c r="L27" s="48">
        <v>96</v>
      </c>
      <c r="M27" s="49">
        <v>20241030804</v>
      </c>
      <c r="N27" s="50" t="s">
        <v>28</v>
      </c>
      <c r="O27" s="50"/>
      <c r="P27" s="50"/>
      <c r="Q27" s="51"/>
      <c r="R27" s="50"/>
      <c r="S27" s="50"/>
      <c r="T27" s="51"/>
      <c r="U27" s="50"/>
    </row>
    <row r="28" spans="1:21" x14ac:dyDescent="0.25">
      <c r="A28" s="45" t="s">
        <v>29</v>
      </c>
      <c r="B28" s="65">
        <v>45638</v>
      </c>
      <c r="C28" s="45" t="s">
        <v>244</v>
      </c>
      <c r="D28" s="47"/>
      <c r="E28" s="45" t="s">
        <v>107</v>
      </c>
      <c r="F28" s="45" t="s">
        <v>108</v>
      </c>
      <c r="G28" s="45" t="s">
        <v>178</v>
      </c>
      <c r="H28" s="45" t="s">
        <v>1452</v>
      </c>
      <c r="I28" s="45" t="s">
        <v>1453</v>
      </c>
      <c r="J28" s="45">
        <v>45721164</v>
      </c>
      <c r="K28" s="45" t="s">
        <v>398</v>
      </c>
      <c r="L28" s="48">
        <v>1678</v>
      </c>
      <c r="M28" s="49">
        <v>20241030802</v>
      </c>
      <c r="N28" s="50" t="s">
        <v>28</v>
      </c>
      <c r="O28" s="50"/>
      <c r="P28" s="50"/>
      <c r="Q28" s="51"/>
      <c r="R28" s="50"/>
      <c r="S28" s="50"/>
      <c r="T28" s="51"/>
      <c r="U28" s="50"/>
    </row>
    <row r="29" spans="1:21" x14ac:dyDescent="0.25">
      <c r="A29" s="45" t="s">
        <v>29</v>
      </c>
      <c r="B29" s="65">
        <v>45638</v>
      </c>
      <c r="C29" s="45" t="s">
        <v>244</v>
      </c>
      <c r="D29" s="47"/>
      <c r="E29" s="45" t="s">
        <v>107</v>
      </c>
      <c r="F29" s="45" t="s">
        <v>108</v>
      </c>
      <c r="G29" s="45" t="s">
        <v>178</v>
      </c>
      <c r="H29" s="45" t="s">
        <v>1452</v>
      </c>
      <c r="I29" s="45" t="s">
        <v>1453</v>
      </c>
      <c r="J29" s="45">
        <v>45721164</v>
      </c>
      <c r="K29" s="45" t="s">
        <v>69</v>
      </c>
      <c r="L29" s="48">
        <v>1678</v>
      </c>
      <c r="M29" s="49">
        <v>20241030798</v>
      </c>
      <c r="N29" s="50" t="s">
        <v>28</v>
      </c>
      <c r="O29" s="50"/>
      <c r="P29" s="50"/>
      <c r="Q29" s="51"/>
      <c r="R29" s="50"/>
      <c r="S29" s="50"/>
      <c r="T29" s="51"/>
      <c r="U29" s="50"/>
    </row>
    <row r="30" spans="1:21" ht="90" x14ac:dyDescent="0.25">
      <c r="A30" s="45" t="s">
        <v>314</v>
      </c>
      <c r="B30" s="65">
        <v>45638</v>
      </c>
      <c r="C30" s="45" t="s">
        <v>244</v>
      </c>
      <c r="D30" s="47"/>
      <c r="E30" s="45" t="s">
        <v>107</v>
      </c>
      <c r="F30" s="45" t="s">
        <v>108</v>
      </c>
      <c r="G30" s="45" t="s">
        <v>1454</v>
      </c>
      <c r="H30" s="45" t="s">
        <v>1455</v>
      </c>
      <c r="I30" s="45" t="s">
        <v>1456</v>
      </c>
      <c r="J30" s="45">
        <v>53888753</v>
      </c>
      <c r="K30" s="45" t="s">
        <v>48</v>
      </c>
      <c r="L30" s="48">
        <v>315</v>
      </c>
      <c r="M30" s="49">
        <v>202410312260</v>
      </c>
      <c r="N30" s="50"/>
      <c r="O30" s="50" t="s">
        <v>124</v>
      </c>
      <c r="P30" s="50"/>
      <c r="Q30" s="51" t="s">
        <v>1457</v>
      </c>
      <c r="R30" s="50"/>
      <c r="S30" s="50"/>
      <c r="T30" s="51"/>
      <c r="U30" s="50"/>
    </row>
    <row r="31" spans="1:21" x14ac:dyDescent="0.25">
      <c r="A31" s="45" t="s">
        <v>29</v>
      </c>
      <c r="B31" s="65">
        <v>45638</v>
      </c>
      <c r="C31" s="45" t="s">
        <v>244</v>
      </c>
      <c r="D31" s="47"/>
      <c r="E31" s="45" t="s">
        <v>107</v>
      </c>
      <c r="F31" s="45" t="s">
        <v>108</v>
      </c>
      <c r="G31" s="45" t="s">
        <v>178</v>
      </c>
      <c r="H31" s="45" t="s">
        <v>1458</v>
      </c>
      <c r="I31" s="45" t="s">
        <v>1459</v>
      </c>
      <c r="J31" s="45">
        <v>56740341</v>
      </c>
      <c r="K31" s="45" t="s">
        <v>1460</v>
      </c>
      <c r="L31" s="48">
        <v>275</v>
      </c>
      <c r="M31" s="49">
        <v>20241029624</v>
      </c>
      <c r="N31" s="50" t="s">
        <v>28</v>
      </c>
      <c r="O31" s="50"/>
      <c r="P31" s="50"/>
      <c r="Q31" s="51"/>
      <c r="R31" s="50"/>
      <c r="S31" s="50"/>
      <c r="T31" s="51"/>
      <c r="U31" s="50"/>
    </row>
    <row r="32" spans="1:21" x14ac:dyDescent="0.25">
      <c r="A32" s="45" t="s">
        <v>20</v>
      </c>
      <c r="B32" s="65">
        <v>45638</v>
      </c>
      <c r="C32" s="45" t="s">
        <v>244</v>
      </c>
      <c r="D32" s="47"/>
      <c r="E32" s="45" t="s">
        <v>107</v>
      </c>
      <c r="F32" s="45" t="s">
        <v>108</v>
      </c>
      <c r="G32" s="45" t="s">
        <v>828</v>
      </c>
      <c r="H32" s="45" t="s">
        <v>1461</v>
      </c>
      <c r="I32" s="45" t="s">
        <v>1462</v>
      </c>
      <c r="J32" s="45">
        <v>66542140</v>
      </c>
      <c r="K32" s="45" t="s">
        <v>1463</v>
      </c>
      <c r="L32" s="48">
        <v>610</v>
      </c>
      <c r="M32" s="67">
        <v>202410312283</v>
      </c>
      <c r="N32" s="50"/>
      <c r="O32" s="50"/>
      <c r="P32" s="50"/>
      <c r="Q32" s="51"/>
      <c r="R32" s="50"/>
      <c r="S32" s="50"/>
      <c r="T32" s="51"/>
      <c r="U32" s="50"/>
    </row>
    <row r="33" spans="1:21" x14ac:dyDescent="0.25">
      <c r="A33" s="45" t="s">
        <v>20</v>
      </c>
      <c r="B33" s="65">
        <v>45638</v>
      </c>
      <c r="C33" s="45" t="s">
        <v>244</v>
      </c>
      <c r="D33" s="47"/>
      <c r="E33" s="45" t="s">
        <v>107</v>
      </c>
      <c r="F33" s="45" t="s">
        <v>108</v>
      </c>
      <c r="G33" s="45" t="s">
        <v>828</v>
      </c>
      <c r="H33" s="45" t="s">
        <v>1461</v>
      </c>
      <c r="I33" s="45" t="s">
        <v>1462</v>
      </c>
      <c r="J33" s="45">
        <v>66542140</v>
      </c>
      <c r="K33" s="45" t="s">
        <v>1463</v>
      </c>
      <c r="L33" s="48">
        <v>940</v>
      </c>
      <c r="M33" s="67">
        <v>202410312280</v>
      </c>
      <c r="N33" s="50"/>
      <c r="O33" s="50"/>
      <c r="P33" s="50"/>
      <c r="Q33" s="51"/>
      <c r="R33" s="50"/>
      <c r="S33" s="50"/>
      <c r="T33" s="51"/>
      <c r="U33" s="50"/>
    </row>
    <row r="34" spans="1:21" x14ac:dyDescent="0.25">
      <c r="A34" s="45" t="s">
        <v>314</v>
      </c>
      <c r="B34" s="65">
        <v>45638</v>
      </c>
      <c r="C34" s="45" t="s">
        <v>244</v>
      </c>
      <c r="D34" s="47"/>
      <c r="E34" s="45" t="s">
        <v>107</v>
      </c>
      <c r="F34" s="45" t="s">
        <v>108</v>
      </c>
      <c r="G34" s="45" t="s">
        <v>1076</v>
      </c>
      <c r="H34" s="45" t="s">
        <v>1464</v>
      </c>
      <c r="I34" s="45" t="s">
        <v>1465</v>
      </c>
      <c r="J34" s="45">
        <v>68886068</v>
      </c>
      <c r="K34" s="45" t="s">
        <v>831</v>
      </c>
      <c r="L34" s="48">
        <v>20.8</v>
      </c>
      <c r="M34" s="49">
        <v>20241030860</v>
      </c>
      <c r="N34" s="50" t="s">
        <v>28</v>
      </c>
      <c r="O34" s="50"/>
      <c r="P34" s="50"/>
      <c r="Q34" s="51"/>
      <c r="R34" s="50"/>
      <c r="S34" s="50"/>
      <c r="T34" s="51"/>
      <c r="U34" s="50"/>
    </row>
    <row r="35" spans="1:21" x14ac:dyDescent="0.25">
      <c r="A35" s="45" t="s">
        <v>20</v>
      </c>
      <c r="B35" s="65">
        <v>45638</v>
      </c>
      <c r="C35" s="45" t="s">
        <v>244</v>
      </c>
      <c r="D35" s="47"/>
      <c r="E35" s="45" t="s">
        <v>155</v>
      </c>
      <c r="F35" s="45" t="s">
        <v>156</v>
      </c>
      <c r="G35" s="45" t="s">
        <v>30</v>
      </c>
      <c r="H35" s="45" t="s">
        <v>1466</v>
      </c>
      <c r="I35" s="45" t="s">
        <v>1467</v>
      </c>
      <c r="J35" s="45">
        <v>576210503</v>
      </c>
      <c r="K35" s="45" t="s">
        <v>1227</v>
      </c>
      <c r="L35" s="48">
        <v>3954.25</v>
      </c>
      <c r="M35" s="49">
        <v>202410312100</v>
      </c>
      <c r="N35" s="50" t="s">
        <v>28</v>
      </c>
      <c r="O35" s="50"/>
      <c r="P35" s="50"/>
      <c r="Q35" s="51"/>
      <c r="R35" s="50"/>
      <c r="S35" s="50"/>
      <c r="T35" s="51"/>
      <c r="U35" s="50"/>
    </row>
    <row r="36" spans="1:21" x14ac:dyDescent="0.25">
      <c r="A36" s="45" t="s">
        <v>20</v>
      </c>
      <c r="B36" s="65">
        <v>45638</v>
      </c>
      <c r="C36" s="45" t="s">
        <v>244</v>
      </c>
      <c r="D36" s="47"/>
      <c r="E36" s="45" t="s">
        <v>176</v>
      </c>
      <c r="F36" s="45" t="s">
        <v>177</v>
      </c>
      <c r="G36" s="45" t="s">
        <v>1468</v>
      </c>
      <c r="H36" s="45" t="s">
        <v>886</v>
      </c>
      <c r="I36" s="45" t="s">
        <v>1469</v>
      </c>
      <c r="J36" s="45">
        <v>646322114</v>
      </c>
      <c r="K36" s="45" t="s">
        <v>196</v>
      </c>
      <c r="L36" s="48">
        <v>26.12</v>
      </c>
      <c r="M36" s="49">
        <v>202411011473</v>
      </c>
      <c r="N36" s="50" t="s">
        <v>28</v>
      </c>
      <c r="O36" s="50"/>
      <c r="P36" s="50"/>
      <c r="Q36" s="51"/>
      <c r="R36" s="50"/>
      <c r="S36" s="50"/>
      <c r="T36" s="51"/>
      <c r="U36" s="50"/>
    </row>
    <row r="37" spans="1:21" x14ac:dyDescent="0.25">
      <c r="A37" s="45" t="s">
        <v>29</v>
      </c>
      <c r="B37" s="65">
        <v>45638</v>
      </c>
      <c r="C37" s="45" t="s">
        <v>244</v>
      </c>
      <c r="D37" s="47"/>
      <c r="E37" s="45" t="s">
        <v>176</v>
      </c>
      <c r="F37" s="45" t="s">
        <v>177</v>
      </c>
      <c r="G37" s="45" t="s">
        <v>1468</v>
      </c>
      <c r="H37" s="45" t="s">
        <v>1470</v>
      </c>
      <c r="I37" s="45" t="s">
        <v>1471</v>
      </c>
      <c r="J37" s="45">
        <v>646484233</v>
      </c>
      <c r="K37" s="45" t="s">
        <v>56</v>
      </c>
      <c r="L37" s="48">
        <v>593</v>
      </c>
      <c r="M37" s="49">
        <v>202411011693</v>
      </c>
      <c r="N37" s="50" t="s">
        <v>28</v>
      </c>
      <c r="O37" s="50"/>
      <c r="P37" s="50"/>
      <c r="Q37" s="51"/>
      <c r="R37" s="50"/>
      <c r="S37" s="50"/>
      <c r="T37" s="51"/>
      <c r="U37" s="50"/>
    </row>
    <row r="38" spans="1:21" x14ac:dyDescent="0.25">
      <c r="A38" s="45" t="s">
        <v>20</v>
      </c>
      <c r="B38" s="65">
        <v>45638</v>
      </c>
      <c r="C38" s="45" t="s">
        <v>244</v>
      </c>
      <c r="D38" s="47"/>
      <c r="E38" s="45" t="s">
        <v>176</v>
      </c>
      <c r="F38" s="45" t="s">
        <v>177</v>
      </c>
      <c r="G38" s="45" t="s">
        <v>1472</v>
      </c>
      <c r="H38" s="45" t="s">
        <v>1473</v>
      </c>
      <c r="I38" s="45" t="s">
        <v>1474</v>
      </c>
      <c r="J38" s="45">
        <v>646521005</v>
      </c>
      <c r="K38" s="45" t="s">
        <v>1347</v>
      </c>
      <c r="L38" s="48">
        <v>23.5</v>
      </c>
      <c r="M38" s="49">
        <v>20241028212</v>
      </c>
      <c r="N38" s="50" t="s">
        <v>28</v>
      </c>
      <c r="O38" s="50"/>
      <c r="P38" s="50"/>
      <c r="Q38" s="51"/>
      <c r="R38" s="50"/>
      <c r="S38" s="50"/>
      <c r="T38" s="51"/>
      <c r="U38" s="50"/>
    </row>
    <row r="39" spans="1:21" x14ac:dyDescent="0.25">
      <c r="A39" s="45" t="s">
        <v>20</v>
      </c>
      <c r="B39" s="46">
        <v>45737</v>
      </c>
      <c r="C39" s="45" t="s">
        <v>34</v>
      </c>
      <c r="D39" s="47"/>
      <c r="E39" s="45" t="s">
        <v>176</v>
      </c>
      <c r="F39" s="45" t="s">
        <v>177</v>
      </c>
      <c r="G39" s="45" t="s">
        <v>1472</v>
      </c>
      <c r="H39" s="45" t="s">
        <v>1473</v>
      </c>
      <c r="I39" s="45" t="s">
        <v>1474</v>
      </c>
      <c r="J39" s="45">
        <v>646521005</v>
      </c>
      <c r="K39" s="45" t="s">
        <v>1347</v>
      </c>
      <c r="L39" s="48">
        <v>42</v>
      </c>
      <c r="M39" s="49">
        <v>20241028209</v>
      </c>
      <c r="N39" s="50" t="s">
        <v>28</v>
      </c>
      <c r="O39" s="50"/>
      <c r="P39" s="50"/>
      <c r="Q39" s="51"/>
      <c r="R39" s="50"/>
      <c r="S39" s="50"/>
      <c r="T39" s="51"/>
      <c r="U39" s="50"/>
    </row>
    <row r="40" spans="1:21" x14ac:dyDescent="0.25">
      <c r="A40" s="45" t="s">
        <v>20</v>
      </c>
      <c r="B40" s="46">
        <v>45737</v>
      </c>
      <c r="C40" s="45" t="s">
        <v>34</v>
      </c>
      <c r="D40" s="47"/>
      <c r="E40" s="45" t="s">
        <v>176</v>
      </c>
      <c r="F40" s="45" t="s">
        <v>177</v>
      </c>
      <c r="G40" s="45" t="s">
        <v>1475</v>
      </c>
      <c r="H40" s="45" t="s">
        <v>1476</v>
      </c>
      <c r="I40" s="45" t="s">
        <v>1477</v>
      </c>
      <c r="J40" s="45">
        <v>646629788</v>
      </c>
      <c r="K40" s="45" t="s">
        <v>790</v>
      </c>
      <c r="L40" s="48">
        <v>438.78</v>
      </c>
      <c r="M40" s="49">
        <v>202411011697</v>
      </c>
      <c r="N40" s="50" t="s">
        <v>28</v>
      </c>
      <c r="O40" s="50"/>
      <c r="P40" s="50"/>
      <c r="Q40" s="51"/>
      <c r="R40" s="50"/>
      <c r="S40" s="50"/>
      <c r="T40" s="51"/>
      <c r="U40" s="50"/>
    </row>
    <row r="41" spans="1:21" x14ac:dyDescent="0.25">
      <c r="A41" s="45" t="s">
        <v>29</v>
      </c>
      <c r="B41" s="46">
        <v>45737</v>
      </c>
      <c r="C41" s="45" t="s">
        <v>34</v>
      </c>
      <c r="D41" s="47"/>
      <c r="E41" s="45" t="s">
        <v>176</v>
      </c>
      <c r="F41" s="45" t="s">
        <v>177</v>
      </c>
      <c r="G41" s="45" t="s">
        <v>1478</v>
      </c>
      <c r="H41" s="45" t="s">
        <v>696</v>
      </c>
      <c r="I41" s="45" t="s">
        <v>1479</v>
      </c>
      <c r="J41" s="45">
        <v>647058254</v>
      </c>
      <c r="K41" s="45" t="s">
        <v>184</v>
      </c>
      <c r="L41" s="48">
        <v>522</v>
      </c>
      <c r="M41" s="49">
        <v>20241029452</v>
      </c>
      <c r="N41" s="50" t="s">
        <v>28</v>
      </c>
      <c r="O41" s="50"/>
      <c r="P41" s="50"/>
      <c r="Q41" s="51"/>
      <c r="R41" s="50"/>
      <c r="S41" s="50"/>
      <c r="T41" s="51"/>
      <c r="U41" s="50"/>
    </row>
    <row r="42" spans="1:21" ht="25.5" x14ac:dyDescent="0.25">
      <c r="A42" s="45" t="s">
        <v>20</v>
      </c>
      <c r="B42" s="46">
        <v>45737</v>
      </c>
      <c r="C42" s="45" t="s">
        <v>34</v>
      </c>
      <c r="D42" s="47"/>
      <c r="E42" s="45" t="s">
        <v>176</v>
      </c>
      <c r="F42" s="45" t="s">
        <v>177</v>
      </c>
      <c r="G42" s="45" t="s">
        <v>1480</v>
      </c>
      <c r="H42" s="45" t="s">
        <v>1481</v>
      </c>
      <c r="I42" s="45" t="s">
        <v>1482</v>
      </c>
      <c r="J42" s="45">
        <v>647122563</v>
      </c>
      <c r="K42" s="45" t="s">
        <v>1227</v>
      </c>
      <c r="L42" s="48">
        <v>148.6</v>
      </c>
      <c r="M42" s="49">
        <v>20241028761</v>
      </c>
      <c r="N42" s="50" t="s">
        <v>28</v>
      </c>
      <c r="O42" s="50"/>
      <c r="P42" s="50"/>
      <c r="Q42" s="51"/>
      <c r="R42" s="50"/>
      <c r="S42" s="50"/>
      <c r="T42" s="51"/>
      <c r="U42" s="50"/>
    </row>
    <row r="43" spans="1:21" x14ac:dyDescent="0.25">
      <c r="A43" s="45" t="s">
        <v>29</v>
      </c>
      <c r="B43" s="46">
        <v>45737</v>
      </c>
      <c r="C43" s="45" t="s">
        <v>34</v>
      </c>
      <c r="D43" s="47"/>
      <c r="E43" s="45" t="s">
        <v>176</v>
      </c>
      <c r="F43" s="45" t="s">
        <v>177</v>
      </c>
      <c r="G43" s="45" t="s">
        <v>1483</v>
      </c>
      <c r="H43" s="45" t="s">
        <v>1484</v>
      </c>
      <c r="I43" s="45" t="s">
        <v>1485</v>
      </c>
      <c r="J43" s="45">
        <v>647123958</v>
      </c>
      <c r="K43" s="45" t="s">
        <v>56</v>
      </c>
      <c r="L43" s="48">
        <v>416.66</v>
      </c>
      <c r="M43" s="49">
        <v>2024102894</v>
      </c>
      <c r="N43" s="50" t="s">
        <v>28</v>
      </c>
      <c r="O43" s="50"/>
      <c r="P43" s="50"/>
      <c r="Q43" s="51"/>
      <c r="R43" s="50"/>
      <c r="S43" s="50"/>
      <c r="T43" s="51"/>
      <c r="U43" s="50"/>
    </row>
    <row r="44" spans="1:21" x14ac:dyDescent="0.25">
      <c r="A44" s="45" t="s">
        <v>29</v>
      </c>
      <c r="B44" s="46">
        <v>45737</v>
      </c>
      <c r="C44" s="45" t="s">
        <v>34</v>
      </c>
      <c r="D44" s="47"/>
      <c r="E44" s="45" t="s">
        <v>176</v>
      </c>
      <c r="F44" s="45" t="s">
        <v>177</v>
      </c>
      <c r="G44" s="45" t="s">
        <v>1483</v>
      </c>
      <c r="H44" s="45" t="s">
        <v>1484</v>
      </c>
      <c r="I44" s="45" t="s">
        <v>1485</v>
      </c>
      <c r="J44" s="45">
        <v>647123958</v>
      </c>
      <c r="K44" s="45" t="s">
        <v>422</v>
      </c>
      <c r="L44" s="48">
        <v>416.66</v>
      </c>
      <c r="M44" s="49">
        <v>2024102897</v>
      </c>
      <c r="N44" s="50" t="s">
        <v>28</v>
      </c>
      <c r="O44" s="50"/>
      <c r="P44" s="50"/>
      <c r="Q44" s="51"/>
      <c r="R44" s="50"/>
      <c r="S44" s="50"/>
      <c r="T44" s="51"/>
      <c r="U44" s="50"/>
    </row>
    <row r="45" spans="1:21" x14ac:dyDescent="0.25">
      <c r="A45" s="45" t="s">
        <v>20</v>
      </c>
      <c r="B45" s="46">
        <v>45737</v>
      </c>
      <c r="C45" s="45" t="s">
        <v>34</v>
      </c>
      <c r="D45" s="47"/>
      <c r="E45" s="45" t="s">
        <v>176</v>
      </c>
      <c r="F45" s="45" t="s">
        <v>177</v>
      </c>
      <c r="G45" s="45" t="s">
        <v>1486</v>
      </c>
      <c r="H45" s="45" t="s">
        <v>1487</v>
      </c>
      <c r="I45" s="45" t="s">
        <v>1488</v>
      </c>
      <c r="J45" s="45">
        <v>647168834</v>
      </c>
      <c r="K45" s="45" t="s">
        <v>123</v>
      </c>
      <c r="L45" s="48">
        <v>35</v>
      </c>
      <c r="M45" s="49">
        <v>20241029179</v>
      </c>
      <c r="N45" s="50" t="s">
        <v>28</v>
      </c>
      <c r="O45" s="50"/>
      <c r="P45" s="50"/>
      <c r="Q45" s="51"/>
      <c r="R45" s="50"/>
      <c r="S45" s="50"/>
      <c r="T45" s="51"/>
      <c r="U45" s="50"/>
    </row>
    <row r="46" spans="1:21" x14ac:dyDescent="0.25">
      <c r="A46" s="45" t="s">
        <v>20</v>
      </c>
      <c r="B46" s="46">
        <v>45737</v>
      </c>
      <c r="C46" s="45" t="s">
        <v>34</v>
      </c>
      <c r="D46" s="47"/>
      <c r="E46" s="45" t="s">
        <v>176</v>
      </c>
      <c r="F46" s="45" t="s">
        <v>177</v>
      </c>
      <c r="G46" s="45" t="s">
        <v>1486</v>
      </c>
      <c r="H46" s="45" t="s">
        <v>1487</v>
      </c>
      <c r="I46" s="45" t="s">
        <v>1488</v>
      </c>
      <c r="J46" s="45">
        <v>647168834</v>
      </c>
      <c r="K46" s="45" t="s">
        <v>1187</v>
      </c>
      <c r="L46" s="48">
        <v>35</v>
      </c>
      <c r="M46" s="49">
        <v>20241029180</v>
      </c>
      <c r="N46" s="50" t="s">
        <v>28</v>
      </c>
      <c r="O46" s="50"/>
      <c r="P46" s="50"/>
      <c r="Q46" s="51"/>
      <c r="R46" s="50"/>
      <c r="S46" s="50"/>
      <c r="T46" s="51"/>
      <c r="U46" s="50"/>
    </row>
    <row r="47" spans="1:21" x14ac:dyDescent="0.25">
      <c r="A47" s="45" t="s">
        <v>20</v>
      </c>
      <c r="B47" s="46">
        <v>45737</v>
      </c>
      <c r="C47" s="45" t="s">
        <v>34</v>
      </c>
      <c r="D47" s="47"/>
      <c r="E47" s="45" t="s">
        <v>176</v>
      </c>
      <c r="F47" s="45" t="s">
        <v>177</v>
      </c>
      <c r="G47" s="45" t="s">
        <v>1486</v>
      </c>
      <c r="H47" s="45" t="s">
        <v>1487</v>
      </c>
      <c r="I47" s="45" t="s">
        <v>1488</v>
      </c>
      <c r="J47" s="45">
        <v>647168834</v>
      </c>
      <c r="K47" s="45" t="s">
        <v>256</v>
      </c>
      <c r="L47" s="48">
        <v>35</v>
      </c>
      <c r="M47" s="49">
        <v>20241029181</v>
      </c>
      <c r="N47" s="50" t="s">
        <v>28</v>
      </c>
      <c r="O47" s="50"/>
      <c r="P47" s="50"/>
      <c r="Q47" s="51"/>
      <c r="R47" s="50"/>
      <c r="S47" s="50"/>
      <c r="T47" s="51"/>
      <c r="U47" s="50"/>
    </row>
    <row r="48" spans="1:21" x14ac:dyDescent="0.25">
      <c r="A48" s="45" t="s">
        <v>20</v>
      </c>
      <c r="B48" s="46">
        <v>45737</v>
      </c>
      <c r="C48" s="45" t="s">
        <v>34</v>
      </c>
      <c r="D48" s="47"/>
      <c r="E48" s="45" t="s">
        <v>176</v>
      </c>
      <c r="F48" s="45" t="s">
        <v>177</v>
      </c>
      <c r="G48" s="45" t="s">
        <v>1486</v>
      </c>
      <c r="H48" s="45" t="s">
        <v>1487</v>
      </c>
      <c r="I48" s="45" t="s">
        <v>1488</v>
      </c>
      <c r="J48" s="45">
        <v>647168834</v>
      </c>
      <c r="K48" s="45" t="s">
        <v>1187</v>
      </c>
      <c r="L48" s="48">
        <v>35</v>
      </c>
      <c r="M48" s="49">
        <v>20241029182</v>
      </c>
      <c r="N48" s="50" t="s">
        <v>28</v>
      </c>
      <c r="O48" s="50"/>
      <c r="P48" s="50"/>
      <c r="Q48" s="51"/>
      <c r="R48" s="50"/>
      <c r="S48" s="50"/>
      <c r="T48" s="51"/>
      <c r="U48" s="50"/>
    </row>
    <row r="49" spans="1:21" x14ac:dyDescent="0.25">
      <c r="A49" s="45" t="s">
        <v>20</v>
      </c>
      <c r="B49" s="46">
        <v>45737</v>
      </c>
      <c r="C49" s="45" t="s">
        <v>34</v>
      </c>
      <c r="D49" s="47"/>
      <c r="E49" s="45" t="s">
        <v>176</v>
      </c>
      <c r="F49" s="45" t="s">
        <v>177</v>
      </c>
      <c r="G49" s="45" t="s">
        <v>1486</v>
      </c>
      <c r="H49" s="45" t="s">
        <v>1487</v>
      </c>
      <c r="I49" s="45" t="s">
        <v>1488</v>
      </c>
      <c r="J49" s="45">
        <v>647168834</v>
      </c>
      <c r="K49" s="45" t="s">
        <v>416</v>
      </c>
      <c r="L49" s="48">
        <v>50</v>
      </c>
      <c r="M49" s="49">
        <v>20241029183</v>
      </c>
      <c r="N49" s="50" t="s">
        <v>28</v>
      </c>
      <c r="O49" s="50"/>
      <c r="P49" s="50"/>
      <c r="Q49" s="51"/>
      <c r="R49" s="50"/>
      <c r="S49" s="50"/>
      <c r="T49" s="51"/>
      <c r="U49" s="50"/>
    </row>
    <row r="50" spans="1:21" x14ac:dyDescent="0.25">
      <c r="A50" s="45" t="s">
        <v>20</v>
      </c>
      <c r="B50" s="46">
        <v>45737</v>
      </c>
      <c r="C50" s="45" t="s">
        <v>34</v>
      </c>
      <c r="D50" s="47"/>
      <c r="E50" s="45" t="s">
        <v>176</v>
      </c>
      <c r="F50" s="45" t="s">
        <v>177</v>
      </c>
      <c r="G50" s="45" t="s">
        <v>1486</v>
      </c>
      <c r="H50" s="45" t="s">
        <v>1487</v>
      </c>
      <c r="I50" s="45" t="s">
        <v>1488</v>
      </c>
      <c r="J50" s="45">
        <v>647168834</v>
      </c>
      <c r="K50" s="45" t="s">
        <v>1187</v>
      </c>
      <c r="L50" s="48">
        <v>35</v>
      </c>
      <c r="M50" s="49">
        <v>20241029184</v>
      </c>
      <c r="N50" s="50" t="s">
        <v>28</v>
      </c>
      <c r="O50" s="50"/>
      <c r="P50" s="50"/>
      <c r="Q50" s="51"/>
      <c r="R50" s="50"/>
      <c r="S50" s="50"/>
      <c r="T50" s="51"/>
      <c r="U50" s="50"/>
    </row>
    <row r="51" spans="1:21" ht="25.5" x14ac:dyDescent="0.25">
      <c r="A51" s="45" t="s">
        <v>324</v>
      </c>
      <c r="B51" s="46">
        <v>45737</v>
      </c>
      <c r="C51" s="45" t="s">
        <v>34</v>
      </c>
      <c r="D51" s="47"/>
      <c r="E51" s="45" t="s">
        <v>208</v>
      </c>
      <c r="F51" s="45" t="s">
        <v>209</v>
      </c>
      <c r="G51" s="45" t="s">
        <v>1489</v>
      </c>
      <c r="H51" s="45" t="s">
        <v>1490</v>
      </c>
      <c r="I51" s="45" t="s">
        <v>335</v>
      </c>
      <c r="J51" s="45">
        <v>549747693</v>
      </c>
      <c r="K51" s="45" t="s">
        <v>1491</v>
      </c>
      <c r="L51" s="48">
        <v>342</v>
      </c>
      <c r="M51" s="49">
        <v>20241028818</v>
      </c>
      <c r="N51" s="50" t="s">
        <v>28</v>
      </c>
      <c r="O51" s="50"/>
      <c r="P51" s="50"/>
      <c r="Q51" s="51"/>
      <c r="R51" s="50"/>
      <c r="S51" s="50"/>
      <c r="T51" s="51"/>
      <c r="U51" s="50"/>
    </row>
    <row r="52" spans="1:21" ht="25.5" x14ac:dyDescent="0.25">
      <c r="A52" s="45" t="s">
        <v>324</v>
      </c>
      <c r="B52" s="46">
        <v>45737</v>
      </c>
      <c r="C52" s="45" t="s">
        <v>34</v>
      </c>
      <c r="D52" s="47"/>
      <c r="E52" s="45" t="s">
        <v>208</v>
      </c>
      <c r="F52" s="45" t="s">
        <v>209</v>
      </c>
      <c r="G52" s="45" t="s">
        <v>1489</v>
      </c>
      <c r="H52" s="45" t="s">
        <v>1490</v>
      </c>
      <c r="I52" s="45" t="s">
        <v>335</v>
      </c>
      <c r="J52" s="45">
        <v>549747693</v>
      </c>
      <c r="K52" s="45" t="s">
        <v>1491</v>
      </c>
      <c r="L52" s="48">
        <v>37.200000000000003</v>
      </c>
      <c r="M52" s="49">
        <v>20241028819</v>
      </c>
      <c r="N52" s="50" t="s">
        <v>28</v>
      </c>
      <c r="O52" s="50"/>
      <c r="P52" s="50"/>
      <c r="Q52" s="51"/>
      <c r="R52" s="50"/>
      <c r="S52" s="50"/>
      <c r="T52" s="51"/>
      <c r="U52" s="50"/>
    </row>
    <row r="53" spans="1:21" ht="25.5" x14ac:dyDescent="0.25">
      <c r="A53" s="45" t="s">
        <v>324</v>
      </c>
      <c r="B53" s="46">
        <v>45737</v>
      </c>
      <c r="C53" s="45" t="s">
        <v>34</v>
      </c>
      <c r="D53" s="47"/>
      <c r="E53" s="45" t="s">
        <v>208</v>
      </c>
      <c r="F53" s="45" t="s">
        <v>209</v>
      </c>
      <c r="G53" s="45" t="s">
        <v>1489</v>
      </c>
      <c r="H53" s="45" t="s">
        <v>1490</v>
      </c>
      <c r="I53" s="45" t="s">
        <v>335</v>
      </c>
      <c r="J53" s="45">
        <v>549747693</v>
      </c>
      <c r="K53" s="45" t="s">
        <v>406</v>
      </c>
      <c r="L53" s="48">
        <v>342</v>
      </c>
      <c r="M53" s="49">
        <v>20241028820</v>
      </c>
      <c r="N53" s="50" t="s">
        <v>28</v>
      </c>
      <c r="O53" s="50"/>
      <c r="P53" s="50"/>
      <c r="Q53" s="51"/>
      <c r="R53" s="50"/>
      <c r="S53" s="50"/>
      <c r="T53" s="51"/>
      <c r="U53" s="50"/>
    </row>
    <row r="54" spans="1:21" ht="25.5" x14ac:dyDescent="0.25">
      <c r="A54" s="45" t="s">
        <v>324</v>
      </c>
      <c r="B54" s="46">
        <v>45737</v>
      </c>
      <c r="C54" s="45" t="s">
        <v>34</v>
      </c>
      <c r="D54" s="47"/>
      <c r="E54" s="45" t="s">
        <v>208</v>
      </c>
      <c r="F54" s="45" t="s">
        <v>209</v>
      </c>
      <c r="G54" s="45" t="s">
        <v>1489</v>
      </c>
      <c r="H54" s="45" t="s">
        <v>1490</v>
      </c>
      <c r="I54" s="45" t="s">
        <v>335</v>
      </c>
      <c r="J54" s="45">
        <v>549747693</v>
      </c>
      <c r="K54" s="45" t="s">
        <v>403</v>
      </c>
      <c r="L54" s="48">
        <v>37.200000000000003</v>
      </c>
      <c r="M54" s="49">
        <v>20241028821</v>
      </c>
      <c r="N54" s="50" t="s">
        <v>28</v>
      </c>
      <c r="O54" s="50"/>
      <c r="P54" s="50"/>
      <c r="Q54" s="51"/>
      <c r="R54" s="50"/>
      <c r="S54" s="50"/>
      <c r="T54" s="51"/>
      <c r="U54" s="50"/>
    </row>
    <row r="55" spans="1:21" ht="25.5" x14ac:dyDescent="0.25">
      <c r="A55" s="45" t="s">
        <v>324</v>
      </c>
      <c r="B55" s="46">
        <v>45737</v>
      </c>
      <c r="C55" s="45" t="s">
        <v>34</v>
      </c>
      <c r="D55" s="47"/>
      <c r="E55" s="45" t="s">
        <v>208</v>
      </c>
      <c r="F55" s="45" t="s">
        <v>209</v>
      </c>
      <c r="G55" s="45" t="s">
        <v>1489</v>
      </c>
      <c r="H55" s="45" t="s">
        <v>1490</v>
      </c>
      <c r="I55" s="45" t="s">
        <v>335</v>
      </c>
      <c r="J55" s="45">
        <v>549747693</v>
      </c>
      <c r="K55" s="45" t="s">
        <v>370</v>
      </c>
      <c r="L55" s="48">
        <v>342</v>
      </c>
      <c r="M55" s="49">
        <v>20241028822</v>
      </c>
      <c r="N55" s="50" t="s">
        <v>28</v>
      </c>
      <c r="O55" s="50"/>
      <c r="P55" s="50"/>
      <c r="Q55" s="51"/>
      <c r="R55" s="50"/>
      <c r="S55" s="50"/>
      <c r="T55" s="51"/>
      <c r="U55" s="50"/>
    </row>
    <row r="56" spans="1:21" ht="25.5" x14ac:dyDescent="0.25">
      <c r="A56" s="45" t="s">
        <v>324</v>
      </c>
      <c r="B56" s="46">
        <v>45737</v>
      </c>
      <c r="C56" s="45" t="s">
        <v>34</v>
      </c>
      <c r="D56" s="47"/>
      <c r="E56" s="45" t="s">
        <v>208</v>
      </c>
      <c r="F56" s="45" t="s">
        <v>209</v>
      </c>
      <c r="G56" s="45" t="s">
        <v>1489</v>
      </c>
      <c r="H56" s="45" t="s">
        <v>1490</v>
      </c>
      <c r="I56" s="45" t="s">
        <v>335</v>
      </c>
      <c r="J56" s="45">
        <v>549747693</v>
      </c>
      <c r="K56" s="45" t="s">
        <v>250</v>
      </c>
      <c r="L56" s="48">
        <v>37.200000000000003</v>
      </c>
      <c r="M56" s="49">
        <v>20241028823</v>
      </c>
      <c r="N56" s="50" t="s">
        <v>28</v>
      </c>
      <c r="O56" s="50"/>
      <c r="P56" s="50"/>
      <c r="Q56" s="51"/>
      <c r="R56" s="50"/>
      <c r="S56" s="50"/>
      <c r="T56" s="51"/>
      <c r="U56" s="50"/>
    </row>
    <row r="57" spans="1:21" x14ac:dyDescent="0.25">
      <c r="A57" s="45" t="s">
        <v>233</v>
      </c>
      <c r="B57" s="46">
        <v>45737</v>
      </c>
      <c r="C57" s="45" t="s">
        <v>34</v>
      </c>
      <c r="D57" s="47"/>
      <c r="E57" s="45" t="s">
        <v>208</v>
      </c>
      <c r="F57" s="45" t="s">
        <v>209</v>
      </c>
      <c r="G57" s="45" t="s">
        <v>66</v>
      </c>
      <c r="H57" s="45" t="s">
        <v>1396</v>
      </c>
      <c r="I57" s="45" t="s">
        <v>1397</v>
      </c>
      <c r="J57" s="45">
        <v>550539993</v>
      </c>
      <c r="K57" s="45" t="s">
        <v>1019</v>
      </c>
      <c r="L57" s="48">
        <v>1463.12</v>
      </c>
      <c r="M57" s="49">
        <v>202411011628</v>
      </c>
      <c r="N57" s="50"/>
      <c r="O57" s="50"/>
      <c r="P57" s="50"/>
      <c r="Q57" s="51"/>
      <c r="R57" s="50"/>
      <c r="S57" s="50"/>
      <c r="T57" s="51"/>
      <c r="U57" s="50"/>
    </row>
    <row r="58" spans="1:21" x14ac:dyDescent="0.25">
      <c r="A58" s="45" t="s">
        <v>20</v>
      </c>
      <c r="B58" s="46">
        <v>45701</v>
      </c>
      <c r="C58" s="45" t="s">
        <v>34</v>
      </c>
      <c r="D58" s="47" t="s">
        <v>168</v>
      </c>
      <c r="E58" s="45" t="s">
        <v>208</v>
      </c>
      <c r="F58" s="45" t="s">
        <v>209</v>
      </c>
      <c r="G58" s="45" t="s">
        <v>109</v>
      </c>
      <c r="H58" s="45" t="s">
        <v>911</v>
      </c>
      <c r="I58" s="45" t="s">
        <v>1492</v>
      </c>
      <c r="J58" s="45">
        <v>555857873</v>
      </c>
      <c r="K58" s="45" t="s">
        <v>1338</v>
      </c>
      <c r="L58" s="48">
        <v>200</v>
      </c>
      <c r="M58" s="49">
        <v>20241024535</v>
      </c>
      <c r="N58" s="50" t="s">
        <v>28</v>
      </c>
      <c r="O58" s="50"/>
      <c r="P58" s="50"/>
      <c r="Q58" s="51"/>
      <c r="R58" s="50"/>
      <c r="S58" s="50"/>
      <c r="T58" s="51"/>
      <c r="U58" s="50"/>
    </row>
    <row r="59" spans="1:21" x14ac:dyDescent="0.25">
      <c r="A59" s="45" t="s">
        <v>20</v>
      </c>
      <c r="B59" s="46">
        <v>45701</v>
      </c>
      <c r="C59" s="45" t="s">
        <v>34</v>
      </c>
      <c r="D59" s="47" t="s">
        <v>168</v>
      </c>
      <c r="E59" s="45" t="s">
        <v>208</v>
      </c>
      <c r="F59" s="45" t="s">
        <v>209</v>
      </c>
      <c r="G59" s="45" t="s">
        <v>30</v>
      </c>
      <c r="H59" s="45" t="s">
        <v>1493</v>
      </c>
      <c r="I59" s="45" t="s">
        <v>1494</v>
      </c>
      <c r="J59" s="45">
        <v>559354638</v>
      </c>
      <c r="K59" s="45" t="s">
        <v>123</v>
      </c>
      <c r="L59" s="48">
        <v>361.48</v>
      </c>
      <c r="M59" s="49">
        <v>20241028431</v>
      </c>
      <c r="N59" s="50" t="s">
        <v>28</v>
      </c>
      <c r="O59" s="50"/>
      <c r="P59" s="50"/>
      <c r="Q59" s="51"/>
      <c r="R59" s="50"/>
      <c r="S59" s="50"/>
      <c r="T59" s="51"/>
      <c r="U59" s="50"/>
    </row>
    <row r="60" spans="1:21" x14ac:dyDescent="0.25">
      <c r="A60" s="45" t="s">
        <v>233</v>
      </c>
      <c r="B60" s="46">
        <v>45737</v>
      </c>
      <c r="C60" s="45" t="s">
        <v>34</v>
      </c>
      <c r="D60" s="47"/>
      <c r="E60" s="45" t="s">
        <v>208</v>
      </c>
      <c r="F60" s="45" t="s">
        <v>209</v>
      </c>
      <c r="G60" s="45" t="s">
        <v>1495</v>
      </c>
      <c r="H60" s="45" t="s">
        <v>341</v>
      </c>
      <c r="I60" s="45" t="s">
        <v>826</v>
      </c>
      <c r="J60" s="45">
        <v>572082337</v>
      </c>
      <c r="K60" s="45" t="s">
        <v>123</v>
      </c>
      <c r="L60" s="48">
        <v>50</v>
      </c>
      <c r="M60" s="49">
        <v>202410312116</v>
      </c>
      <c r="N60" s="50" t="s">
        <v>28</v>
      </c>
      <c r="O60" s="50"/>
      <c r="P60" s="50"/>
      <c r="Q60" s="51"/>
      <c r="R60" s="50"/>
      <c r="S60" s="50"/>
      <c r="T60" s="51"/>
      <c r="U60" s="50"/>
    </row>
    <row r="61" spans="1:21" x14ac:dyDescent="0.25">
      <c r="A61" s="45" t="s">
        <v>233</v>
      </c>
      <c r="B61" s="46">
        <v>45737</v>
      </c>
      <c r="C61" s="45" t="s">
        <v>34</v>
      </c>
      <c r="D61" s="47"/>
      <c r="E61" s="45" t="s">
        <v>208</v>
      </c>
      <c r="F61" s="45" t="s">
        <v>209</v>
      </c>
      <c r="G61" s="45" t="s">
        <v>1495</v>
      </c>
      <c r="H61" s="45" t="s">
        <v>341</v>
      </c>
      <c r="I61" s="45" t="s">
        <v>826</v>
      </c>
      <c r="J61" s="45">
        <v>572082337</v>
      </c>
      <c r="K61" s="45" t="s">
        <v>271</v>
      </c>
      <c r="L61" s="48">
        <v>74.989999999999995</v>
      </c>
      <c r="M61" s="49">
        <v>202410312117</v>
      </c>
      <c r="N61" s="50" t="s">
        <v>28</v>
      </c>
      <c r="O61" s="50"/>
      <c r="P61" s="50"/>
      <c r="Q61" s="51"/>
      <c r="R61" s="50"/>
      <c r="S61" s="50"/>
      <c r="T61" s="51"/>
      <c r="U61" s="50"/>
    </row>
    <row r="62" spans="1:21" x14ac:dyDescent="0.25">
      <c r="A62" s="45" t="s">
        <v>233</v>
      </c>
      <c r="B62" s="46">
        <v>45737</v>
      </c>
      <c r="C62" s="45" t="s">
        <v>34</v>
      </c>
      <c r="D62" s="47"/>
      <c r="E62" s="45" t="s">
        <v>208</v>
      </c>
      <c r="F62" s="45" t="s">
        <v>209</v>
      </c>
      <c r="G62" s="45" t="s">
        <v>1495</v>
      </c>
      <c r="H62" s="45" t="s">
        <v>341</v>
      </c>
      <c r="I62" s="45" t="s">
        <v>826</v>
      </c>
      <c r="J62" s="45">
        <v>572082337</v>
      </c>
      <c r="K62" s="45" t="s">
        <v>781</v>
      </c>
      <c r="L62" s="48">
        <v>74.989999999999995</v>
      </c>
      <c r="M62" s="49">
        <v>202410312118</v>
      </c>
      <c r="N62" s="50" t="s">
        <v>28</v>
      </c>
      <c r="O62" s="50"/>
      <c r="P62" s="50"/>
      <c r="Q62" s="51"/>
      <c r="R62" s="50"/>
      <c r="S62" s="50"/>
      <c r="T62" s="51"/>
      <c r="U62" s="50"/>
    </row>
    <row r="63" spans="1:21" x14ac:dyDescent="0.25">
      <c r="A63" s="45" t="s">
        <v>233</v>
      </c>
      <c r="B63" s="46">
        <v>45737</v>
      </c>
      <c r="C63" s="45" t="s">
        <v>34</v>
      </c>
      <c r="D63" s="47"/>
      <c r="E63" s="45" t="s">
        <v>208</v>
      </c>
      <c r="F63" s="45" t="s">
        <v>209</v>
      </c>
      <c r="G63" s="45" t="s">
        <v>1495</v>
      </c>
      <c r="H63" s="45" t="s">
        <v>341</v>
      </c>
      <c r="I63" s="45" t="s">
        <v>826</v>
      </c>
      <c r="J63" s="45">
        <v>572082337</v>
      </c>
      <c r="K63" s="45" t="s">
        <v>123</v>
      </c>
      <c r="L63" s="48">
        <v>20</v>
      </c>
      <c r="M63" s="49">
        <v>202410312119</v>
      </c>
      <c r="N63" s="50" t="s">
        <v>28</v>
      </c>
      <c r="O63" s="50"/>
      <c r="P63" s="50"/>
      <c r="Q63" s="51"/>
      <c r="R63" s="50"/>
      <c r="S63" s="50"/>
      <c r="T63" s="51"/>
      <c r="U63" s="50"/>
    </row>
    <row r="64" spans="1:21" x14ac:dyDescent="0.25">
      <c r="A64" s="45" t="s">
        <v>233</v>
      </c>
      <c r="B64" s="46">
        <v>45737</v>
      </c>
      <c r="C64" s="45" t="s">
        <v>34</v>
      </c>
      <c r="D64" s="47"/>
      <c r="E64" s="45" t="s">
        <v>208</v>
      </c>
      <c r="F64" s="45" t="s">
        <v>209</v>
      </c>
      <c r="G64" s="45" t="s">
        <v>1495</v>
      </c>
      <c r="H64" s="45" t="s">
        <v>341</v>
      </c>
      <c r="I64" s="45" t="s">
        <v>826</v>
      </c>
      <c r="J64" s="45">
        <v>572082337</v>
      </c>
      <c r="K64" s="45" t="s">
        <v>856</v>
      </c>
      <c r="L64" s="48">
        <v>20</v>
      </c>
      <c r="M64" s="49">
        <v>202410312120</v>
      </c>
      <c r="N64" s="50" t="s">
        <v>28</v>
      </c>
      <c r="O64" s="50"/>
      <c r="P64" s="50"/>
      <c r="Q64" s="51"/>
      <c r="R64" s="50"/>
      <c r="S64" s="50"/>
      <c r="T64" s="51"/>
      <c r="U64" s="50"/>
    </row>
    <row r="65" spans="1:21" x14ac:dyDescent="0.25">
      <c r="A65" s="45" t="s">
        <v>233</v>
      </c>
      <c r="B65" s="46">
        <v>45737</v>
      </c>
      <c r="C65" s="45" t="s">
        <v>34</v>
      </c>
      <c r="D65" s="47"/>
      <c r="E65" s="45" t="s">
        <v>208</v>
      </c>
      <c r="F65" s="45" t="s">
        <v>209</v>
      </c>
      <c r="G65" s="45" t="s">
        <v>1495</v>
      </c>
      <c r="H65" s="45" t="s">
        <v>341</v>
      </c>
      <c r="I65" s="45" t="s">
        <v>826</v>
      </c>
      <c r="J65" s="45">
        <v>572082337</v>
      </c>
      <c r="K65" s="45" t="s">
        <v>271</v>
      </c>
      <c r="L65" s="48">
        <v>20</v>
      </c>
      <c r="M65" s="49">
        <v>202410312121</v>
      </c>
      <c r="N65" s="50" t="s">
        <v>28</v>
      </c>
      <c r="O65" s="50"/>
      <c r="P65" s="50"/>
      <c r="Q65" s="51"/>
      <c r="R65" s="50"/>
      <c r="S65" s="50"/>
      <c r="T65" s="51"/>
      <c r="U65" s="50"/>
    </row>
    <row r="66" spans="1:21" x14ac:dyDescent="0.25">
      <c r="A66" s="45" t="s">
        <v>233</v>
      </c>
      <c r="B66" s="46">
        <v>45610</v>
      </c>
      <c r="C66" s="45" t="s">
        <v>175</v>
      </c>
      <c r="D66" s="47"/>
      <c r="E66" s="45" t="s">
        <v>245</v>
      </c>
      <c r="F66" s="45" t="s">
        <v>246</v>
      </c>
      <c r="G66" s="45" t="s">
        <v>1496</v>
      </c>
      <c r="H66" s="45" t="s">
        <v>1497</v>
      </c>
      <c r="I66" s="45" t="s">
        <v>1498</v>
      </c>
      <c r="J66" s="45">
        <v>117663592</v>
      </c>
      <c r="K66" s="45" t="s">
        <v>932</v>
      </c>
      <c r="L66" s="48">
        <v>58.87</v>
      </c>
      <c r="M66" s="49">
        <v>20241028472</v>
      </c>
      <c r="N66" s="50" t="s">
        <v>28</v>
      </c>
      <c r="O66" s="50"/>
      <c r="P66" s="50"/>
      <c r="Q66" s="51"/>
      <c r="R66" s="50"/>
      <c r="S66" s="50"/>
      <c r="T66" s="51"/>
      <c r="U66" s="50"/>
    </row>
    <row r="67" spans="1:21" ht="25.5" x14ac:dyDescent="0.25">
      <c r="A67" s="45" t="s">
        <v>29</v>
      </c>
      <c r="B67" s="46">
        <v>45610</v>
      </c>
      <c r="C67" s="45" t="s">
        <v>175</v>
      </c>
      <c r="D67" s="47"/>
      <c r="E67" s="45" t="s">
        <v>245</v>
      </c>
      <c r="F67" s="45" t="s">
        <v>246</v>
      </c>
      <c r="G67" s="45" t="s">
        <v>191</v>
      </c>
      <c r="H67" s="45" t="s">
        <v>1499</v>
      </c>
      <c r="I67" s="45" t="s">
        <v>1500</v>
      </c>
      <c r="J67" s="45">
        <v>122809283</v>
      </c>
      <c r="K67" s="45" t="s">
        <v>759</v>
      </c>
      <c r="L67" s="48">
        <v>265</v>
      </c>
      <c r="M67" s="49">
        <v>20241021177</v>
      </c>
      <c r="N67" s="50" t="s">
        <v>28</v>
      </c>
      <c r="O67" s="50"/>
      <c r="P67" s="50"/>
      <c r="Q67" s="51"/>
      <c r="R67" s="50"/>
      <c r="S67" s="50"/>
      <c r="T67" s="51"/>
      <c r="U67" s="50"/>
    </row>
    <row r="68" spans="1:21" x14ac:dyDescent="0.25">
      <c r="A68" s="45" t="s">
        <v>324</v>
      </c>
      <c r="B68" s="46">
        <v>45610</v>
      </c>
      <c r="C68" s="45" t="s">
        <v>175</v>
      </c>
      <c r="D68" s="47"/>
      <c r="E68" s="45" t="s">
        <v>245</v>
      </c>
      <c r="F68" s="45" t="s">
        <v>246</v>
      </c>
      <c r="G68" s="45" t="s">
        <v>1501</v>
      </c>
      <c r="H68" s="45" t="s">
        <v>1502</v>
      </c>
      <c r="I68" s="45" t="s">
        <v>789</v>
      </c>
      <c r="J68" s="45">
        <v>130559177</v>
      </c>
      <c r="K68" s="45" t="s">
        <v>1071</v>
      </c>
      <c r="L68" s="48">
        <v>50</v>
      </c>
      <c r="M68" s="49">
        <v>20241028433</v>
      </c>
      <c r="N68" s="50" t="s">
        <v>28</v>
      </c>
      <c r="O68" s="50"/>
      <c r="P68" s="50"/>
      <c r="Q68" s="51"/>
      <c r="R68" s="50"/>
      <c r="S68" s="50"/>
      <c r="T68" s="51"/>
      <c r="U68" s="50"/>
    </row>
    <row r="69" spans="1:21" ht="25.5" x14ac:dyDescent="0.25">
      <c r="A69" s="45" t="s">
        <v>233</v>
      </c>
      <c r="B69" s="46">
        <v>45610</v>
      </c>
      <c r="C69" s="45" t="s">
        <v>175</v>
      </c>
      <c r="D69" s="47"/>
      <c r="E69" s="45" t="s">
        <v>245</v>
      </c>
      <c r="F69" s="45" t="s">
        <v>246</v>
      </c>
      <c r="G69" s="45" t="s">
        <v>247</v>
      </c>
      <c r="H69" s="45" t="s">
        <v>254</v>
      </c>
      <c r="I69" s="45" t="s">
        <v>255</v>
      </c>
      <c r="J69" s="45">
        <v>137662580</v>
      </c>
      <c r="K69" s="45" t="s">
        <v>358</v>
      </c>
      <c r="L69" s="48">
        <v>57.41</v>
      </c>
      <c r="M69" s="49">
        <v>202411011379</v>
      </c>
      <c r="N69" s="50" t="s">
        <v>28</v>
      </c>
      <c r="O69" s="50"/>
      <c r="P69" s="50"/>
      <c r="Q69" s="51"/>
      <c r="R69" s="50"/>
      <c r="S69" s="50"/>
      <c r="T69" s="51"/>
      <c r="U69" s="50"/>
    </row>
    <row r="70" spans="1:21" ht="60" x14ac:dyDescent="0.25">
      <c r="A70" s="45" t="s">
        <v>233</v>
      </c>
      <c r="B70" s="46">
        <v>45610</v>
      </c>
      <c r="C70" s="45" t="s">
        <v>175</v>
      </c>
      <c r="D70" s="47"/>
      <c r="E70" s="45" t="s">
        <v>245</v>
      </c>
      <c r="F70" s="45" t="s">
        <v>246</v>
      </c>
      <c r="G70" s="45" t="s">
        <v>263</v>
      </c>
      <c r="H70" s="45" t="s">
        <v>1169</v>
      </c>
      <c r="I70" s="45" t="s">
        <v>1503</v>
      </c>
      <c r="J70" s="45">
        <v>151741207</v>
      </c>
      <c r="K70" s="45" t="s">
        <v>187</v>
      </c>
      <c r="L70" s="48">
        <v>74.959999999999994</v>
      </c>
      <c r="M70" s="49">
        <v>20241030888</v>
      </c>
      <c r="N70" s="50" t="s">
        <v>124</v>
      </c>
      <c r="O70" s="50"/>
      <c r="P70" s="50"/>
      <c r="Q70" s="51" t="s">
        <v>1504</v>
      </c>
      <c r="R70" s="50"/>
      <c r="S70" s="50"/>
      <c r="T70" s="51"/>
      <c r="U70" s="50"/>
    </row>
    <row r="71" spans="1:21" ht="25.5" x14ac:dyDescent="0.25">
      <c r="A71" s="45" t="s">
        <v>849</v>
      </c>
      <c r="B71" s="46">
        <v>45610</v>
      </c>
      <c r="C71" s="45" t="s">
        <v>175</v>
      </c>
      <c r="D71" s="47"/>
      <c r="E71" s="45" t="s">
        <v>245</v>
      </c>
      <c r="F71" s="45" t="s">
        <v>246</v>
      </c>
      <c r="G71" s="45" t="s">
        <v>1060</v>
      </c>
      <c r="H71" s="45" t="s">
        <v>870</v>
      </c>
      <c r="I71" s="45" t="s">
        <v>1505</v>
      </c>
      <c r="J71" s="45">
        <v>180687079</v>
      </c>
      <c r="K71" s="45" t="s">
        <v>56</v>
      </c>
      <c r="L71" s="48">
        <v>44</v>
      </c>
      <c r="M71" s="49">
        <v>202410312033</v>
      </c>
      <c r="N71" s="50" t="s">
        <v>1506</v>
      </c>
      <c r="O71" s="50"/>
      <c r="P71" s="50"/>
      <c r="Q71" s="51"/>
      <c r="R71" s="50"/>
      <c r="S71" s="50"/>
      <c r="T71" s="51"/>
      <c r="U71" s="50"/>
    </row>
    <row r="72" spans="1:21" ht="25.5" x14ac:dyDescent="0.25">
      <c r="A72" s="45" t="s">
        <v>849</v>
      </c>
      <c r="B72" s="46">
        <v>45610</v>
      </c>
      <c r="C72" s="45" t="s">
        <v>175</v>
      </c>
      <c r="D72" s="47"/>
      <c r="E72" s="45" t="s">
        <v>245</v>
      </c>
      <c r="F72" s="45" t="s">
        <v>246</v>
      </c>
      <c r="G72" s="45" t="s">
        <v>1060</v>
      </c>
      <c r="H72" s="45" t="s">
        <v>870</v>
      </c>
      <c r="I72" s="45" t="s">
        <v>1505</v>
      </c>
      <c r="J72" s="45">
        <v>180687079</v>
      </c>
      <c r="K72" s="45" t="s">
        <v>184</v>
      </c>
      <c r="L72" s="48">
        <v>44</v>
      </c>
      <c r="M72" s="49">
        <v>202410312034</v>
      </c>
      <c r="N72" s="50" t="s">
        <v>1506</v>
      </c>
      <c r="O72" s="50"/>
      <c r="P72" s="50"/>
      <c r="Q72" s="51"/>
      <c r="R72" s="50"/>
      <c r="S72" s="50"/>
      <c r="T72" s="51"/>
      <c r="U72" s="50"/>
    </row>
    <row r="73" spans="1:21" ht="25.5" x14ac:dyDescent="0.25">
      <c r="A73" s="45" t="s">
        <v>849</v>
      </c>
      <c r="B73" s="46">
        <v>45610</v>
      </c>
      <c r="C73" s="45" t="s">
        <v>175</v>
      </c>
      <c r="D73" s="47"/>
      <c r="E73" s="45" t="s">
        <v>245</v>
      </c>
      <c r="F73" s="45" t="s">
        <v>246</v>
      </c>
      <c r="G73" s="45" t="s">
        <v>1060</v>
      </c>
      <c r="H73" s="45" t="s">
        <v>1507</v>
      </c>
      <c r="I73" s="45" t="s">
        <v>1508</v>
      </c>
      <c r="J73" s="45">
        <v>226674633</v>
      </c>
      <c r="K73" s="45" t="s">
        <v>184</v>
      </c>
      <c r="L73" s="48">
        <v>37.39</v>
      </c>
      <c r="M73" s="49">
        <v>20241028426</v>
      </c>
      <c r="N73" s="50" t="s">
        <v>1506</v>
      </c>
      <c r="O73" s="50"/>
      <c r="P73" s="50"/>
      <c r="Q73" s="51"/>
      <c r="R73" s="50"/>
      <c r="S73" s="50"/>
      <c r="T73" s="51"/>
      <c r="U73" s="50"/>
    </row>
    <row r="74" spans="1:21" ht="25.5" x14ac:dyDescent="0.25">
      <c r="A74" s="45" t="s">
        <v>849</v>
      </c>
      <c r="B74" s="46">
        <v>45610</v>
      </c>
      <c r="C74" s="45" t="s">
        <v>175</v>
      </c>
      <c r="D74" s="47"/>
      <c r="E74" s="45" t="s">
        <v>245</v>
      </c>
      <c r="F74" s="45" t="s">
        <v>246</v>
      </c>
      <c r="G74" s="45" t="s">
        <v>1060</v>
      </c>
      <c r="H74" s="45" t="s">
        <v>1507</v>
      </c>
      <c r="I74" s="45" t="s">
        <v>1508</v>
      </c>
      <c r="J74" s="45">
        <v>226674633</v>
      </c>
      <c r="K74" s="45" t="s">
        <v>56</v>
      </c>
      <c r="L74" s="48">
        <v>37.39</v>
      </c>
      <c r="M74" s="49">
        <v>20241028420</v>
      </c>
      <c r="N74" s="50" t="s">
        <v>1506</v>
      </c>
      <c r="O74" s="50"/>
      <c r="P74" s="50"/>
      <c r="Q74" s="51"/>
      <c r="R74" s="50"/>
      <c r="S74" s="50"/>
      <c r="T74" s="51"/>
      <c r="U74" s="50"/>
    </row>
    <row r="75" spans="1:21" ht="25.5" x14ac:dyDescent="0.25">
      <c r="A75" s="45" t="s">
        <v>849</v>
      </c>
      <c r="B75" s="46">
        <v>45610</v>
      </c>
      <c r="C75" s="45" t="s">
        <v>175</v>
      </c>
      <c r="D75" s="47"/>
      <c r="E75" s="45" t="s">
        <v>245</v>
      </c>
      <c r="F75" s="45" t="s">
        <v>246</v>
      </c>
      <c r="G75" s="45" t="s">
        <v>1060</v>
      </c>
      <c r="H75" s="45" t="s">
        <v>1509</v>
      </c>
      <c r="I75" s="45" t="s">
        <v>1510</v>
      </c>
      <c r="J75" s="45">
        <v>226814768</v>
      </c>
      <c r="K75" s="45" t="s">
        <v>56</v>
      </c>
      <c r="L75" s="48">
        <v>53.98</v>
      </c>
      <c r="M75" s="49">
        <v>20241029421</v>
      </c>
      <c r="N75" s="50" t="s">
        <v>1506</v>
      </c>
      <c r="O75" s="50"/>
      <c r="P75" s="50"/>
      <c r="Q75" s="51"/>
      <c r="R75" s="50"/>
      <c r="S75" s="50"/>
      <c r="T75" s="51"/>
      <c r="U75" s="50"/>
    </row>
    <row r="76" spans="1:21" x14ac:dyDescent="0.25">
      <c r="A76" s="45" t="s">
        <v>324</v>
      </c>
      <c r="B76" s="46">
        <v>45610</v>
      </c>
      <c r="C76" s="45" t="s">
        <v>175</v>
      </c>
      <c r="D76" s="47"/>
      <c r="E76" s="45" t="s">
        <v>245</v>
      </c>
      <c r="F76" s="45" t="s">
        <v>246</v>
      </c>
      <c r="G76" s="45" t="s">
        <v>326</v>
      </c>
      <c r="H76" s="45" t="s">
        <v>329</v>
      </c>
      <c r="I76" s="45" t="s">
        <v>330</v>
      </c>
      <c r="J76" s="45">
        <v>237936224</v>
      </c>
      <c r="K76" s="45" t="s">
        <v>1511</v>
      </c>
      <c r="L76" s="48">
        <v>140</v>
      </c>
      <c r="M76" s="49">
        <v>202411011425</v>
      </c>
      <c r="N76" s="50" t="s">
        <v>28</v>
      </c>
      <c r="O76" s="50"/>
      <c r="P76" s="50"/>
      <c r="Q76" s="51"/>
      <c r="R76" s="50"/>
      <c r="S76" s="50"/>
      <c r="T76" s="51"/>
      <c r="U76" s="50"/>
    </row>
    <row r="77" spans="1:21" x14ac:dyDescent="0.25">
      <c r="A77" s="45" t="s">
        <v>233</v>
      </c>
      <c r="B77" s="46">
        <v>45610</v>
      </c>
      <c r="C77" s="45" t="s">
        <v>175</v>
      </c>
      <c r="D77" s="47"/>
      <c r="E77" s="45" t="s">
        <v>245</v>
      </c>
      <c r="F77" s="45" t="s">
        <v>246</v>
      </c>
      <c r="G77" s="45" t="s">
        <v>841</v>
      </c>
      <c r="H77" s="45" t="s">
        <v>1008</v>
      </c>
      <c r="I77" s="45" t="s">
        <v>1512</v>
      </c>
      <c r="J77" s="45">
        <v>252438578</v>
      </c>
      <c r="K77" s="45" t="s">
        <v>196</v>
      </c>
      <c r="L77" s="48">
        <v>148.44</v>
      </c>
      <c r="M77" s="49">
        <v>20241030563</v>
      </c>
      <c r="N77" s="50" t="s">
        <v>28</v>
      </c>
      <c r="O77" s="50"/>
      <c r="P77" s="50"/>
      <c r="Q77" s="51"/>
      <c r="R77" s="50"/>
      <c r="S77" s="50"/>
      <c r="T77" s="51"/>
      <c r="U77" s="50"/>
    </row>
    <row r="78" spans="1:21" x14ac:dyDescent="0.25">
      <c r="A78" s="45" t="s">
        <v>233</v>
      </c>
      <c r="B78" s="46">
        <v>45610</v>
      </c>
      <c r="C78" s="45" t="s">
        <v>175</v>
      </c>
      <c r="D78" s="47"/>
      <c r="E78" s="45" t="s">
        <v>245</v>
      </c>
      <c r="F78" s="45" t="s">
        <v>246</v>
      </c>
      <c r="G78" s="45" t="s">
        <v>841</v>
      </c>
      <c r="H78" s="45" t="s">
        <v>1513</v>
      </c>
      <c r="I78" s="45" t="s">
        <v>1514</v>
      </c>
      <c r="J78" s="45">
        <v>255731860</v>
      </c>
      <c r="K78" s="45" t="s">
        <v>1460</v>
      </c>
      <c r="L78" s="48">
        <v>817.5</v>
      </c>
      <c r="M78" s="49">
        <v>20241029332</v>
      </c>
      <c r="N78" s="50" t="s">
        <v>28</v>
      </c>
      <c r="O78" s="50"/>
      <c r="P78" s="50"/>
      <c r="Q78" s="51"/>
      <c r="R78" s="50"/>
      <c r="S78" s="50"/>
      <c r="T78" s="51"/>
      <c r="U78" s="50"/>
    </row>
    <row r="79" spans="1:21" x14ac:dyDescent="0.25">
      <c r="A79" s="45" t="s">
        <v>233</v>
      </c>
      <c r="B79" s="46">
        <v>45610</v>
      </c>
      <c r="C79" s="45" t="s">
        <v>175</v>
      </c>
      <c r="D79" s="47"/>
      <c r="E79" s="45" t="s">
        <v>245</v>
      </c>
      <c r="F79" s="45" t="s">
        <v>246</v>
      </c>
      <c r="G79" s="45" t="s">
        <v>841</v>
      </c>
      <c r="H79" s="45" t="s">
        <v>1515</v>
      </c>
      <c r="I79" s="45" t="s">
        <v>1516</v>
      </c>
      <c r="J79" s="45">
        <v>260955999</v>
      </c>
      <c r="K79" s="45" t="s">
        <v>1511</v>
      </c>
      <c r="L79" s="48">
        <v>964</v>
      </c>
      <c r="M79" s="49">
        <v>20241030565</v>
      </c>
      <c r="N79" s="50" t="s">
        <v>28</v>
      </c>
      <c r="O79" s="50"/>
      <c r="P79" s="50"/>
      <c r="Q79" s="51"/>
      <c r="R79" s="50"/>
      <c r="S79" s="50"/>
      <c r="T79" s="51"/>
      <c r="U79" s="50"/>
    </row>
    <row r="80" spans="1:21" x14ac:dyDescent="0.25">
      <c r="A80" s="45" t="s">
        <v>233</v>
      </c>
      <c r="B80" s="46">
        <v>45610</v>
      </c>
      <c r="C80" s="45" t="s">
        <v>175</v>
      </c>
      <c r="D80" s="47"/>
      <c r="E80" s="45" t="s">
        <v>245</v>
      </c>
      <c r="F80" s="45" t="s">
        <v>246</v>
      </c>
      <c r="G80" s="45" t="s">
        <v>841</v>
      </c>
      <c r="H80" s="45" t="s">
        <v>1515</v>
      </c>
      <c r="I80" s="45" t="s">
        <v>1516</v>
      </c>
      <c r="J80" s="45">
        <v>260955999</v>
      </c>
      <c r="K80" s="45" t="s">
        <v>1511</v>
      </c>
      <c r="L80" s="48">
        <v>3864</v>
      </c>
      <c r="M80" s="49">
        <v>20241030567</v>
      </c>
      <c r="N80" s="50" t="s">
        <v>28</v>
      </c>
      <c r="O80" s="50"/>
      <c r="P80" s="50"/>
      <c r="Q80" s="51"/>
      <c r="R80" s="50"/>
      <c r="S80" s="50"/>
      <c r="T80" s="51"/>
      <c r="U80" s="50"/>
    </row>
    <row r="81" spans="1:21" x14ac:dyDescent="0.25">
      <c r="A81" s="45" t="s">
        <v>20</v>
      </c>
      <c r="B81" s="46">
        <v>45701</v>
      </c>
      <c r="C81" s="45" t="s">
        <v>352</v>
      </c>
      <c r="D81" s="47" t="s">
        <v>168</v>
      </c>
      <c r="E81" s="45" t="s">
        <v>569</v>
      </c>
      <c r="F81" s="45" t="s">
        <v>570</v>
      </c>
      <c r="G81" s="45" t="s">
        <v>178</v>
      </c>
      <c r="H81" s="45" t="s">
        <v>1517</v>
      </c>
      <c r="I81" s="45" t="s">
        <v>1518</v>
      </c>
      <c r="J81" s="45">
        <v>447785616</v>
      </c>
      <c r="K81" s="45" t="s">
        <v>1460</v>
      </c>
      <c r="L81" s="48">
        <v>8.9700000000000006</v>
      </c>
      <c r="M81" s="49">
        <v>20241029647</v>
      </c>
      <c r="N81" s="50" t="s">
        <v>28</v>
      </c>
      <c r="O81" s="50"/>
      <c r="P81" s="50"/>
      <c r="Q81" s="51"/>
      <c r="R81" s="50"/>
      <c r="S81" s="50"/>
      <c r="T81" s="51"/>
      <c r="U81" s="50"/>
    </row>
    <row r="82" spans="1:21" x14ac:dyDescent="0.25">
      <c r="A82" s="45" t="s">
        <v>20</v>
      </c>
      <c r="B82" s="46">
        <v>45701</v>
      </c>
      <c r="C82" s="45" t="s">
        <v>352</v>
      </c>
      <c r="D82" s="47" t="s">
        <v>168</v>
      </c>
      <c r="E82" s="45" t="s">
        <v>569</v>
      </c>
      <c r="F82" s="45" t="s">
        <v>570</v>
      </c>
      <c r="G82" s="45" t="s">
        <v>178</v>
      </c>
      <c r="H82" s="45" t="s">
        <v>1517</v>
      </c>
      <c r="I82" s="45" t="s">
        <v>1518</v>
      </c>
      <c r="J82" s="45">
        <v>447785616</v>
      </c>
      <c r="K82" s="45" t="s">
        <v>1460</v>
      </c>
      <c r="L82" s="48">
        <v>1.89</v>
      </c>
      <c r="M82" s="49">
        <v>20241029641</v>
      </c>
      <c r="N82" s="50" t="s">
        <v>28</v>
      </c>
      <c r="O82" s="50"/>
      <c r="P82" s="50"/>
      <c r="Q82" s="51"/>
      <c r="R82" s="50"/>
      <c r="S82" s="50"/>
      <c r="T82" s="51"/>
      <c r="U82" s="50"/>
    </row>
    <row r="83" spans="1:21" x14ac:dyDescent="0.25">
      <c r="A83" s="45" t="s">
        <v>20</v>
      </c>
      <c r="B83" s="46">
        <v>45701</v>
      </c>
      <c r="C83" s="45" t="s">
        <v>352</v>
      </c>
      <c r="D83" s="47" t="s">
        <v>168</v>
      </c>
      <c r="E83" s="45" t="s">
        <v>569</v>
      </c>
      <c r="F83" s="45" t="s">
        <v>570</v>
      </c>
      <c r="G83" s="45" t="s">
        <v>326</v>
      </c>
      <c r="H83" s="45" t="s">
        <v>1008</v>
      </c>
      <c r="I83" s="45" t="s">
        <v>1350</v>
      </c>
      <c r="J83" s="45">
        <v>629623778</v>
      </c>
      <c r="K83" s="45" t="s">
        <v>399</v>
      </c>
      <c r="L83" s="48">
        <v>45.48</v>
      </c>
      <c r="M83" s="49">
        <v>20241029659</v>
      </c>
      <c r="N83" s="50" t="s">
        <v>28</v>
      </c>
      <c r="O83" s="50"/>
      <c r="P83" s="50"/>
      <c r="Q83" s="51"/>
      <c r="R83" s="50"/>
      <c r="S83" s="50"/>
      <c r="T83" s="51"/>
      <c r="U83" s="50"/>
    </row>
    <row r="84" spans="1:21" ht="60" x14ac:dyDescent="0.25">
      <c r="A84" s="45" t="s">
        <v>20</v>
      </c>
      <c r="B84" s="46">
        <v>45701</v>
      </c>
      <c r="C84" s="45" t="s">
        <v>352</v>
      </c>
      <c r="D84" s="47" t="s">
        <v>168</v>
      </c>
      <c r="E84" s="45" t="s">
        <v>569</v>
      </c>
      <c r="F84" s="45" t="s">
        <v>570</v>
      </c>
      <c r="G84" s="45" t="s">
        <v>1359</v>
      </c>
      <c r="H84" s="45" t="s">
        <v>935</v>
      </c>
      <c r="I84" s="45" t="s">
        <v>1519</v>
      </c>
      <c r="J84" s="45" t="s">
        <v>1520</v>
      </c>
      <c r="K84" s="45" t="s">
        <v>398</v>
      </c>
      <c r="L84" s="48">
        <v>5.12</v>
      </c>
      <c r="M84" s="49">
        <v>20241029636</v>
      </c>
      <c r="N84" s="50"/>
      <c r="O84" s="50"/>
      <c r="P84" s="50" t="s">
        <v>304</v>
      </c>
      <c r="Q84" s="51" t="s">
        <v>1521</v>
      </c>
      <c r="R84" s="50"/>
      <c r="S84" s="50"/>
      <c r="T84" s="51"/>
      <c r="U84" s="50"/>
    </row>
    <row r="85" spans="1:21" x14ac:dyDescent="0.25">
      <c r="A85" s="45" t="s">
        <v>20</v>
      </c>
      <c r="B85" s="46">
        <v>45701</v>
      </c>
      <c r="C85" s="45" t="s">
        <v>352</v>
      </c>
      <c r="D85" s="47" t="s">
        <v>168</v>
      </c>
      <c r="E85" s="45" t="s">
        <v>569</v>
      </c>
      <c r="F85" s="45" t="s">
        <v>570</v>
      </c>
      <c r="G85" s="45" t="s">
        <v>1359</v>
      </c>
      <c r="H85" s="45" t="s">
        <v>935</v>
      </c>
      <c r="I85" s="45" t="s">
        <v>1519</v>
      </c>
      <c r="J85" s="45" t="s">
        <v>1520</v>
      </c>
      <c r="K85" s="45" t="s">
        <v>223</v>
      </c>
      <c r="L85" s="48">
        <v>6.24</v>
      </c>
      <c r="M85" s="49">
        <v>20241029643</v>
      </c>
      <c r="N85" s="50" t="s">
        <v>28</v>
      </c>
      <c r="O85" s="50"/>
      <c r="P85" s="50"/>
      <c r="Q85" s="51"/>
      <c r="R85" s="50"/>
      <c r="S85" s="50"/>
      <c r="T85" s="51"/>
      <c r="U85" s="50"/>
    </row>
    <row r="86" spans="1:21" x14ac:dyDescent="0.25">
      <c r="A86" s="45" t="s">
        <v>20</v>
      </c>
      <c r="B86" s="46">
        <v>45701</v>
      </c>
      <c r="C86" s="45" t="s">
        <v>352</v>
      </c>
      <c r="D86" s="47" t="s">
        <v>168</v>
      </c>
      <c r="E86" s="45" t="s">
        <v>569</v>
      </c>
      <c r="F86" s="45" t="s">
        <v>570</v>
      </c>
      <c r="G86" s="45" t="s">
        <v>1359</v>
      </c>
      <c r="H86" s="45" t="s">
        <v>935</v>
      </c>
      <c r="I86" s="45" t="s">
        <v>1519</v>
      </c>
      <c r="J86" s="45" t="s">
        <v>1520</v>
      </c>
      <c r="K86" s="45" t="s">
        <v>256</v>
      </c>
      <c r="L86" s="48">
        <v>10</v>
      </c>
      <c r="M86" s="49">
        <v>20241029650</v>
      </c>
      <c r="N86" s="50" t="s">
        <v>28</v>
      </c>
      <c r="O86" s="50"/>
      <c r="P86" s="50"/>
      <c r="Q86" s="51"/>
      <c r="R86" s="50"/>
      <c r="S86" s="50"/>
      <c r="T86" s="51"/>
      <c r="U86" s="50"/>
    </row>
    <row r="87" spans="1:21" ht="120" x14ac:dyDescent="0.25">
      <c r="A87" s="45" t="s">
        <v>20</v>
      </c>
      <c r="B87" s="46">
        <v>45701</v>
      </c>
      <c r="C87" s="45" t="s">
        <v>352</v>
      </c>
      <c r="D87" s="47" t="s">
        <v>168</v>
      </c>
      <c r="E87" s="45" t="s">
        <v>84</v>
      </c>
      <c r="F87" s="45" t="s">
        <v>273</v>
      </c>
      <c r="G87" s="45" t="s">
        <v>1522</v>
      </c>
      <c r="H87" s="45" t="s">
        <v>955</v>
      </c>
      <c r="I87" s="45" t="s">
        <v>1523</v>
      </c>
      <c r="J87" s="45">
        <v>575866817</v>
      </c>
      <c r="K87" s="45" t="s">
        <v>1187</v>
      </c>
      <c r="L87" s="48">
        <v>1256.54</v>
      </c>
      <c r="M87" s="49">
        <v>20241028451</v>
      </c>
      <c r="N87" s="50"/>
      <c r="O87" s="50" t="s">
        <v>124</v>
      </c>
      <c r="P87" s="50"/>
      <c r="Q87" s="51" t="s">
        <v>1524</v>
      </c>
      <c r="R87" s="50"/>
      <c r="S87" s="50"/>
      <c r="T87" s="51"/>
      <c r="U87" s="50"/>
    </row>
    <row r="88" spans="1:21" x14ac:dyDescent="0.25">
      <c r="A88" s="45" t="s">
        <v>314</v>
      </c>
      <c r="B88" s="46">
        <v>45701</v>
      </c>
      <c r="C88" s="45" t="s">
        <v>352</v>
      </c>
      <c r="D88" s="47" t="s">
        <v>168</v>
      </c>
      <c r="E88" s="45" t="s">
        <v>277</v>
      </c>
      <c r="F88" s="45" t="s">
        <v>278</v>
      </c>
      <c r="G88" s="45" t="s">
        <v>98</v>
      </c>
      <c r="H88" s="45" t="s">
        <v>1452</v>
      </c>
      <c r="I88" s="45" t="s">
        <v>1525</v>
      </c>
      <c r="J88" s="45">
        <v>575042230</v>
      </c>
      <c r="K88" s="45" t="s">
        <v>1460</v>
      </c>
      <c r="L88" s="48">
        <v>80</v>
      </c>
      <c r="M88" s="49">
        <v>202410312137</v>
      </c>
      <c r="N88" s="50" t="s">
        <v>28</v>
      </c>
      <c r="O88" s="50"/>
      <c r="P88" s="50"/>
      <c r="Q88" s="51"/>
      <c r="R88" s="50"/>
      <c r="S88" s="50"/>
      <c r="T88" s="51"/>
      <c r="U88" s="50"/>
    </row>
    <row r="89" spans="1:21" x14ac:dyDescent="0.25">
      <c r="A89" s="45" t="s">
        <v>314</v>
      </c>
      <c r="B89" s="46">
        <v>45701</v>
      </c>
      <c r="C89" s="45" t="s">
        <v>352</v>
      </c>
      <c r="D89" s="47" t="s">
        <v>168</v>
      </c>
      <c r="E89" s="45" t="s">
        <v>277</v>
      </c>
      <c r="F89" s="45" t="s">
        <v>278</v>
      </c>
      <c r="G89" s="45" t="s">
        <v>1152</v>
      </c>
      <c r="H89" s="45" t="s">
        <v>1526</v>
      </c>
      <c r="I89" s="45" t="s">
        <v>1527</v>
      </c>
      <c r="J89" s="45">
        <v>575250771</v>
      </c>
      <c r="K89" s="45" t="s">
        <v>56</v>
      </c>
      <c r="L89" s="48">
        <v>80</v>
      </c>
      <c r="M89" s="49">
        <v>202411011434</v>
      </c>
      <c r="N89" s="50" t="s">
        <v>28</v>
      </c>
      <c r="O89" s="50"/>
      <c r="P89" s="50"/>
      <c r="Q89" s="51"/>
      <c r="R89" s="50"/>
      <c r="S89" s="50"/>
      <c r="T89" s="51"/>
      <c r="U89" s="50"/>
    </row>
    <row r="90" spans="1:21" x14ac:dyDescent="0.25">
      <c r="A90" s="45" t="s">
        <v>29</v>
      </c>
      <c r="B90" s="46">
        <v>45701</v>
      </c>
      <c r="C90" s="45" t="s">
        <v>352</v>
      </c>
      <c r="D90" s="47" t="s">
        <v>168</v>
      </c>
      <c r="E90" s="45" t="s">
        <v>277</v>
      </c>
      <c r="F90" s="45" t="s">
        <v>278</v>
      </c>
      <c r="G90" s="45" t="s">
        <v>30</v>
      </c>
      <c r="H90" s="45" t="s">
        <v>1528</v>
      </c>
      <c r="I90" s="45" t="s">
        <v>1529</v>
      </c>
      <c r="J90" s="45">
        <v>575273369</v>
      </c>
      <c r="K90" s="45" t="s">
        <v>184</v>
      </c>
      <c r="L90" s="48">
        <v>1595</v>
      </c>
      <c r="M90" s="49">
        <v>20241028542</v>
      </c>
      <c r="N90" s="50" t="s">
        <v>28</v>
      </c>
      <c r="O90" s="50"/>
      <c r="P90" s="50"/>
      <c r="Q90" s="51"/>
      <c r="R90" s="50"/>
      <c r="S90" s="50"/>
      <c r="T90" s="51"/>
      <c r="U90" s="50"/>
    </row>
    <row r="91" spans="1:21" x14ac:dyDescent="0.25">
      <c r="A91" s="45" t="s">
        <v>29</v>
      </c>
      <c r="B91" s="46">
        <v>45701</v>
      </c>
      <c r="C91" s="45" t="s">
        <v>352</v>
      </c>
      <c r="D91" s="47" t="s">
        <v>168</v>
      </c>
      <c r="E91" s="45" t="s">
        <v>277</v>
      </c>
      <c r="F91" s="45" t="s">
        <v>278</v>
      </c>
      <c r="G91" s="45" t="s">
        <v>30</v>
      </c>
      <c r="H91" s="45" t="s">
        <v>1528</v>
      </c>
      <c r="I91" s="45" t="s">
        <v>1529</v>
      </c>
      <c r="J91" s="45">
        <v>575273369</v>
      </c>
      <c r="K91" s="45" t="s">
        <v>301</v>
      </c>
      <c r="L91" s="48">
        <v>1252.25</v>
      </c>
      <c r="M91" s="49">
        <v>20241028540</v>
      </c>
      <c r="N91" s="50" t="s">
        <v>28</v>
      </c>
      <c r="O91" s="50"/>
      <c r="P91" s="50"/>
      <c r="Q91" s="51"/>
      <c r="R91" s="50"/>
      <c r="S91" s="50"/>
      <c r="T91" s="51"/>
      <c r="U91" s="50"/>
    </row>
    <row r="92" spans="1:21" x14ac:dyDescent="0.25">
      <c r="A92" s="45" t="s">
        <v>29</v>
      </c>
      <c r="B92" s="46">
        <v>45701</v>
      </c>
      <c r="C92" s="45" t="s">
        <v>352</v>
      </c>
      <c r="D92" s="47" t="s">
        <v>168</v>
      </c>
      <c r="E92" s="45" t="s">
        <v>277</v>
      </c>
      <c r="F92" s="45" t="s">
        <v>278</v>
      </c>
      <c r="G92" s="45" t="s">
        <v>30</v>
      </c>
      <c r="H92" s="45" t="s">
        <v>1528</v>
      </c>
      <c r="I92" s="45" t="s">
        <v>1529</v>
      </c>
      <c r="J92" s="45">
        <v>575273369</v>
      </c>
      <c r="K92" s="45" t="s">
        <v>48</v>
      </c>
      <c r="L92" s="48">
        <v>942.5</v>
      </c>
      <c r="M92" s="49">
        <v>20241028541</v>
      </c>
      <c r="N92" s="50" t="s">
        <v>28</v>
      </c>
      <c r="O92" s="50"/>
      <c r="P92" s="50"/>
      <c r="Q92" s="51"/>
      <c r="R92" s="50"/>
      <c r="S92" s="50"/>
      <c r="T92" s="51"/>
      <c r="U92" s="50"/>
    </row>
    <row r="93" spans="1:21" x14ac:dyDescent="0.25">
      <c r="A93" s="45" t="s">
        <v>20</v>
      </c>
      <c r="B93" s="46">
        <v>45701</v>
      </c>
      <c r="C93" s="45" t="s">
        <v>352</v>
      </c>
      <c r="D93" s="47" t="s">
        <v>168</v>
      </c>
      <c r="E93" s="45" t="s">
        <v>277</v>
      </c>
      <c r="F93" s="45" t="s">
        <v>278</v>
      </c>
      <c r="G93" s="45" t="s">
        <v>30</v>
      </c>
      <c r="H93" s="45" t="s">
        <v>1530</v>
      </c>
      <c r="I93" s="45" t="s">
        <v>1531</v>
      </c>
      <c r="J93" s="45">
        <v>575275854</v>
      </c>
      <c r="K93" s="45" t="s">
        <v>1532</v>
      </c>
      <c r="L93" s="48">
        <v>14.4</v>
      </c>
      <c r="M93" s="49">
        <v>20241029478</v>
      </c>
      <c r="N93" s="50" t="s">
        <v>28</v>
      </c>
      <c r="O93" s="50"/>
      <c r="P93" s="50"/>
      <c r="Q93" s="51"/>
      <c r="R93" s="50"/>
      <c r="S93" s="50"/>
      <c r="T93" s="51"/>
      <c r="U93" s="50"/>
    </row>
    <row r="94" spans="1:21" x14ac:dyDescent="0.25">
      <c r="A94" s="45" t="s">
        <v>20</v>
      </c>
      <c r="B94" s="46">
        <v>45701</v>
      </c>
      <c r="C94" s="45" t="s">
        <v>352</v>
      </c>
      <c r="D94" s="47" t="s">
        <v>168</v>
      </c>
      <c r="E94" s="45" t="s">
        <v>277</v>
      </c>
      <c r="F94" s="45" t="s">
        <v>278</v>
      </c>
      <c r="G94" s="45" t="s">
        <v>30</v>
      </c>
      <c r="H94" s="45" t="s">
        <v>1530</v>
      </c>
      <c r="I94" s="45" t="s">
        <v>1531</v>
      </c>
      <c r="J94" s="45">
        <v>575275854</v>
      </c>
      <c r="K94" s="45" t="s">
        <v>1533</v>
      </c>
      <c r="L94" s="48">
        <v>28.89</v>
      </c>
      <c r="M94" s="49">
        <v>20241029479</v>
      </c>
      <c r="N94" s="50" t="s">
        <v>28</v>
      </c>
      <c r="O94" s="50"/>
      <c r="P94" s="50"/>
      <c r="Q94" s="51"/>
      <c r="R94" s="50"/>
      <c r="S94" s="50"/>
      <c r="T94" s="51"/>
      <c r="U94" s="50"/>
    </row>
    <row r="95" spans="1:21" x14ac:dyDescent="0.25">
      <c r="A95" s="45" t="s">
        <v>20</v>
      </c>
      <c r="B95" s="46">
        <v>45701</v>
      </c>
      <c r="C95" s="45" t="s">
        <v>352</v>
      </c>
      <c r="D95" s="47" t="s">
        <v>168</v>
      </c>
      <c r="E95" s="45" t="s">
        <v>277</v>
      </c>
      <c r="F95" s="45" t="s">
        <v>278</v>
      </c>
      <c r="G95" s="45" t="s">
        <v>30</v>
      </c>
      <c r="H95" s="45" t="s">
        <v>1530</v>
      </c>
      <c r="I95" s="45" t="s">
        <v>1531</v>
      </c>
      <c r="J95" s="45">
        <v>575275854</v>
      </c>
      <c r="K95" s="45" t="s">
        <v>1534</v>
      </c>
      <c r="L95" s="48">
        <v>26.3</v>
      </c>
      <c r="M95" s="49">
        <v>20241029480</v>
      </c>
      <c r="N95" s="50" t="s">
        <v>28</v>
      </c>
      <c r="O95" s="50"/>
      <c r="P95" s="50"/>
      <c r="Q95" s="51"/>
      <c r="R95" s="50"/>
      <c r="S95" s="50"/>
      <c r="T95" s="51"/>
      <c r="U95" s="50"/>
    </row>
    <row r="96" spans="1:21" x14ac:dyDescent="0.25">
      <c r="A96" s="45" t="s">
        <v>20</v>
      </c>
      <c r="B96" s="46">
        <v>45701</v>
      </c>
      <c r="C96" s="45" t="s">
        <v>352</v>
      </c>
      <c r="D96" s="47" t="s">
        <v>168</v>
      </c>
      <c r="E96" s="45" t="s">
        <v>277</v>
      </c>
      <c r="F96" s="45" t="s">
        <v>278</v>
      </c>
      <c r="G96" s="45" t="s">
        <v>30</v>
      </c>
      <c r="H96" s="45" t="s">
        <v>1530</v>
      </c>
      <c r="I96" s="45" t="s">
        <v>1531</v>
      </c>
      <c r="J96" s="45">
        <v>575275854</v>
      </c>
      <c r="K96" s="45" t="s">
        <v>364</v>
      </c>
      <c r="L96" s="48">
        <v>1.49</v>
      </c>
      <c r="M96" s="49">
        <v>20241029481</v>
      </c>
      <c r="N96" s="50" t="s">
        <v>28</v>
      </c>
      <c r="O96" s="50"/>
      <c r="P96" s="50"/>
      <c r="Q96" s="51"/>
      <c r="R96" s="50"/>
      <c r="S96" s="50"/>
      <c r="T96" s="51"/>
      <c r="U96" s="50"/>
    </row>
    <row r="97" spans="1:21" x14ac:dyDescent="0.25">
      <c r="A97" s="45" t="s">
        <v>20</v>
      </c>
      <c r="B97" s="46">
        <v>45701</v>
      </c>
      <c r="C97" s="45" t="s">
        <v>352</v>
      </c>
      <c r="D97" s="47" t="s">
        <v>168</v>
      </c>
      <c r="E97" s="45" t="s">
        <v>277</v>
      </c>
      <c r="F97" s="45" t="s">
        <v>278</v>
      </c>
      <c r="G97" s="45" t="s">
        <v>30</v>
      </c>
      <c r="H97" s="45" t="s">
        <v>1530</v>
      </c>
      <c r="I97" s="45" t="s">
        <v>1531</v>
      </c>
      <c r="J97" s="45">
        <v>575275854</v>
      </c>
      <c r="K97" s="45" t="s">
        <v>364</v>
      </c>
      <c r="L97" s="48">
        <v>10</v>
      </c>
      <c r="M97" s="49">
        <v>20241029482</v>
      </c>
      <c r="N97" s="50" t="s">
        <v>28</v>
      </c>
      <c r="O97" s="50"/>
      <c r="P97" s="50"/>
      <c r="Q97" s="51"/>
      <c r="R97" s="50"/>
      <c r="S97" s="50"/>
      <c r="T97" s="51"/>
      <c r="U97" s="50"/>
    </row>
    <row r="98" spans="1:21" x14ac:dyDescent="0.25">
      <c r="A98" s="45" t="s">
        <v>20</v>
      </c>
      <c r="B98" s="46">
        <v>45701</v>
      </c>
      <c r="C98" s="45" t="s">
        <v>352</v>
      </c>
      <c r="D98" s="47" t="s">
        <v>168</v>
      </c>
      <c r="E98" s="45" t="s">
        <v>277</v>
      </c>
      <c r="F98" s="45" t="s">
        <v>278</v>
      </c>
      <c r="G98" s="45" t="s">
        <v>30</v>
      </c>
      <c r="H98" s="45" t="s">
        <v>1530</v>
      </c>
      <c r="I98" s="45" t="s">
        <v>1531</v>
      </c>
      <c r="J98" s="45">
        <v>575275854</v>
      </c>
      <c r="K98" s="45" t="s">
        <v>1535</v>
      </c>
      <c r="L98" s="48">
        <v>188.24</v>
      </c>
      <c r="M98" s="49">
        <v>20241029483</v>
      </c>
      <c r="N98" s="50" t="s">
        <v>28</v>
      </c>
      <c r="O98" s="50"/>
      <c r="P98" s="50"/>
      <c r="Q98" s="51"/>
      <c r="R98" s="50"/>
      <c r="S98" s="50"/>
      <c r="T98" s="51"/>
      <c r="U98" s="50"/>
    </row>
    <row r="99" spans="1:21" x14ac:dyDescent="0.25">
      <c r="A99" s="45" t="s">
        <v>20</v>
      </c>
      <c r="B99" s="46">
        <v>45701</v>
      </c>
      <c r="C99" s="45" t="s">
        <v>352</v>
      </c>
      <c r="D99" s="47" t="s">
        <v>168</v>
      </c>
      <c r="E99" s="45" t="s">
        <v>277</v>
      </c>
      <c r="F99" s="45" t="s">
        <v>278</v>
      </c>
      <c r="G99" s="45" t="s">
        <v>30</v>
      </c>
      <c r="H99" s="45" t="s">
        <v>1536</v>
      </c>
      <c r="I99" s="45" t="s">
        <v>1537</v>
      </c>
      <c r="J99" s="45">
        <v>575333946</v>
      </c>
      <c r="K99" s="45" t="s">
        <v>918</v>
      </c>
      <c r="L99" s="48">
        <v>139.96</v>
      </c>
      <c r="M99" s="49">
        <v>202410311972</v>
      </c>
      <c r="N99" s="50" t="s">
        <v>28</v>
      </c>
      <c r="O99" s="50"/>
      <c r="P99" s="50"/>
      <c r="Q99" s="51"/>
      <c r="R99" s="50"/>
      <c r="S99" s="50"/>
      <c r="T99" s="51"/>
      <c r="U99" s="50"/>
    </row>
    <row r="100" spans="1:21" x14ac:dyDescent="0.25">
      <c r="A100" s="45" t="s">
        <v>20</v>
      </c>
      <c r="B100" s="46">
        <v>45701</v>
      </c>
      <c r="C100" s="45" t="s">
        <v>352</v>
      </c>
      <c r="D100" s="47" t="s">
        <v>168</v>
      </c>
      <c r="E100" s="45" t="s">
        <v>277</v>
      </c>
      <c r="F100" s="45" t="s">
        <v>278</v>
      </c>
      <c r="G100" s="45" t="s">
        <v>148</v>
      </c>
      <c r="H100" s="45" t="s">
        <v>1538</v>
      </c>
      <c r="I100" s="45" t="s">
        <v>1539</v>
      </c>
      <c r="J100" s="45">
        <v>575512779</v>
      </c>
      <c r="K100" s="45" t="s">
        <v>1540</v>
      </c>
      <c r="L100" s="48">
        <v>367.13</v>
      </c>
      <c r="M100" s="49">
        <v>20241028252</v>
      </c>
      <c r="N100" s="50" t="s">
        <v>28</v>
      </c>
      <c r="O100" s="50"/>
      <c r="P100" s="50"/>
      <c r="Q100" s="51"/>
      <c r="R100" s="50"/>
      <c r="S100" s="50"/>
      <c r="T100" s="51"/>
      <c r="U100" s="50"/>
    </row>
    <row r="101" spans="1:21" ht="25.5" x14ac:dyDescent="0.25">
      <c r="A101" s="45" t="s">
        <v>29</v>
      </c>
      <c r="B101" s="46">
        <v>45701</v>
      </c>
      <c r="C101" s="45" t="s">
        <v>352</v>
      </c>
      <c r="D101" s="47" t="s">
        <v>168</v>
      </c>
      <c r="E101" s="45" t="s">
        <v>277</v>
      </c>
      <c r="F101" s="45" t="s">
        <v>278</v>
      </c>
      <c r="G101" s="45" t="s">
        <v>1184</v>
      </c>
      <c r="H101" s="45" t="s">
        <v>1541</v>
      </c>
      <c r="I101" s="45" t="s">
        <v>1542</v>
      </c>
      <c r="J101" s="45">
        <v>575650682</v>
      </c>
      <c r="K101" s="45" t="s">
        <v>1543</v>
      </c>
      <c r="L101" s="48">
        <v>118</v>
      </c>
      <c r="M101" s="49">
        <v>20241018423</v>
      </c>
      <c r="N101" s="50" t="s">
        <v>28</v>
      </c>
      <c r="O101" s="50"/>
      <c r="P101" s="50"/>
      <c r="Q101" s="51"/>
      <c r="R101" s="50"/>
      <c r="S101" s="50"/>
      <c r="T101" s="51"/>
      <c r="U101" s="50"/>
    </row>
    <row r="102" spans="1:21" ht="25.5" x14ac:dyDescent="0.25">
      <c r="A102" s="45" t="s">
        <v>20</v>
      </c>
      <c r="B102" s="46">
        <v>45701</v>
      </c>
      <c r="C102" s="45" t="s">
        <v>352</v>
      </c>
      <c r="D102" s="47" t="s">
        <v>168</v>
      </c>
      <c r="E102" s="45" t="s">
        <v>277</v>
      </c>
      <c r="F102" s="45" t="s">
        <v>278</v>
      </c>
      <c r="G102" s="45" t="s">
        <v>30</v>
      </c>
      <c r="H102" s="45" t="s">
        <v>1544</v>
      </c>
      <c r="I102" s="45" t="s">
        <v>1545</v>
      </c>
      <c r="J102" s="45">
        <v>575716692</v>
      </c>
      <c r="K102" s="45" t="s">
        <v>1033</v>
      </c>
      <c r="L102" s="48">
        <v>594.23</v>
      </c>
      <c r="M102" s="49">
        <v>20241028645</v>
      </c>
      <c r="N102" s="50" t="s">
        <v>28</v>
      </c>
      <c r="O102" s="50"/>
      <c r="P102" s="50"/>
      <c r="Q102" s="51"/>
      <c r="R102" s="50"/>
      <c r="S102" s="50"/>
      <c r="T102" s="51"/>
      <c r="U102" s="50"/>
    </row>
    <row r="103" spans="1:21" x14ac:dyDescent="0.25">
      <c r="A103" s="45" t="s">
        <v>70</v>
      </c>
      <c r="B103" s="46">
        <v>45701</v>
      </c>
      <c r="C103" s="45" t="s">
        <v>352</v>
      </c>
      <c r="D103" s="47" t="s">
        <v>168</v>
      </c>
      <c r="E103" s="45" t="s">
        <v>296</v>
      </c>
      <c r="F103" s="45" t="s">
        <v>297</v>
      </c>
      <c r="G103" s="45" t="s">
        <v>298</v>
      </c>
      <c r="H103" s="45" t="s">
        <v>1546</v>
      </c>
      <c r="I103" s="45" t="s">
        <v>1547</v>
      </c>
      <c r="J103" s="45">
        <v>73015</v>
      </c>
      <c r="K103" s="45" t="s">
        <v>184</v>
      </c>
      <c r="L103" s="48">
        <v>125</v>
      </c>
      <c r="M103" s="49">
        <v>20241029355</v>
      </c>
      <c r="N103" s="50" t="s">
        <v>28</v>
      </c>
      <c r="O103" s="50"/>
      <c r="P103" s="50"/>
      <c r="Q103" s="51"/>
      <c r="R103" s="50"/>
      <c r="S103" s="50"/>
      <c r="T103" s="51"/>
      <c r="U103" s="50"/>
    </row>
    <row r="104" spans="1:21" x14ac:dyDescent="0.25">
      <c r="A104" s="45" t="s">
        <v>70</v>
      </c>
      <c r="B104" s="46">
        <v>45701</v>
      </c>
      <c r="C104" s="45" t="s">
        <v>352</v>
      </c>
      <c r="D104" s="47" t="s">
        <v>168</v>
      </c>
      <c r="E104" s="45" t="s">
        <v>296</v>
      </c>
      <c r="F104" s="45" t="s">
        <v>297</v>
      </c>
      <c r="G104" s="45" t="s">
        <v>298</v>
      </c>
      <c r="H104" s="45" t="s">
        <v>142</v>
      </c>
      <c r="I104" s="45" t="s">
        <v>306</v>
      </c>
      <c r="J104" s="45">
        <v>73455</v>
      </c>
      <c r="K104" s="45" t="s">
        <v>1460</v>
      </c>
      <c r="L104" s="48">
        <v>15</v>
      </c>
      <c r="M104" s="49">
        <v>20241029352</v>
      </c>
      <c r="N104" s="50" t="s">
        <v>28</v>
      </c>
      <c r="O104" s="50"/>
      <c r="P104" s="50"/>
      <c r="Q104" s="51"/>
      <c r="R104" s="50"/>
      <c r="S104" s="50"/>
      <c r="T104" s="51"/>
      <c r="U104" s="50"/>
    </row>
    <row r="105" spans="1:21" x14ac:dyDescent="0.25">
      <c r="A105" s="45" t="s">
        <v>70</v>
      </c>
      <c r="B105" s="46">
        <v>45604</v>
      </c>
      <c r="C105" s="45" t="s">
        <v>114</v>
      </c>
      <c r="D105" s="47"/>
      <c r="E105" s="45" t="s">
        <v>296</v>
      </c>
      <c r="F105" s="45" t="s">
        <v>297</v>
      </c>
      <c r="G105" s="45" t="s">
        <v>298</v>
      </c>
      <c r="H105" s="45" t="s">
        <v>142</v>
      </c>
      <c r="I105" s="45" t="s">
        <v>306</v>
      </c>
      <c r="J105" s="45">
        <v>73455</v>
      </c>
      <c r="K105" s="45" t="s">
        <v>1511</v>
      </c>
      <c r="L105" s="48">
        <v>15</v>
      </c>
      <c r="M105" s="49">
        <v>202410312036</v>
      </c>
      <c r="N105" s="50" t="s">
        <v>28</v>
      </c>
      <c r="O105" s="50"/>
      <c r="P105" s="50"/>
      <c r="Q105" s="51"/>
      <c r="R105" s="50"/>
      <c r="S105" s="50"/>
      <c r="T105" s="51"/>
      <c r="U105" s="50"/>
    </row>
    <row r="106" spans="1:21" x14ac:dyDescent="0.25">
      <c r="A106" s="45" t="s">
        <v>70</v>
      </c>
      <c r="B106" s="46">
        <v>45604</v>
      </c>
      <c r="C106" s="45" t="s">
        <v>114</v>
      </c>
      <c r="D106" s="47"/>
      <c r="E106" s="45" t="s">
        <v>296</v>
      </c>
      <c r="F106" s="45" t="s">
        <v>297</v>
      </c>
      <c r="G106" s="45" t="s">
        <v>298</v>
      </c>
      <c r="H106" s="45" t="s">
        <v>307</v>
      </c>
      <c r="I106" s="45" t="s">
        <v>308</v>
      </c>
      <c r="J106" s="45">
        <v>73791</v>
      </c>
      <c r="K106" s="45" t="s">
        <v>196</v>
      </c>
      <c r="L106" s="48">
        <v>20</v>
      </c>
      <c r="M106" s="49">
        <v>20241029357</v>
      </c>
      <c r="N106" s="50" t="s">
        <v>28</v>
      </c>
      <c r="O106" s="50"/>
      <c r="P106" s="50"/>
      <c r="Q106" s="51"/>
      <c r="R106" s="50"/>
      <c r="S106" s="50"/>
      <c r="T106" s="51"/>
      <c r="U106" s="50"/>
    </row>
    <row r="107" spans="1:21" x14ac:dyDescent="0.25">
      <c r="A107" s="45" t="s">
        <v>70</v>
      </c>
      <c r="B107" s="46">
        <v>45604</v>
      </c>
      <c r="C107" s="45" t="s">
        <v>114</v>
      </c>
      <c r="D107" s="47"/>
      <c r="E107" s="45" t="s">
        <v>296</v>
      </c>
      <c r="F107" s="45" t="s">
        <v>297</v>
      </c>
      <c r="G107" s="45" t="s">
        <v>298</v>
      </c>
      <c r="H107" s="45" t="s">
        <v>307</v>
      </c>
      <c r="I107" s="45" t="s">
        <v>308</v>
      </c>
      <c r="J107" s="45">
        <v>73791</v>
      </c>
      <c r="K107" s="45" t="s">
        <v>272</v>
      </c>
      <c r="L107" s="48">
        <v>10</v>
      </c>
      <c r="M107" s="49">
        <v>20241029359</v>
      </c>
      <c r="N107" s="50" t="s">
        <v>28</v>
      </c>
      <c r="O107" s="50"/>
      <c r="P107" s="50"/>
      <c r="Q107" s="51"/>
      <c r="R107" s="50"/>
      <c r="S107" s="50"/>
      <c r="T107" s="51"/>
      <c r="U107" s="50"/>
    </row>
    <row r="108" spans="1:21" x14ac:dyDescent="0.25">
      <c r="A108" s="45" t="s">
        <v>70</v>
      </c>
      <c r="B108" s="46">
        <v>45604</v>
      </c>
      <c r="C108" s="45" t="s">
        <v>114</v>
      </c>
      <c r="D108" s="47"/>
      <c r="E108" s="45" t="s">
        <v>296</v>
      </c>
      <c r="F108" s="45" t="s">
        <v>297</v>
      </c>
      <c r="G108" s="45" t="s">
        <v>298</v>
      </c>
      <c r="H108" s="45" t="s">
        <v>307</v>
      </c>
      <c r="I108" s="45" t="s">
        <v>308</v>
      </c>
      <c r="J108" s="45">
        <v>73791</v>
      </c>
      <c r="K108" s="45" t="s">
        <v>195</v>
      </c>
      <c r="L108" s="48">
        <v>10</v>
      </c>
      <c r="M108" s="49">
        <v>20241029363</v>
      </c>
      <c r="N108" s="50" t="s">
        <v>28</v>
      </c>
      <c r="O108" s="50"/>
      <c r="P108" s="50"/>
      <c r="Q108" s="51"/>
      <c r="R108" s="50"/>
      <c r="S108" s="50"/>
      <c r="T108" s="51"/>
      <c r="U108" s="50"/>
    </row>
    <row r="109" spans="1:21" x14ac:dyDescent="0.25">
      <c r="A109" s="45" t="s">
        <v>70</v>
      </c>
      <c r="B109" s="46">
        <v>45604</v>
      </c>
      <c r="C109" s="45" t="s">
        <v>114</v>
      </c>
      <c r="D109" s="47"/>
      <c r="E109" s="45" t="s">
        <v>296</v>
      </c>
      <c r="F109" s="45" t="s">
        <v>297</v>
      </c>
      <c r="G109" s="45" t="s">
        <v>298</v>
      </c>
      <c r="H109" s="45" t="s">
        <v>307</v>
      </c>
      <c r="I109" s="45" t="s">
        <v>308</v>
      </c>
      <c r="J109" s="45">
        <v>73791</v>
      </c>
      <c r="K109" s="45" t="s">
        <v>370</v>
      </c>
      <c r="L109" s="48">
        <v>10</v>
      </c>
      <c r="M109" s="49">
        <v>20241029365</v>
      </c>
      <c r="N109" s="50" t="s">
        <v>28</v>
      </c>
      <c r="O109" s="50"/>
      <c r="P109" s="50"/>
      <c r="Q109" s="51"/>
      <c r="R109" s="50"/>
      <c r="S109" s="50"/>
      <c r="T109" s="51"/>
      <c r="U109" s="50"/>
    </row>
    <row r="110" spans="1:21" x14ac:dyDescent="0.25">
      <c r="A110" s="45" t="s">
        <v>70</v>
      </c>
      <c r="B110" s="46">
        <v>45604</v>
      </c>
      <c r="C110" s="45" t="s">
        <v>114</v>
      </c>
      <c r="D110" s="47"/>
      <c r="E110" s="45" t="s">
        <v>296</v>
      </c>
      <c r="F110" s="45" t="s">
        <v>297</v>
      </c>
      <c r="G110" s="45" t="s">
        <v>298</v>
      </c>
      <c r="H110" s="45" t="s">
        <v>307</v>
      </c>
      <c r="I110" s="45" t="s">
        <v>308</v>
      </c>
      <c r="J110" s="45">
        <v>73791</v>
      </c>
      <c r="K110" s="45" t="s">
        <v>336</v>
      </c>
      <c r="L110" s="48">
        <v>21</v>
      </c>
      <c r="M110" s="49">
        <v>20241029353</v>
      </c>
      <c r="N110" s="50" t="s">
        <v>28</v>
      </c>
      <c r="O110" s="50"/>
      <c r="P110" s="50"/>
      <c r="Q110" s="51"/>
      <c r="R110" s="50"/>
      <c r="S110" s="50"/>
      <c r="T110" s="51"/>
      <c r="U110" s="50"/>
    </row>
    <row r="111" spans="1:21" x14ac:dyDescent="0.25">
      <c r="A111" s="45" t="s">
        <v>70</v>
      </c>
      <c r="B111" s="46">
        <v>45604</v>
      </c>
      <c r="C111" s="45" t="s">
        <v>114</v>
      </c>
      <c r="D111" s="47"/>
      <c r="E111" s="45" t="s">
        <v>296</v>
      </c>
      <c r="F111" s="45" t="s">
        <v>297</v>
      </c>
      <c r="G111" s="45" t="s">
        <v>298</v>
      </c>
      <c r="H111" s="45" t="s">
        <v>307</v>
      </c>
      <c r="I111" s="45" t="s">
        <v>308</v>
      </c>
      <c r="J111" s="45">
        <v>73791</v>
      </c>
      <c r="K111" s="45" t="s">
        <v>783</v>
      </c>
      <c r="L111" s="48">
        <v>10</v>
      </c>
      <c r="M111" s="49">
        <v>20241029341</v>
      </c>
      <c r="N111" s="50" t="s">
        <v>28</v>
      </c>
      <c r="O111" s="50"/>
      <c r="P111" s="50"/>
      <c r="Q111" s="51"/>
      <c r="R111" s="50"/>
      <c r="S111" s="50"/>
      <c r="T111" s="51"/>
      <c r="U111" s="50"/>
    </row>
    <row r="112" spans="1:21" x14ac:dyDescent="0.25">
      <c r="A112" s="45" t="s">
        <v>70</v>
      </c>
      <c r="B112" s="46">
        <v>45604</v>
      </c>
      <c r="C112" s="45" t="s">
        <v>114</v>
      </c>
      <c r="D112" s="47"/>
      <c r="E112" s="45" t="s">
        <v>296</v>
      </c>
      <c r="F112" s="45" t="s">
        <v>297</v>
      </c>
      <c r="G112" s="45" t="s">
        <v>298</v>
      </c>
      <c r="H112" s="45" t="s">
        <v>1548</v>
      </c>
      <c r="I112" s="45" t="s">
        <v>1549</v>
      </c>
      <c r="J112" s="45">
        <v>74085</v>
      </c>
      <c r="K112" s="45" t="s">
        <v>56</v>
      </c>
      <c r="L112" s="48">
        <v>220</v>
      </c>
      <c r="M112" s="49">
        <v>20241028206</v>
      </c>
      <c r="N112" s="50" t="s">
        <v>28</v>
      </c>
      <c r="O112" s="50"/>
      <c r="P112" s="50"/>
      <c r="Q112" s="51"/>
      <c r="R112" s="50"/>
      <c r="S112" s="50"/>
      <c r="T112" s="51"/>
      <c r="U112" s="50"/>
    </row>
    <row r="113" spans="1:21" x14ac:dyDescent="0.25">
      <c r="A113" s="45" t="s">
        <v>20</v>
      </c>
      <c r="B113" s="46">
        <v>45604</v>
      </c>
      <c r="C113" s="45" t="s">
        <v>114</v>
      </c>
      <c r="D113" s="47"/>
      <c r="E113" s="45" t="s">
        <v>296</v>
      </c>
      <c r="F113" s="45" t="s">
        <v>297</v>
      </c>
      <c r="G113" s="45" t="s">
        <v>298</v>
      </c>
      <c r="H113" s="45" t="s">
        <v>1550</v>
      </c>
      <c r="I113" s="45" t="s">
        <v>1551</v>
      </c>
      <c r="J113" s="45">
        <v>74602</v>
      </c>
      <c r="K113" s="45" t="s">
        <v>1227</v>
      </c>
      <c r="L113" s="48">
        <v>9.89</v>
      </c>
      <c r="M113" s="49">
        <v>20241028219</v>
      </c>
      <c r="N113" s="50"/>
      <c r="O113" s="50"/>
      <c r="P113" s="50" t="s">
        <v>304</v>
      </c>
      <c r="Q113" s="51" t="s">
        <v>1552</v>
      </c>
      <c r="R113" s="50"/>
      <c r="S113" s="50"/>
      <c r="T113" s="51"/>
      <c r="U113" s="50"/>
    </row>
    <row r="114" spans="1:21" x14ac:dyDescent="0.25">
      <c r="A114" s="45" t="s">
        <v>20</v>
      </c>
      <c r="B114" s="46">
        <v>45604</v>
      </c>
      <c r="C114" s="45" t="s">
        <v>114</v>
      </c>
      <c r="D114" s="47"/>
      <c r="E114" s="45" t="s">
        <v>296</v>
      </c>
      <c r="F114" s="45" t="s">
        <v>297</v>
      </c>
      <c r="G114" s="45" t="s">
        <v>298</v>
      </c>
      <c r="H114" s="45" t="s">
        <v>1553</v>
      </c>
      <c r="I114" s="45" t="s">
        <v>1554</v>
      </c>
      <c r="J114" s="45">
        <v>75859</v>
      </c>
      <c r="K114" s="45" t="s">
        <v>59</v>
      </c>
      <c r="L114" s="48">
        <v>37.14</v>
      </c>
      <c r="M114" s="49">
        <v>20241030564</v>
      </c>
      <c r="N114" s="50" t="s">
        <v>28</v>
      </c>
      <c r="O114" s="50"/>
      <c r="P114" s="50"/>
      <c r="Q114" s="51"/>
      <c r="R114" s="50"/>
      <c r="S114" s="50"/>
      <c r="T114" s="51"/>
      <c r="U114" s="50"/>
    </row>
    <row r="115" spans="1:21" x14ac:dyDescent="0.25">
      <c r="A115" s="45" t="s">
        <v>29</v>
      </c>
      <c r="B115" s="46">
        <v>45604</v>
      </c>
      <c r="C115" s="45" t="s">
        <v>114</v>
      </c>
      <c r="D115" s="47"/>
      <c r="E115" s="45" t="s">
        <v>296</v>
      </c>
      <c r="F115" s="45" t="s">
        <v>297</v>
      </c>
      <c r="G115" s="45" t="s">
        <v>1555</v>
      </c>
      <c r="H115" s="45" t="s">
        <v>377</v>
      </c>
      <c r="I115" s="45" t="s">
        <v>1556</v>
      </c>
      <c r="J115" s="45">
        <v>4887754</v>
      </c>
      <c r="K115" s="45" t="s">
        <v>48</v>
      </c>
      <c r="L115" s="48">
        <v>766.11</v>
      </c>
      <c r="M115" s="49">
        <v>202410312094</v>
      </c>
      <c r="N115" s="50" t="s">
        <v>28</v>
      </c>
      <c r="O115" s="50"/>
      <c r="P115" s="50"/>
      <c r="Q115" s="51"/>
      <c r="R115" s="50"/>
      <c r="S115" s="50"/>
      <c r="T115" s="51"/>
      <c r="U115" s="50"/>
    </row>
    <row r="116" spans="1:21" x14ac:dyDescent="0.25">
      <c r="A116" s="45" t="s">
        <v>29</v>
      </c>
      <c r="B116" s="46">
        <v>45604</v>
      </c>
      <c r="C116" s="45" t="s">
        <v>114</v>
      </c>
      <c r="D116" s="47"/>
      <c r="E116" s="45" t="s">
        <v>296</v>
      </c>
      <c r="F116" s="45" t="s">
        <v>297</v>
      </c>
      <c r="G116" s="45" t="s">
        <v>1557</v>
      </c>
      <c r="H116" s="45" t="s">
        <v>1558</v>
      </c>
      <c r="I116" s="45" t="s">
        <v>1559</v>
      </c>
      <c r="J116" s="45">
        <v>9605405</v>
      </c>
      <c r="K116" s="45" t="s">
        <v>1358</v>
      </c>
      <c r="L116" s="48">
        <v>262.5</v>
      </c>
      <c r="M116" s="49">
        <v>20241028305</v>
      </c>
      <c r="N116" s="50" t="s">
        <v>28</v>
      </c>
      <c r="O116" s="50"/>
      <c r="P116" s="50"/>
      <c r="Q116" s="51"/>
      <c r="R116" s="50"/>
      <c r="S116" s="50"/>
      <c r="T116" s="51"/>
      <c r="U116" s="50"/>
    </row>
    <row r="117" spans="1:21" x14ac:dyDescent="0.25">
      <c r="A117" s="45" t="s">
        <v>20</v>
      </c>
      <c r="B117" s="46">
        <v>45604</v>
      </c>
      <c r="C117" s="45" t="s">
        <v>114</v>
      </c>
      <c r="D117" s="47"/>
      <c r="E117" s="45" t="s">
        <v>296</v>
      </c>
      <c r="F117" s="45" t="s">
        <v>297</v>
      </c>
      <c r="G117" s="45" t="s">
        <v>1557</v>
      </c>
      <c r="H117" s="45" t="s">
        <v>1558</v>
      </c>
      <c r="I117" s="45" t="s">
        <v>1559</v>
      </c>
      <c r="J117" s="45">
        <v>9605405</v>
      </c>
      <c r="K117" s="45" t="s">
        <v>406</v>
      </c>
      <c r="L117" s="48">
        <v>614.24</v>
      </c>
      <c r="M117" s="49">
        <v>20241016598</v>
      </c>
      <c r="N117" s="50" t="s">
        <v>28</v>
      </c>
      <c r="O117" s="50"/>
      <c r="P117" s="50"/>
      <c r="Q117" s="51"/>
      <c r="R117" s="50"/>
      <c r="S117" s="50"/>
      <c r="T117" s="51"/>
      <c r="U117" s="50"/>
    </row>
    <row r="118" spans="1:21" x14ac:dyDescent="0.25">
      <c r="A118" s="45" t="s">
        <v>324</v>
      </c>
      <c r="B118" s="46">
        <v>45617</v>
      </c>
      <c r="C118" s="45" t="s">
        <v>294</v>
      </c>
      <c r="D118" s="47"/>
      <c r="E118" s="45" t="s">
        <v>325</v>
      </c>
      <c r="F118" s="45" t="s">
        <v>278</v>
      </c>
      <c r="G118" s="45" t="s">
        <v>326</v>
      </c>
      <c r="H118" s="45" t="s">
        <v>1560</v>
      </c>
      <c r="I118" s="45" t="s">
        <v>1561</v>
      </c>
      <c r="J118" s="45">
        <v>458536078</v>
      </c>
      <c r="K118" s="45" t="s">
        <v>1460</v>
      </c>
      <c r="L118" s="48">
        <v>25.4</v>
      </c>
      <c r="M118" s="49">
        <v>20241028836</v>
      </c>
      <c r="N118" s="50" t="s">
        <v>28</v>
      </c>
      <c r="O118" s="50"/>
      <c r="P118" s="50"/>
      <c r="Q118" s="51"/>
      <c r="R118" s="50"/>
      <c r="S118" s="50"/>
      <c r="T118" s="51"/>
      <c r="U118" s="50"/>
    </row>
    <row r="119" spans="1:21" x14ac:dyDescent="0.25">
      <c r="A119" s="45" t="s">
        <v>324</v>
      </c>
      <c r="B119" s="46">
        <v>45617</v>
      </c>
      <c r="C119" s="45" t="s">
        <v>294</v>
      </c>
      <c r="D119" s="47"/>
      <c r="E119" s="45" t="s">
        <v>325</v>
      </c>
      <c r="F119" s="45" t="s">
        <v>278</v>
      </c>
      <c r="G119" s="45" t="s">
        <v>326</v>
      </c>
      <c r="H119" s="45" t="s">
        <v>1560</v>
      </c>
      <c r="I119" s="45" t="s">
        <v>1561</v>
      </c>
      <c r="J119" s="45">
        <v>458536078</v>
      </c>
      <c r="K119" s="45" t="s">
        <v>1227</v>
      </c>
      <c r="L119" s="48">
        <v>9.9700000000000006</v>
      </c>
      <c r="M119" s="49">
        <v>20241028837</v>
      </c>
      <c r="N119" s="50" t="s">
        <v>28</v>
      </c>
      <c r="O119" s="50"/>
      <c r="P119" s="50"/>
      <c r="Q119" s="51"/>
      <c r="R119" s="50"/>
      <c r="S119" s="50"/>
      <c r="T119" s="51"/>
      <c r="U119" s="50"/>
    </row>
    <row r="120" spans="1:21" ht="25.5" x14ac:dyDescent="0.25">
      <c r="A120" s="45" t="s">
        <v>20</v>
      </c>
      <c r="B120" s="46">
        <v>45604</v>
      </c>
      <c r="C120" s="45" t="s">
        <v>114</v>
      </c>
      <c r="D120" s="47"/>
      <c r="E120" s="45" t="s">
        <v>325</v>
      </c>
      <c r="F120" s="45" t="s">
        <v>278</v>
      </c>
      <c r="G120" s="45" t="s">
        <v>1562</v>
      </c>
      <c r="H120" s="45" t="s">
        <v>242</v>
      </c>
      <c r="I120" s="45" t="s">
        <v>1563</v>
      </c>
      <c r="J120" s="45">
        <v>461982361</v>
      </c>
      <c r="K120" s="45" t="s">
        <v>999</v>
      </c>
      <c r="L120" s="48">
        <v>528.69000000000005</v>
      </c>
      <c r="M120" s="49">
        <v>20241029731</v>
      </c>
      <c r="N120" s="50" t="s">
        <v>28</v>
      </c>
      <c r="O120" s="50"/>
      <c r="P120" s="50"/>
      <c r="Q120" s="51"/>
      <c r="R120" s="50"/>
      <c r="S120" s="50"/>
      <c r="T120" s="51"/>
      <c r="U120" s="50"/>
    </row>
    <row r="121" spans="1:21" x14ac:dyDescent="0.25">
      <c r="A121" s="45" t="s">
        <v>324</v>
      </c>
      <c r="B121" s="46">
        <v>45617</v>
      </c>
      <c r="C121" s="45" t="s">
        <v>294</v>
      </c>
      <c r="D121" s="47"/>
      <c r="E121" s="45" t="s">
        <v>325</v>
      </c>
      <c r="F121" s="45" t="s">
        <v>278</v>
      </c>
      <c r="G121" s="45" t="s">
        <v>326</v>
      </c>
      <c r="H121" s="45" t="s">
        <v>1564</v>
      </c>
      <c r="I121" s="45" t="s">
        <v>308</v>
      </c>
      <c r="J121" s="45">
        <v>463049396</v>
      </c>
      <c r="K121" s="45" t="s">
        <v>56</v>
      </c>
      <c r="L121" s="48">
        <v>256.5</v>
      </c>
      <c r="M121" s="49">
        <v>20241028838</v>
      </c>
      <c r="N121" s="50" t="s">
        <v>28</v>
      </c>
      <c r="O121" s="50"/>
      <c r="P121" s="50"/>
      <c r="Q121" s="51"/>
      <c r="R121" s="50"/>
      <c r="S121" s="50"/>
      <c r="T121" s="51"/>
      <c r="U121" s="50"/>
    </row>
    <row r="122" spans="1:21" x14ac:dyDescent="0.25">
      <c r="A122" s="45" t="s">
        <v>324</v>
      </c>
      <c r="B122" s="46">
        <v>45617</v>
      </c>
      <c r="C122" s="45" t="s">
        <v>294</v>
      </c>
      <c r="D122" s="47"/>
      <c r="E122" s="45" t="s">
        <v>325</v>
      </c>
      <c r="F122" s="45" t="s">
        <v>278</v>
      </c>
      <c r="G122" s="45" t="s">
        <v>326</v>
      </c>
      <c r="H122" s="45" t="s">
        <v>1429</v>
      </c>
      <c r="I122" s="45" t="s">
        <v>1565</v>
      </c>
      <c r="J122" s="45">
        <v>465659854</v>
      </c>
      <c r="K122" s="45" t="s">
        <v>37</v>
      </c>
      <c r="L122" s="48">
        <v>22.67</v>
      </c>
      <c r="M122" s="49">
        <v>20241029733</v>
      </c>
      <c r="N122" s="50" t="s">
        <v>28</v>
      </c>
      <c r="O122" s="50"/>
      <c r="P122" s="50"/>
      <c r="Q122" s="51"/>
      <c r="R122" s="50"/>
      <c r="S122" s="50"/>
      <c r="T122" s="51"/>
      <c r="U122" s="50"/>
    </row>
    <row r="123" spans="1:21" x14ac:dyDescent="0.25">
      <c r="A123" s="45" t="s">
        <v>324</v>
      </c>
      <c r="B123" s="46">
        <v>45617</v>
      </c>
      <c r="C123" s="45" t="s">
        <v>294</v>
      </c>
      <c r="D123" s="47"/>
      <c r="E123" s="45" t="s">
        <v>325</v>
      </c>
      <c r="F123" s="45" t="s">
        <v>278</v>
      </c>
      <c r="G123" s="45" t="s">
        <v>326</v>
      </c>
      <c r="H123" s="45" t="s">
        <v>1429</v>
      </c>
      <c r="I123" s="45" t="s">
        <v>1565</v>
      </c>
      <c r="J123" s="45">
        <v>465659854</v>
      </c>
      <c r="K123" s="45" t="s">
        <v>1219</v>
      </c>
      <c r="L123" s="48">
        <v>15</v>
      </c>
      <c r="M123" s="49">
        <v>20241029734</v>
      </c>
      <c r="N123" s="50" t="s">
        <v>28</v>
      </c>
      <c r="O123" s="50"/>
      <c r="P123" s="50"/>
      <c r="Q123" s="51"/>
      <c r="R123" s="50"/>
      <c r="S123" s="50"/>
      <c r="T123" s="51"/>
      <c r="U123" s="50"/>
    </row>
    <row r="124" spans="1:21" x14ac:dyDescent="0.25">
      <c r="A124" s="45" t="s">
        <v>324</v>
      </c>
      <c r="B124" s="46">
        <v>45617</v>
      </c>
      <c r="C124" s="45" t="s">
        <v>294</v>
      </c>
      <c r="D124" s="47"/>
      <c r="E124" s="45" t="s">
        <v>325</v>
      </c>
      <c r="F124" s="45" t="s">
        <v>278</v>
      </c>
      <c r="G124" s="45" t="s">
        <v>326</v>
      </c>
      <c r="H124" s="45" t="s">
        <v>1429</v>
      </c>
      <c r="I124" s="45" t="s">
        <v>1565</v>
      </c>
      <c r="J124" s="45">
        <v>465659854</v>
      </c>
      <c r="K124" s="45" t="s">
        <v>1566</v>
      </c>
      <c r="L124" s="48">
        <v>22.87</v>
      </c>
      <c r="M124" s="49">
        <v>20241029735</v>
      </c>
      <c r="N124" s="50" t="s">
        <v>28</v>
      </c>
      <c r="O124" s="50"/>
      <c r="P124" s="50"/>
      <c r="Q124" s="51"/>
      <c r="R124" s="50"/>
      <c r="S124" s="50"/>
      <c r="T124" s="51"/>
      <c r="U124" s="50"/>
    </row>
    <row r="125" spans="1:21" x14ac:dyDescent="0.25">
      <c r="A125" s="45" t="s">
        <v>324</v>
      </c>
      <c r="B125" s="46">
        <v>45617</v>
      </c>
      <c r="C125" s="45" t="s">
        <v>294</v>
      </c>
      <c r="D125" s="47"/>
      <c r="E125" s="45" t="s">
        <v>325</v>
      </c>
      <c r="F125" s="45" t="s">
        <v>278</v>
      </c>
      <c r="G125" s="45" t="s">
        <v>326</v>
      </c>
      <c r="H125" s="45" t="s">
        <v>1429</v>
      </c>
      <c r="I125" s="45" t="s">
        <v>1565</v>
      </c>
      <c r="J125" s="45">
        <v>465659854</v>
      </c>
      <c r="K125" s="45" t="s">
        <v>759</v>
      </c>
      <c r="L125" s="48">
        <v>14.68</v>
      </c>
      <c r="M125" s="49">
        <v>20241029736</v>
      </c>
      <c r="N125" s="50" t="s">
        <v>28</v>
      </c>
      <c r="O125" s="50"/>
      <c r="P125" s="50"/>
      <c r="Q125" s="51"/>
      <c r="R125" s="50"/>
      <c r="S125" s="50"/>
      <c r="T125" s="51"/>
      <c r="U125" s="50"/>
    </row>
    <row r="126" spans="1:21" x14ac:dyDescent="0.25">
      <c r="A126" s="45" t="s">
        <v>324</v>
      </c>
      <c r="B126" s="46">
        <v>45617</v>
      </c>
      <c r="C126" s="45" t="s">
        <v>294</v>
      </c>
      <c r="D126" s="47"/>
      <c r="E126" s="45" t="s">
        <v>325</v>
      </c>
      <c r="F126" s="45" t="s">
        <v>278</v>
      </c>
      <c r="G126" s="45" t="s">
        <v>326</v>
      </c>
      <c r="H126" s="45" t="s">
        <v>1429</v>
      </c>
      <c r="I126" s="45" t="s">
        <v>1565</v>
      </c>
      <c r="J126" s="45">
        <v>465659854</v>
      </c>
      <c r="K126" s="45" t="s">
        <v>123</v>
      </c>
      <c r="L126" s="48">
        <v>76.25</v>
      </c>
      <c r="M126" s="49">
        <v>20241029737</v>
      </c>
      <c r="N126" s="50" t="s">
        <v>28</v>
      </c>
      <c r="O126" s="50"/>
      <c r="P126" s="50"/>
      <c r="Q126" s="51"/>
      <c r="R126" s="50"/>
      <c r="S126" s="50"/>
      <c r="T126" s="51"/>
      <c r="U126" s="50"/>
    </row>
    <row r="127" spans="1:21" x14ac:dyDescent="0.25">
      <c r="A127" s="45" t="s">
        <v>324</v>
      </c>
      <c r="B127" s="46">
        <v>45617</v>
      </c>
      <c r="C127" s="45" t="s">
        <v>294</v>
      </c>
      <c r="D127" s="47"/>
      <c r="E127" s="45" t="s">
        <v>325</v>
      </c>
      <c r="F127" s="45" t="s">
        <v>278</v>
      </c>
      <c r="G127" s="45" t="s">
        <v>326</v>
      </c>
      <c r="H127" s="45" t="s">
        <v>1567</v>
      </c>
      <c r="I127" s="45" t="s">
        <v>1568</v>
      </c>
      <c r="J127" s="45">
        <v>467932630</v>
      </c>
      <c r="K127" s="45" t="s">
        <v>1358</v>
      </c>
      <c r="L127" s="48">
        <v>548.97</v>
      </c>
      <c r="M127" s="49">
        <v>20241028839</v>
      </c>
      <c r="N127" s="50" t="s">
        <v>28</v>
      </c>
      <c r="O127" s="50"/>
      <c r="P127" s="50"/>
      <c r="Q127" s="51"/>
      <c r="R127" s="50"/>
      <c r="S127" s="50"/>
      <c r="T127" s="51"/>
      <c r="U127" s="50"/>
    </row>
    <row r="128" spans="1:21" x14ac:dyDescent="0.25">
      <c r="A128" s="45" t="s">
        <v>233</v>
      </c>
      <c r="B128" s="46">
        <v>45617</v>
      </c>
      <c r="C128" s="45" t="s">
        <v>294</v>
      </c>
      <c r="D128" s="47"/>
      <c r="E128" s="45" t="s">
        <v>325</v>
      </c>
      <c r="F128" s="45" t="s">
        <v>278</v>
      </c>
      <c r="G128" s="45" t="s">
        <v>347</v>
      </c>
      <c r="H128" s="45" t="s">
        <v>1569</v>
      </c>
      <c r="I128" s="45" t="s">
        <v>1570</v>
      </c>
      <c r="J128" s="45">
        <v>520196663</v>
      </c>
      <c r="K128" s="45" t="s">
        <v>387</v>
      </c>
      <c r="L128" s="48">
        <v>162.78</v>
      </c>
      <c r="M128" s="49">
        <v>20241028835</v>
      </c>
      <c r="N128" s="50" t="s">
        <v>28</v>
      </c>
      <c r="O128" s="50"/>
      <c r="P128" s="50"/>
      <c r="Q128" s="51"/>
      <c r="R128" s="50"/>
      <c r="S128" s="50"/>
      <c r="T128" s="51"/>
      <c r="U128" s="50"/>
    </row>
    <row r="129" spans="1:21" ht="25.5" x14ac:dyDescent="0.25">
      <c r="A129" s="45" t="s">
        <v>233</v>
      </c>
      <c r="B129" s="46">
        <v>45617</v>
      </c>
      <c r="C129" s="45" t="s">
        <v>294</v>
      </c>
      <c r="D129" s="47"/>
      <c r="E129" s="45" t="s">
        <v>325</v>
      </c>
      <c r="F129" s="45" t="s">
        <v>278</v>
      </c>
      <c r="G129" s="45" t="s">
        <v>333</v>
      </c>
      <c r="H129" s="45" t="s">
        <v>1571</v>
      </c>
      <c r="I129" s="45" t="s">
        <v>1572</v>
      </c>
      <c r="J129" s="45">
        <v>540578109</v>
      </c>
      <c r="K129" s="45" t="s">
        <v>1230</v>
      </c>
      <c r="L129" s="48">
        <v>175</v>
      </c>
      <c r="M129" s="49">
        <v>20241028834</v>
      </c>
      <c r="N129" s="50" t="s">
        <v>28</v>
      </c>
      <c r="O129" s="50"/>
      <c r="P129" s="50"/>
      <c r="Q129" s="51"/>
      <c r="R129" s="50"/>
      <c r="S129" s="50"/>
      <c r="T129" s="51"/>
      <c r="U129" s="50"/>
    </row>
    <row r="130" spans="1:21" ht="25.5" x14ac:dyDescent="0.25">
      <c r="A130" s="45" t="s">
        <v>233</v>
      </c>
      <c r="B130" s="46">
        <v>45617</v>
      </c>
      <c r="C130" s="45" t="s">
        <v>294</v>
      </c>
      <c r="D130" s="47"/>
      <c r="E130" s="45" t="s">
        <v>325</v>
      </c>
      <c r="F130" s="45" t="s">
        <v>278</v>
      </c>
      <c r="G130" s="45" t="s">
        <v>333</v>
      </c>
      <c r="H130" s="45" t="s">
        <v>322</v>
      </c>
      <c r="I130" s="45" t="s">
        <v>1573</v>
      </c>
      <c r="J130" s="45">
        <v>619824181</v>
      </c>
      <c r="K130" s="45" t="s">
        <v>1460</v>
      </c>
      <c r="L130" s="48">
        <v>146</v>
      </c>
      <c r="M130" s="49">
        <v>20241029732</v>
      </c>
      <c r="N130" s="50" t="s">
        <v>28</v>
      </c>
      <c r="O130" s="50"/>
      <c r="P130" s="50"/>
      <c r="Q130" s="51"/>
      <c r="R130" s="50"/>
      <c r="S130" s="50"/>
      <c r="T130" s="51"/>
      <c r="U130" s="50"/>
    </row>
    <row r="131" spans="1:21" x14ac:dyDescent="0.25">
      <c r="A131" s="45" t="s">
        <v>29</v>
      </c>
      <c r="B131" s="46">
        <v>45604</v>
      </c>
      <c r="C131" s="45" t="s">
        <v>114</v>
      </c>
      <c r="D131" s="47"/>
      <c r="E131" s="45" t="s">
        <v>353</v>
      </c>
      <c r="F131" s="45" t="s">
        <v>354</v>
      </c>
      <c r="G131" s="45" t="s">
        <v>30</v>
      </c>
      <c r="H131" s="45" t="s">
        <v>1574</v>
      </c>
      <c r="I131" s="45" t="s">
        <v>1575</v>
      </c>
      <c r="J131" s="45">
        <v>575452960</v>
      </c>
      <c r="K131" s="45" t="s">
        <v>48</v>
      </c>
      <c r="L131" s="48">
        <v>240</v>
      </c>
      <c r="M131" s="49">
        <v>20241028517</v>
      </c>
      <c r="N131" s="50" t="s">
        <v>28</v>
      </c>
      <c r="O131" s="50"/>
      <c r="P131" s="50"/>
      <c r="Q131" s="51"/>
      <c r="R131" s="50"/>
      <c r="S131" s="50"/>
      <c r="T131" s="51"/>
      <c r="U131" s="50"/>
    </row>
    <row r="132" spans="1:21" x14ac:dyDescent="0.25">
      <c r="A132" s="45" t="s">
        <v>20</v>
      </c>
      <c r="B132" s="46">
        <v>45631</v>
      </c>
      <c r="C132" s="45" t="s">
        <v>168</v>
      </c>
      <c r="D132" s="47"/>
      <c r="E132" s="45" t="s">
        <v>353</v>
      </c>
      <c r="F132" s="45" t="s">
        <v>354</v>
      </c>
      <c r="G132" s="45" t="s">
        <v>148</v>
      </c>
      <c r="H132" s="45" t="s">
        <v>1538</v>
      </c>
      <c r="I132" s="45" t="s">
        <v>1539</v>
      </c>
      <c r="J132" s="45">
        <v>575512779</v>
      </c>
      <c r="K132" s="45" t="s">
        <v>379</v>
      </c>
      <c r="L132" s="48">
        <v>58</v>
      </c>
      <c r="M132" s="49">
        <v>20241028244</v>
      </c>
      <c r="N132" s="50" t="s">
        <v>28</v>
      </c>
      <c r="O132" s="50"/>
      <c r="P132" s="50"/>
      <c r="Q132" s="51"/>
      <c r="R132" s="50"/>
      <c r="S132" s="50"/>
      <c r="T132" s="51"/>
      <c r="U132" s="50"/>
    </row>
    <row r="133" spans="1:21" x14ac:dyDescent="0.25">
      <c r="A133" s="45" t="s">
        <v>20</v>
      </c>
      <c r="B133" s="46">
        <v>45631</v>
      </c>
      <c r="C133" s="45" t="s">
        <v>168</v>
      </c>
      <c r="D133" s="47"/>
      <c r="E133" s="45" t="s">
        <v>353</v>
      </c>
      <c r="F133" s="45" t="s">
        <v>354</v>
      </c>
      <c r="G133" s="45" t="s">
        <v>148</v>
      </c>
      <c r="H133" s="45" t="s">
        <v>1538</v>
      </c>
      <c r="I133" s="45" t="s">
        <v>1539</v>
      </c>
      <c r="J133" s="45">
        <v>575512779</v>
      </c>
      <c r="K133" s="45" t="s">
        <v>840</v>
      </c>
      <c r="L133" s="48">
        <v>13.98</v>
      </c>
      <c r="M133" s="49">
        <v>20241028247</v>
      </c>
      <c r="N133" s="50" t="s">
        <v>28</v>
      </c>
      <c r="O133" s="50"/>
      <c r="P133" s="50"/>
      <c r="Q133" s="51"/>
      <c r="R133" s="50"/>
      <c r="S133" s="50"/>
      <c r="T133" s="51"/>
      <c r="U133" s="50"/>
    </row>
    <row r="134" spans="1:21" x14ac:dyDescent="0.25">
      <c r="A134" s="45" t="s">
        <v>20</v>
      </c>
      <c r="B134" s="46">
        <v>45631</v>
      </c>
      <c r="C134" s="45" t="s">
        <v>168</v>
      </c>
      <c r="D134" s="47"/>
      <c r="E134" s="45" t="s">
        <v>353</v>
      </c>
      <c r="F134" s="45" t="s">
        <v>354</v>
      </c>
      <c r="G134" s="45" t="s">
        <v>148</v>
      </c>
      <c r="H134" s="45" t="s">
        <v>1538</v>
      </c>
      <c r="I134" s="45" t="s">
        <v>1539</v>
      </c>
      <c r="J134" s="45">
        <v>575512779</v>
      </c>
      <c r="K134" s="45" t="s">
        <v>747</v>
      </c>
      <c r="L134" s="48">
        <v>5.99</v>
      </c>
      <c r="M134" s="49">
        <v>20241028271</v>
      </c>
      <c r="N134" s="50" t="s">
        <v>28</v>
      </c>
      <c r="O134" s="50"/>
      <c r="P134" s="50"/>
      <c r="Q134" s="51"/>
      <c r="R134" s="50"/>
      <c r="S134" s="50"/>
      <c r="T134" s="51"/>
      <c r="U134" s="50"/>
    </row>
    <row r="135" spans="1:21" x14ac:dyDescent="0.25">
      <c r="A135" s="45" t="s">
        <v>20</v>
      </c>
      <c r="B135" s="46">
        <v>45631</v>
      </c>
      <c r="C135" s="45" t="s">
        <v>168</v>
      </c>
      <c r="D135" s="47"/>
      <c r="E135" s="45" t="s">
        <v>353</v>
      </c>
      <c r="F135" s="45" t="s">
        <v>354</v>
      </c>
      <c r="G135" s="45" t="s">
        <v>148</v>
      </c>
      <c r="H135" s="45" t="s">
        <v>1538</v>
      </c>
      <c r="I135" s="45" t="s">
        <v>1539</v>
      </c>
      <c r="J135" s="45">
        <v>575512779</v>
      </c>
      <c r="K135" s="45" t="s">
        <v>147</v>
      </c>
      <c r="L135" s="48">
        <v>34.25</v>
      </c>
      <c r="M135" s="49">
        <v>20241028274</v>
      </c>
      <c r="N135" s="50" t="s">
        <v>28</v>
      </c>
      <c r="O135" s="50"/>
      <c r="P135" s="50"/>
      <c r="Q135" s="51"/>
      <c r="R135" s="50"/>
      <c r="S135" s="50"/>
      <c r="T135" s="51"/>
      <c r="U135" s="50"/>
    </row>
    <row r="136" spans="1:21" x14ac:dyDescent="0.25">
      <c r="A136" s="45" t="s">
        <v>20</v>
      </c>
      <c r="B136" s="46">
        <v>45631</v>
      </c>
      <c r="C136" s="45" t="s">
        <v>168</v>
      </c>
      <c r="D136" s="47"/>
      <c r="E136" s="45" t="s">
        <v>353</v>
      </c>
      <c r="F136" s="45" t="s">
        <v>354</v>
      </c>
      <c r="G136" s="45" t="s">
        <v>148</v>
      </c>
      <c r="H136" s="45" t="s">
        <v>1538</v>
      </c>
      <c r="I136" s="45" t="s">
        <v>1539</v>
      </c>
      <c r="J136" s="45">
        <v>575512779</v>
      </c>
      <c r="K136" s="45" t="s">
        <v>1540</v>
      </c>
      <c r="L136" s="48">
        <v>367.13</v>
      </c>
      <c r="M136" s="49">
        <v>20241028252</v>
      </c>
      <c r="N136" s="50" t="s">
        <v>28</v>
      </c>
      <c r="O136" s="50"/>
      <c r="P136" s="50"/>
      <c r="Q136" s="51"/>
      <c r="R136" s="50"/>
      <c r="S136" s="50"/>
      <c r="T136" s="51"/>
      <c r="U136" s="50"/>
    </row>
    <row r="137" spans="1:21" x14ac:dyDescent="0.25">
      <c r="A137" s="45" t="s">
        <v>29</v>
      </c>
      <c r="B137" s="46">
        <v>45631</v>
      </c>
      <c r="C137" s="45" t="s">
        <v>168</v>
      </c>
      <c r="D137" s="47"/>
      <c r="E137" s="45" t="s">
        <v>353</v>
      </c>
      <c r="F137" s="45" t="s">
        <v>354</v>
      </c>
      <c r="G137" s="45" t="s">
        <v>30</v>
      </c>
      <c r="H137" s="45" t="s">
        <v>1576</v>
      </c>
      <c r="I137" s="45" t="s">
        <v>1577</v>
      </c>
      <c r="J137" s="45">
        <v>575537476</v>
      </c>
      <c r="K137" s="45" t="s">
        <v>184</v>
      </c>
      <c r="L137" s="48">
        <v>394.33</v>
      </c>
      <c r="M137" s="49">
        <v>20241028572</v>
      </c>
      <c r="N137" s="50" t="s">
        <v>28</v>
      </c>
      <c r="O137" s="50"/>
      <c r="P137" s="50"/>
      <c r="Q137" s="51"/>
      <c r="R137" s="50"/>
      <c r="S137" s="50"/>
      <c r="T137" s="51"/>
      <c r="U137" s="50"/>
    </row>
    <row r="138" spans="1:21" ht="25.5" x14ac:dyDescent="0.25">
      <c r="A138" s="45" t="s">
        <v>20</v>
      </c>
      <c r="B138" s="46">
        <v>45631</v>
      </c>
      <c r="C138" s="45" t="s">
        <v>168</v>
      </c>
      <c r="D138" s="47"/>
      <c r="E138" s="45" t="s">
        <v>353</v>
      </c>
      <c r="F138" s="45" t="s">
        <v>354</v>
      </c>
      <c r="G138" s="45" t="s">
        <v>30</v>
      </c>
      <c r="H138" s="45" t="s">
        <v>1578</v>
      </c>
      <c r="I138" s="45" t="s">
        <v>1579</v>
      </c>
      <c r="J138" s="45">
        <v>575592236</v>
      </c>
      <c r="K138" s="45" t="s">
        <v>416</v>
      </c>
      <c r="L138" s="48">
        <v>21.13</v>
      </c>
      <c r="M138" s="49">
        <v>20241028338</v>
      </c>
      <c r="N138" s="50" t="s">
        <v>28</v>
      </c>
      <c r="O138" s="50"/>
      <c r="P138" s="50"/>
      <c r="Q138" s="51"/>
      <c r="R138" s="50"/>
      <c r="S138" s="50"/>
      <c r="T138" s="51"/>
      <c r="U138" s="50"/>
    </row>
    <row r="139" spans="1:21" x14ac:dyDescent="0.25">
      <c r="A139" s="45" t="s">
        <v>29</v>
      </c>
      <c r="B139" s="46">
        <v>45631</v>
      </c>
      <c r="C139" s="45" t="s">
        <v>168</v>
      </c>
      <c r="D139" s="47"/>
      <c r="E139" s="45" t="s">
        <v>353</v>
      </c>
      <c r="F139" s="45" t="s">
        <v>354</v>
      </c>
      <c r="G139" s="45" t="s">
        <v>30</v>
      </c>
      <c r="H139" s="45" t="s">
        <v>1580</v>
      </c>
      <c r="I139" s="45" t="s">
        <v>1581</v>
      </c>
      <c r="J139" s="45">
        <v>575712715</v>
      </c>
      <c r="K139" s="45" t="s">
        <v>184</v>
      </c>
      <c r="L139" s="48">
        <v>1459</v>
      </c>
      <c r="M139" s="49">
        <v>20241028569</v>
      </c>
      <c r="N139" s="50" t="s">
        <v>28</v>
      </c>
      <c r="O139" s="50"/>
      <c r="P139" s="50"/>
      <c r="Q139" s="51"/>
      <c r="R139" s="50"/>
      <c r="S139" s="50"/>
      <c r="T139" s="51"/>
      <c r="U139" s="50"/>
    </row>
    <row r="140" spans="1:21" x14ac:dyDescent="0.25">
      <c r="A140" s="45" t="s">
        <v>29</v>
      </c>
      <c r="B140" s="46">
        <v>45631</v>
      </c>
      <c r="C140" s="45" t="s">
        <v>168</v>
      </c>
      <c r="D140" s="47"/>
      <c r="E140" s="45" t="s">
        <v>353</v>
      </c>
      <c r="F140" s="45" t="s">
        <v>354</v>
      </c>
      <c r="G140" s="45" t="s">
        <v>30</v>
      </c>
      <c r="H140" s="45" t="s">
        <v>1582</v>
      </c>
      <c r="I140" s="45" t="s">
        <v>1583</v>
      </c>
      <c r="J140" s="45">
        <v>575786476</v>
      </c>
      <c r="K140" s="45" t="s">
        <v>184</v>
      </c>
      <c r="L140" s="48">
        <v>160</v>
      </c>
      <c r="M140" s="49">
        <v>20241028537</v>
      </c>
      <c r="N140" s="50" t="s">
        <v>28</v>
      </c>
      <c r="O140" s="50"/>
      <c r="P140" s="50"/>
      <c r="Q140" s="51"/>
      <c r="R140" s="50"/>
      <c r="S140" s="50"/>
      <c r="T140" s="51"/>
      <c r="U140" s="50"/>
    </row>
    <row r="141" spans="1:21" x14ac:dyDescent="0.25">
      <c r="A141" s="45" t="s">
        <v>20</v>
      </c>
      <c r="B141" s="46">
        <v>45631</v>
      </c>
      <c r="C141" s="45" t="s">
        <v>168</v>
      </c>
      <c r="D141" s="47"/>
      <c r="E141" s="45" t="s">
        <v>353</v>
      </c>
      <c r="F141" s="45" t="s">
        <v>354</v>
      </c>
      <c r="G141" s="45" t="s">
        <v>30</v>
      </c>
      <c r="H141" s="45" t="s">
        <v>1584</v>
      </c>
      <c r="I141" s="45" t="s">
        <v>1585</v>
      </c>
      <c r="J141" s="45">
        <v>575814005</v>
      </c>
      <c r="K141" s="45" t="s">
        <v>790</v>
      </c>
      <c r="L141" s="48">
        <v>114.13</v>
      </c>
      <c r="M141" s="49">
        <v>20241028596</v>
      </c>
      <c r="N141" s="50" t="s">
        <v>28</v>
      </c>
      <c r="O141" s="50"/>
      <c r="P141" s="50"/>
      <c r="Q141" s="51"/>
      <c r="R141" s="50"/>
      <c r="S141" s="50"/>
      <c r="T141" s="51"/>
      <c r="U141" s="50"/>
    </row>
    <row r="142" spans="1:21" x14ac:dyDescent="0.25">
      <c r="A142" s="45" t="s">
        <v>20</v>
      </c>
      <c r="B142" s="46">
        <v>45631</v>
      </c>
      <c r="C142" s="45" t="s">
        <v>168</v>
      </c>
      <c r="D142" s="47"/>
      <c r="E142" s="45" t="s">
        <v>353</v>
      </c>
      <c r="F142" s="45" t="s">
        <v>354</v>
      </c>
      <c r="G142" s="45" t="s">
        <v>109</v>
      </c>
      <c r="H142" s="45" t="s">
        <v>1586</v>
      </c>
      <c r="I142" s="45" t="s">
        <v>1587</v>
      </c>
      <c r="J142" s="45">
        <v>575826031</v>
      </c>
      <c r="K142" s="45" t="s">
        <v>1588</v>
      </c>
      <c r="L142" s="48">
        <v>5</v>
      </c>
      <c r="M142" s="49">
        <v>2024102884</v>
      </c>
      <c r="N142" s="50" t="s">
        <v>28</v>
      </c>
      <c r="O142" s="50"/>
      <c r="P142" s="50"/>
      <c r="Q142" s="51"/>
      <c r="R142" s="50"/>
      <c r="S142" s="50"/>
      <c r="T142" s="51"/>
      <c r="U142" s="50"/>
    </row>
    <row r="143" spans="1:21" x14ac:dyDescent="0.25">
      <c r="A143" s="45" t="s">
        <v>20</v>
      </c>
      <c r="B143" s="46">
        <v>45631</v>
      </c>
      <c r="C143" s="45" t="s">
        <v>168</v>
      </c>
      <c r="D143" s="47"/>
      <c r="E143" s="45" t="s">
        <v>353</v>
      </c>
      <c r="F143" s="45" t="s">
        <v>354</v>
      </c>
      <c r="G143" s="45" t="s">
        <v>109</v>
      </c>
      <c r="H143" s="45" t="s">
        <v>1586</v>
      </c>
      <c r="I143" s="45" t="s">
        <v>1587</v>
      </c>
      <c r="J143" s="45">
        <v>575826031</v>
      </c>
      <c r="K143" s="45" t="s">
        <v>1588</v>
      </c>
      <c r="L143" s="48">
        <v>5</v>
      </c>
      <c r="M143" s="49">
        <v>2024102885</v>
      </c>
      <c r="N143" s="50" t="s">
        <v>28</v>
      </c>
      <c r="O143" s="50"/>
      <c r="P143" s="50"/>
      <c r="Q143" s="51"/>
      <c r="R143" s="50"/>
      <c r="S143" s="50"/>
      <c r="T143" s="51"/>
      <c r="U143" s="50"/>
    </row>
    <row r="144" spans="1:21" x14ac:dyDescent="0.25">
      <c r="A144" s="45" t="s">
        <v>20</v>
      </c>
      <c r="B144" s="46">
        <v>45631</v>
      </c>
      <c r="C144" s="45" t="s">
        <v>168</v>
      </c>
      <c r="D144" s="47"/>
      <c r="E144" s="45" t="s">
        <v>353</v>
      </c>
      <c r="F144" s="45" t="s">
        <v>354</v>
      </c>
      <c r="G144" s="45" t="s">
        <v>109</v>
      </c>
      <c r="H144" s="45" t="s">
        <v>1586</v>
      </c>
      <c r="I144" s="45" t="s">
        <v>1587</v>
      </c>
      <c r="J144" s="45">
        <v>575826031</v>
      </c>
      <c r="K144" s="45" t="s">
        <v>1588</v>
      </c>
      <c r="L144" s="48">
        <v>5</v>
      </c>
      <c r="M144" s="49">
        <v>2024102887</v>
      </c>
      <c r="N144" s="50" t="s">
        <v>28</v>
      </c>
      <c r="O144" s="50"/>
      <c r="P144" s="50"/>
      <c r="Q144" s="51"/>
      <c r="R144" s="50"/>
      <c r="S144" s="50"/>
      <c r="T144" s="51"/>
      <c r="U144" s="50"/>
    </row>
    <row r="145" spans="1:21" x14ac:dyDescent="0.25">
      <c r="A145" s="45" t="s">
        <v>20</v>
      </c>
      <c r="B145" s="46">
        <v>45631</v>
      </c>
      <c r="C145" s="45" t="s">
        <v>168</v>
      </c>
      <c r="D145" s="47"/>
      <c r="E145" s="45" t="s">
        <v>353</v>
      </c>
      <c r="F145" s="45" t="s">
        <v>354</v>
      </c>
      <c r="G145" s="45" t="s">
        <v>109</v>
      </c>
      <c r="H145" s="45" t="s">
        <v>1589</v>
      </c>
      <c r="I145" s="45" t="s">
        <v>1590</v>
      </c>
      <c r="J145" s="45">
        <v>575839471</v>
      </c>
      <c r="K145" s="45" t="s">
        <v>190</v>
      </c>
      <c r="L145" s="48">
        <v>2094.42</v>
      </c>
      <c r="M145" s="49">
        <v>2024102871</v>
      </c>
      <c r="N145" s="50" t="s">
        <v>28</v>
      </c>
      <c r="O145" s="50"/>
      <c r="P145" s="50"/>
      <c r="Q145" s="51"/>
      <c r="R145" s="50"/>
      <c r="S145" s="50"/>
      <c r="T145" s="51"/>
      <c r="U145" s="50"/>
    </row>
    <row r="146" spans="1:21" x14ac:dyDescent="0.25">
      <c r="A146" s="45" t="s">
        <v>324</v>
      </c>
      <c r="B146" s="46">
        <v>45617</v>
      </c>
      <c r="C146" s="45" t="s">
        <v>294</v>
      </c>
      <c r="D146" s="47"/>
      <c r="E146" s="45" t="s">
        <v>371</v>
      </c>
      <c r="F146" s="45" t="s">
        <v>372</v>
      </c>
      <c r="G146" s="45" t="s">
        <v>298</v>
      </c>
      <c r="H146" s="45" t="s">
        <v>1591</v>
      </c>
      <c r="I146" s="45" t="s">
        <v>1592</v>
      </c>
      <c r="J146" s="45">
        <v>44108</v>
      </c>
      <c r="K146" s="45" t="s">
        <v>1593</v>
      </c>
      <c r="L146" s="48">
        <v>64.78</v>
      </c>
      <c r="M146" s="49">
        <v>202411011268</v>
      </c>
      <c r="N146" s="50" t="s">
        <v>28</v>
      </c>
      <c r="O146" s="50"/>
      <c r="P146" s="50"/>
      <c r="Q146" s="51"/>
      <c r="R146" s="50"/>
      <c r="S146" s="50"/>
      <c r="T146" s="51"/>
      <c r="U146" s="50"/>
    </row>
    <row r="147" spans="1:21" x14ac:dyDescent="0.25">
      <c r="A147" s="45" t="s">
        <v>324</v>
      </c>
      <c r="B147" s="46">
        <v>45617</v>
      </c>
      <c r="C147" s="45" t="s">
        <v>294</v>
      </c>
      <c r="D147" s="47"/>
      <c r="E147" s="45" t="s">
        <v>371</v>
      </c>
      <c r="F147" s="45" t="s">
        <v>372</v>
      </c>
      <c r="G147" s="45" t="s">
        <v>298</v>
      </c>
      <c r="H147" s="45" t="s">
        <v>1594</v>
      </c>
      <c r="I147" s="45" t="s">
        <v>1595</v>
      </c>
      <c r="J147" s="45">
        <v>49212</v>
      </c>
      <c r="K147" s="45" t="s">
        <v>48</v>
      </c>
      <c r="L147" s="48">
        <v>1212.5999999999999</v>
      </c>
      <c r="M147" s="49">
        <v>202411011276</v>
      </c>
      <c r="N147" s="50" t="s">
        <v>28</v>
      </c>
      <c r="O147" s="50"/>
      <c r="P147" s="50"/>
      <c r="Q147" s="51"/>
      <c r="R147" s="50"/>
      <c r="S147" s="50"/>
      <c r="T147" s="51"/>
      <c r="U147" s="50"/>
    </row>
    <row r="148" spans="1:21" x14ac:dyDescent="0.25">
      <c r="A148" s="45" t="s">
        <v>233</v>
      </c>
      <c r="B148" s="46">
        <v>45617</v>
      </c>
      <c r="C148" s="45" t="s">
        <v>294</v>
      </c>
      <c r="D148" s="47"/>
      <c r="E148" s="45" t="s">
        <v>371</v>
      </c>
      <c r="F148" s="45" t="s">
        <v>372</v>
      </c>
      <c r="G148" s="45" t="s">
        <v>298</v>
      </c>
      <c r="H148" s="45" t="s">
        <v>110</v>
      </c>
      <c r="I148" s="45" t="s">
        <v>1596</v>
      </c>
      <c r="J148" s="45">
        <v>49807</v>
      </c>
      <c r="K148" s="45" t="s">
        <v>1019</v>
      </c>
      <c r="L148" s="48">
        <v>144.16999999999999</v>
      </c>
      <c r="M148" s="49">
        <v>20241029247</v>
      </c>
      <c r="N148" s="50" t="s">
        <v>28</v>
      </c>
      <c r="O148" s="50"/>
      <c r="P148" s="50"/>
      <c r="Q148" s="51"/>
      <c r="R148" s="50"/>
      <c r="S148" s="50"/>
      <c r="T148" s="51"/>
      <c r="U148" s="50"/>
    </row>
    <row r="149" spans="1:21" x14ac:dyDescent="0.25">
      <c r="A149" s="45" t="s">
        <v>233</v>
      </c>
      <c r="B149" s="46">
        <v>45617</v>
      </c>
      <c r="C149" s="45" t="s">
        <v>294</v>
      </c>
      <c r="D149" s="47"/>
      <c r="E149" s="45" t="s">
        <v>371</v>
      </c>
      <c r="F149" s="45" t="s">
        <v>372</v>
      </c>
      <c r="G149" s="45" t="s">
        <v>298</v>
      </c>
      <c r="H149" s="45" t="s">
        <v>875</v>
      </c>
      <c r="I149" s="45" t="s">
        <v>1597</v>
      </c>
      <c r="J149" s="45">
        <v>50971</v>
      </c>
      <c r="K149" s="45" t="s">
        <v>1598</v>
      </c>
      <c r="L149" s="48">
        <v>434.66</v>
      </c>
      <c r="M149" s="49">
        <v>20241029241</v>
      </c>
      <c r="N149" s="50" t="s">
        <v>28</v>
      </c>
      <c r="O149" s="50"/>
      <c r="P149" s="50"/>
      <c r="Q149" s="51"/>
      <c r="R149" s="50"/>
      <c r="S149" s="50"/>
      <c r="T149" s="51"/>
      <c r="U149" s="50"/>
    </row>
    <row r="150" spans="1:21" x14ac:dyDescent="0.25">
      <c r="A150" s="45" t="s">
        <v>233</v>
      </c>
      <c r="B150" s="46">
        <v>45617</v>
      </c>
      <c r="C150" s="45" t="s">
        <v>294</v>
      </c>
      <c r="D150" s="47"/>
      <c r="E150" s="45" t="s">
        <v>371</v>
      </c>
      <c r="F150" s="45" t="s">
        <v>372</v>
      </c>
      <c r="G150" s="45" t="s">
        <v>298</v>
      </c>
      <c r="H150" s="45" t="s">
        <v>875</v>
      </c>
      <c r="I150" s="45" t="s">
        <v>1597</v>
      </c>
      <c r="J150" s="45">
        <v>50971</v>
      </c>
      <c r="K150" s="45" t="s">
        <v>1599</v>
      </c>
      <c r="L150" s="48">
        <v>49.21</v>
      </c>
      <c r="M150" s="49">
        <v>20241029244</v>
      </c>
      <c r="N150" s="50" t="s">
        <v>28</v>
      </c>
      <c r="O150" s="50"/>
      <c r="P150" s="50"/>
      <c r="Q150" s="51"/>
      <c r="R150" s="50"/>
      <c r="S150" s="50"/>
      <c r="T150" s="51"/>
      <c r="U150" s="50"/>
    </row>
    <row r="151" spans="1:21" x14ac:dyDescent="0.25">
      <c r="A151" s="45" t="s">
        <v>233</v>
      </c>
      <c r="B151" s="46">
        <v>45617</v>
      </c>
      <c r="C151" s="45" t="s">
        <v>294</v>
      </c>
      <c r="D151" s="47"/>
      <c r="E151" s="45" t="s">
        <v>371</v>
      </c>
      <c r="F151" s="45" t="s">
        <v>372</v>
      </c>
      <c r="G151" s="45" t="s">
        <v>298</v>
      </c>
      <c r="H151" s="45" t="s">
        <v>875</v>
      </c>
      <c r="I151" s="45" t="s">
        <v>1597</v>
      </c>
      <c r="J151" s="45">
        <v>50971</v>
      </c>
      <c r="K151" s="45" t="s">
        <v>83</v>
      </c>
      <c r="L151" s="48">
        <v>49.21</v>
      </c>
      <c r="M151" s="49">
        <v>20241029243</v>
      </c>
      <c r="N151" s="50" t="s">
        <v>28</v>
      </c>
      <c r="O151" s="50"/>
      <c r="P151" s="50"/>
      <c r="Q151" s="51"/>
      <c r="R151" s="50"/>
      <c r="S151" s="50"/>
      <c r="T151" s="51"/>
      <c r="U151" s="50"/>
    </row>
    <row r="152" spans="1:21" ht="105" x14ac:dyDescent="0.25">
      <c r="A152" s="45" t="s">
        <v>233</v>
      </c>
      <c r="B152" s="46">
        <v>45617</v>
      </c>
      <c r="C152" s="45" t="s">
        <v>294</v>
      </c>
      <c r="D152" s="47"/>
      <c r="E152" s="45" t="s">
        <v>371</v>
      </c>
      <c r="F152" s="45" t="s">
        <v>372</v>
      </c>
      <c r="G152" s="45" t="s">
        <v>298</v>
      </c>
      <c r="H152" s="45" t="s">
        <v>875</v>
      </c>
      <c r="I152" s="45" t="s">
        <v>1597</v>
      </c>
      <c r="J152" s="45">
        <v>50971</v>
      </c>
      <c r="K152" s="45" t="s">
        <v>1600</v>
      </c>
      <c r="L152" s="48">
        <v>354.86</v>
      </c>
      <c r="M152" s="49">
        <v>202411011270</v>
      </c>
      <c r="N152" s="50"/>
      <c r="O152" s="50" t="s">
        <v>124</v>
      </c>
      <c r="P152" s="50"/>
      <c r="Q152" s="51" t="s">
        <v>1601</v>
      </c>
      <c r="R152" s="50"/>
      <c r="S152" s="50"/>
      <c r="T152" s="51"/>
      <c r="U152" s="50"/>
    </row>
    <row r="153" spans="1:21" x14ac:dyDescent="0.25">
      <c r="A153" s="45" t="s">
        <v>233</v>
      </c>
      <c r="B153" s="46">
        <v>45617</v>
      </c>
      <c r="C153" s="45" t="s">
        <v>294</v>
      </c>
      <c r="D153" s="47"/>
      <c r="E153" s="45" t="s">
        <v>371</v>
      </c>
      <c r="F153" s="45" t="s">
        <v>372</v>
      </c>
      <c r="G153" s="45" t="s">
        <v>298</v>
      </c>
      <c r="H153" s="45" t="s">
        <v>84</v>
      </c>
      <c r="I153" s="45" t="s">
        <v>1602</v>
      </c>
      <c r="J153" s="45">
        <v>51213</v>
      </c>
      <c r="K153" s="45" t="s">
        <v>1174</v>
      </c>
      <c r="L153" s="48">
        <v>92.7</v>
      </c>
      <c r="M153" s="49">
        <v>202411011271</v>
      </c>
      <c r="N153" s="50" t="s">
        <v>28</v>
      </c>
      <c r="O153" s="50"/>
      <c r="P153" s="50"/>
      <c r="Q153" s="51"/>
      <c r="R153" s="50"/>
      <c r="S153" s="50"/>
      <c r="T153" s="51"/>
      <c r="U153" s="50"/>
    </row>
    <row r="154" spans="1:21" x14ac:dyDescent="0.25">
      <c r="A154" s="45" t="s">
        <v>233</v>
      </c>
      <c r="B154" s="46">
        <v>45617</v>
      </c>
      <c r="C154" s="45" t="s">
        <v>294</v>
      </c>
      <c r="D154" s="47"/>
      <c r="E154" s="45" t="s">
        <v>371</v>
      </c>
      <c r="F154" s="45" t="s">
        <v>372</v>
      </c>
      <c r="G154" s="45" t="s">
        <v>298</v>
      </c>
      <c r="H154" s="45" t="s">
        <v>1603</v>
      </c>
      <c r="I154" s="45" t="s">
        <v>1604</v>
      </c>
      <c r="J154" s="45">
        <v>55815</v>
      </c>
      <c r="K154" s="45" t="s">
        <v>1460</v>
      </c>
      <c r="L154" s="48">
        <v>401.83</v>
      </c>
      <c r="M154" s="49">
        <v>202411011279</v>
      </c>
      <c r="N154" s="50" t="s">
        <v>28</v>
      </c>
      <c r="O154" s="50"/>
      <c r="P154" s="50"/>
      <c r="Q154" s="51"/>
      <c r="R154" s="50"/>
      <c r="S154" s="50"/>
      <c r="T154" s="51"/>
      <c r="U154" s="50"/>
    </row>
    <row r="155" spans="1:21" x14ac:dyDescent="0.25">
      <c r="A155" s="45" t="s">
        <v>233</v>
      </c>
      <c r="B155" s="46">
        <v>45617</v>
      </c>
      <c r="C155" s="45" t="s">
        <v>294</v>
      </c>
      <c r="D155" s="47"/>
      <c r="E155" s="45" t="s">
        <v>371</v>
      </c>
      <c r="F155" s="45" t="s">
        <v>372</v>
      </c>
      <c r="G155" s="45" t="s">
        <v>298</v>
      </c>
      <c r="H155" s="45" t="s">
        <v>1517</v>
      </c>
      <c r="I155" s="45" t="s">
        <v>1605</v>
      </c>
      <c r="J155" s="45">
        <v>57330</v>
      </c>
      <c r="K155" s="45" t="s">
        <v>76</v>
      </c>
      <c r="L155" s="48">
        <v>240.88</v>
      </c>
      <c r="M155" s="49">
        <v>20241029245</v>
      </c>
      <c r="N155" s="50" t="s">
        <v>28</v>
      </c>
      <c r="O155" s="50"/>
      <c r="P155" s="50"/>
      <c r="Q155" s="51"/>
      <c r="R155" s="50"/>
      <c r="S155" s="50"/>
      <c r="T155" s="51"/>
      <c r="U155" s="50"/>
    </row>
    <row r="156" spans="1:21" x14ac:dyDescent="0.25">
      <c r="A156" s="45" t="s">
        <v>233</v>
      </c>
      <c r="B156" s="46">
        <v>45617</v>
      </c>
      <c r="C156" s="45" t="s">
        <v>294</v>
      </c>
      <c r="D156" s="47"/>
      <c r="E156" s="45" t="s">
        <v>371</v>
      </c>
      <c r="F156" s="45" t="s">
        <v>372</v>
      </c>
      <c r="G156" s="45" t="s">
        <v>298</v>
      </c>
      <c r="H156" s="45" t="s">
        <v>1606</v>
      </c>
      <c r="I156" s="45" t="s">
        <v>1607</v>
      </c>
      <c r="J156" s="45">
        <v>59273</v>
      </c>
      <c r="K156" s="45" t="s">
        <v>815</v>
      </c>
      <c r="L156" s="48">
        <v>80.09</v>
      </c>
      <c r="M156" s="49">
        <v>202410311947</v>
      </c>
      <c r="N156" s="50" t="s">
        <v>28</v>
      </c>
      <c r="O156" s="50"/>
      <c r="P156" s="50"/>
      <c r="Q156" s="51"/>
      <c r="R156" s="50"/>
      <c r="S156" s="50"/>
      <c r="T156" s="51"/>
      <c r="U156" s="50"/>
    </row>
    <row r="157" spans="1:21" x14ac:dyDescent="0.25">
      <c r="A157" s="45" t="s">
        <v>233</v>
      </c>
      <c r="B157" s="46">
        <v>45617</v>
      </c>
      <c r="C157" s="45" t="s">
        <v>294</v>
      </c>
      <c r="D157" s="47"/>
      <c r="E157" s="45" t="s">
        <v>371</v>
      </c>
      <c r="F157" s="45" t="s">
        <v>372</v>
      </c>
      <c r="G157" s="45" t="s">
        <v>298</v>
      </c>
      <c r="H157" s="45" t="s">
        <v>1608</v>
      </c>
      <c r="I157" s="45" t="s">
        <v>1609</v>
      </c>
      <c r="J157" s="45">
        <v>59895</v>
      </c>
      <c r="K157" s="45" t="s">
        <v>1227</v>
      </c>
      <c r="L157" s="48">
        <v>11</v>
      </c>
      <c r="M157" s="49">
        <v>202410311945</v>
      </c>
      <c r="N157" s="50" t="s">
        <v>28</v>
      </c>
      <c r="O157" s="50"/>
      <c r="P157" s="50"/>
      <c r="Q157" s="51"/>
      <c r="R157" s="50"/>
      <c r="S157" s="50"/>
      <c r="T157" s="51"/>
      <c r="U157" s="50"/>
    </row>
    <row r="158" spans="1:21" x14ac:dyDescent="0.25">
      <c r="A158" s="45" t="s">
        <v>233</v>
      </c>
      <c r="B158" s="46">
        <v>45617</v>
      </c>
      <c r="C158" s="45" t="s">
        <v>294</v>
      </c>
      <c r="D158" s="47"/>
      <c r="E158" s="45" t="s">
        <v>371</v>
      </c>
      <c r="F158" s="45" t="s">
        <v>372</v>
      </c>
      <c r="G158" s="45" t="s">
        <v>298</v>
      </c>
      <c r="H158" s="45" t="s">
        <v>1610</v>
      </c>
      <c r="I158" s="45" t="s">
        <v>1611</v>
      </c>
      <c r="J158" s="45">
        <v>72405</v>
      </c>
      <c r="K158" s="45" t="s">
        <v>928</v>
      </c>
      <c r="L158" s="48">
        <v>12</v>
      </c>
      <c r="M158" s="49">
        <v>20241028319</v>
      </c>
      <c r="N158" s="50" t="s">
        <v>28</v>
      </c>
      <c r="O158" s="50"/>
      <c r="P158" s="50"/>
      <c r="Q158" s="51"/>
      <c r="R158" s="50"/>
      <c r="S158" s="50"/>
      <c r="T158" s="51"/>
      <c r="U158" s="50"/>
    </row>
    <row r="159" spans="1:21" x14ac:dyDescent="0.25">
      <c r="A159" s="45" t="s">
        <v>233</v>
      </c>
      <c r="B159" s="46">
        <v>45617</v>
      </c>
      <c r="C159" s="45" t="s">
        <v>294</v>
      </c>
      <c r="D159" s="47"/>
      <c r="E159" s="45" t="s">
        <v>371</v>
      </c>
      <c r="F159" s="45" t="s">
        <v>372</v>
      </c>
      <c r="G159" s="45" t="s">
        <v>298</v>
      </c>
      <c r="H159" s="45" t="s">
        <v>1612</v>
      </c>
      <c r="I159" s="45" t="s">
        <v>1549</v>
      </c>
      <c r="J159" s="45">
        <v>73808</v>
      </c>
      <c r="K159" s="45" t="s">
        <v>987</v>
      </c>
      <c r="L159" s="48">
        <v>146.6</v>
      </c>
      <c r="M159" s="49">
        <v>20241028334</v>
      </c>
      <c r="N159" s="50" t="s">
        <v>28</v>
      </c>
      <c r="O159" s="50"/>
      <c r="P159" s="50"/>
      <c r="Q159" s="51"/>
      <c r="R159" s="50"/>
      <c r="S159" s="50"/>
      <c r="T159" s="51"/>
      <c r="U159" s="50"/>
    </row>
    <row r="160" spans="1:21" x14ac:dyDescent="0.25">
      <c r="A160" s="45" t="s">
        <v>233</v>
      </c>
      <c r="B160" s="46">
        <v>45617</v>
      </c>
      <c r="C160" s="45" t="s">
        <v>294</v>
      </c>
      <c r="D160" s="47"/>
      <c r="E160" s="45" t="s">
        <v>371</v>
      </c>
      <c r="F160" s="45" t="s">
        <v>372</v>
      </c>
      <c r="G160" s="45" t="s">
        <v>298</v>
      </c>
      <c r="H160" s="45" t="s">
        <v>1612</v>
      </c>
      <c r="I160" s="45" t="s">
        <v>1549</v>
      </c>
      <c r="J160" s="45">
        <v>73808</v>
      </c>
      <c r="K160" s="45" t="s">
        <v>987</v>
      </c>
      <c r="L160" s="48">
        <v>146.6</v>
      </c>
      <c r="M160" s="49">
        <v>20241028334</v>
      </c>
      <c r="N160" s="50" t="s">
        <v>28</v>
      </c>
      <c r="O160" s="50"/>
      <c r="P160" s="50"/>
      <c r="Q160" s="51"/>
      <c r="R160" s="50"/>
      <c r="S160" s="50"/>
      <c r="T160" s="51"/>
      <c r="U160" s="50"/>
    </row>
    <row r="161" spans="1:21" x14ac:dyDescent="0.25">
      <c r="A161" s="45" t="s">
        <v>1138</v>
      </c>
      <c r="B161" s="46">
        <v>45634</v>
      </c>
      <c r="C161" s="45" t="s">
        <v>21</v>
      </c>
      <c r="D161" s="47"/>
      <c r="E161" s="45" t="s">
        <v>362</v>
      </c>
      <c r="F161" s="45" t="s">
        <v>394</v>
      </c>
      <c r="G161" s="45" t="s">
        <v>1613</v>
      </c>
      <c r="H161" s="45" t="s">
        <v>1393</v>
      </c>
      <c r="I161" s="45" t="s">
        <v>1614</v>
      </c>
      <c r="J161" s="45">
        <v>519219488</v>
      </c>
      <c r="K161" s="45" t="s">
        <v>105</v>
      </c>
      <c r="L161" s="48">
        <v>484.78</v>
      </c>
      <c r="M161" s="49">
        <v>20240925160</v>
      </c>
      <c r="N161" s="50" t="s">
        <v>28</v>
      </c>
      <c r="O161" s="50"/>
      <c r="P161" s="50"/>
      <c r="Q161" s="51"/>
      <c r="R161" s="50"/>
      <c r="S161" s="50"/>
      <c r="T161" s="51"/>
      <c r="U161" s="50"/>
    </row>
    <row r="162" spans="1:21" x14ac:dyDescent="0.25">
      <c r="A162" s="45" t="s">
        <v>407</v>
      </c>
      <c r="B162" s="46">
        <v>45634</v>
      </c>
      <c r="C162" s="45" t="s">
        <v>21</v>
      </c>
      <c r="D162" s="47"/>
      <c r="E162" s="45" t="s">
        <v>362</v>
      </c>
      <c r="F162" s="45" t="s">
        <v>394</v>
      </c>
      <c r="G162" s="45" t="s">
        <v>1613</v>
      </c>
      <c r="H162" s="45" t="s">
        <v>1393</v>
      </c>
      <c r="I162" s="45" t="s">
        <v>1614</v>
      </c>
      <c r="J162" s="45">
        <v>519219488</v>
      </c>
      <c r="K162" s="45" t="s">
        <v>105</v>
      </c>
      <c r="L162" s="48">
        <v>484.78</v>
      </c>
      <c r="M162" s="49">
        <v>20240925160</v>
      </c>
      <c r="N162" s="50" t="s">
        <v>28</v>
      </c>
      <c r="O162" s="50"/>
      <c r="P162" s="50"/>
      <c r="Q162" s="51"/>
      <c r="R162" s="50"/>
      <c r="S162" s="50"/>
      <c r="T162" s="51"/>
      <c r="U162" s="50"/>
    </row>
    <row r="163" spans="1:21" x14ac:dyDescent="0.25">
      <c r="A163" s="45" t="s">
        <v>407</v>
      </c>
      <c r="B163" s="46">
        <v>45634</v>
      </c>
      <c r="C163" s="45" t="s">
        <v>21</v>
      </c>
      <c r="D163" s="47"/>
      <c r="E163" s="45" t="s">
        <v>362</v>
      </c>
      <c r="F163" s="45" t="s">
        <v>394</v>
      </c>
      <c r="G163" s="45" t="s">
        <v>1613</v>
      </c>
      <c r="H163" s="45" t="s">
        <v>1393</v>
      </c>
      <c r="I163" s="45" t="s">
        <v>1614</v>
      </c>
      <c r="J163" s="45">
        <v>519219488</v>
      </c>
      <c r="K163" s="45" t="s">
        <v>105</v>
      </c>
      <c r="L163" s="48">
        <v>484.78</v>
      </c>
      <c r="M163" s="49">
        <v>20241030654</v>
      </c>
      <c r="N163" s="50" t="s">
        <v>28</v>
      </c>
      <c r="O163" s="50"/>
      <c r="P163" s="50"/>
      <c r="Q163" s="51"/>
      <c r="R163" s="50"/>
      <c r="S163" s="50"/>
      <c r="T163" s="51"/>
      <c r="U163" s="50"/>
    </row>
    <row r="164" spans="1:21" x14ac:dyDescent="0.25">
      <c r="A164" s="45" t="s">
        <v>233</v>
      </c>
      <c r="B164" s="46">
        <v>45634</v>
      </c>
      <c r="C164" s="45" t="s">
        <v>21</v>
      </c>
      <c r="D164" s="47"/>
      <c r="E164" s="45" t="s">
        <v>362</v>
      </c>
      <c r="F164" s="45" t="s">
        <v>394</v>
      </c>
      <c r="G164" s="45" t="s">
        <v>395</v>
      </c>
      <c r="H164" s="45" t="s">
        <v>886</v>
      </c>
      <c r="I164" s="45" t="s">
        <v>1070</v>
      </c>
      <c r="J164" s="45">
        <v>528959936</v>
      </c>
      <c r="K164" s="45" t="s">
        <v>1126</v>
      </c>
      <c r="L164" s="48">
        <v>40</v>
      </c>
      <c r="M164" s="49">
        <v>20241030586</v>
      </c>
      <c r="N164" s="50" t="s">
        <v>28</v>
      </c>
      <c r="O164" s="50"/>
      <c r="P164" s="50"/>
      <c r="Q164" s="51"/>
      <c r="R164" s="50"/>
      <c r="S164" s="50"/>
      <c r="T164" s="51"/>
      <c r="U164" s="50"/>
    </row>
    <row r="165" spans="1:21" x14ac:dyDescent="0.25">
      <c r="A165" s="45" t="s">
        <v>233</v>
      </c>
      <c r="B165" s="46">
        <v>45634</v>
      </c>
      <c r="C165" s="45" t="s">
        <v>21</v>
      </c>
      <c r="D165" s="47"/>
      <c r="E165" s="45" t="s">
        <v>362</v>
      </c>
      <c r="F165" s="45" t="s">
        <v>394</v>
      </c>
      <c r="G165" s="45" t="s">
        <v>395</v>
      </c>
      <c r="H165" s="45" t="s">
        <v>886</v>
      </c>
      <c r="I165" s="45" t="s">
        <v>1070</v>
      </c>
      <c r="J165" s="45">
        <v>528959936</v>
      </c>
      <c r="K165" s="45" t="s">
        <v>45</v>
      </c>
      <c r="L165" s="48">
        <v>40</v>
      </c>
      <c r="M165" s="49">
        <v>20241030588</v>
      </c>
      <c r="N165" s="50" t="s">
        <v>28</v>
      </c>
      <c r="O165" s="50"/>
      <c r="P165" s="50"/>
      <c r="Q165" s="51"/>
      <c r="R165" s="50"/>
      <c r="S165" s="50"/>
      <c r="T165" s="51"/>
      <c r="U165" s="50"/>
    </row>
    <row r="166" spans="1:21" x14ac:dyDescent="0.25">
      <c r="A166" s="45" t="s">
        <v>233</v>
      </c>
      <c r="B166" s="46">
        <v>45634</v>
      </c>
      <c r="C166" s="45" t="s">
        <v>21</v>
      </c>
      <c r="D166" s="47"/>
      <c r="E166" s="45" t="s">
        <v>362</v>
      </c>
      <c r="F166" s="45" t="s">
        <v>394</v>
      </c>
      <c r="G166" s="45" t="s">
        <v>395</v>
      </c>
      <c r="H166" s="45" t="s">
        <v>886</v>
      </c>
      <c r="I166" s="45" t="s">
        <v>1070</v>
      </c>
      <c r="J166" s="45">
        <v>528959936</v>
      </c>
      <c r="K166" s="45" t="s">
        <v>194</v>
      </c>
      <c r="L166" s="48">
        <v>40</v>
      </c>
      <c r="M166" s="49">
        <v>20241030589</v>
      </c>
      <c r="N166" s="50" t="s">
        <v>28</v>
      </c>
      <c r="O166" s="50"/>
      <c r="P166" s="50"/>
      <c r="Q166" s="51"/>
      <c r="R166" s="50"/>
      <c r="S166" s="50"/>
      <c r="T166" s="51"/>
      <c r="U166" s="50"/>
    </row>
    <row r="167" spans="1:21" x14ac:dyDescent="0.25">
      <c r="A167" s="45" t="s">
        <v>233</v>
      </c>
      <c r="B167" s="46">
        <v>45634</v>
      </c>
      <c r="C167" s="45" t="s">
        <v>21</v>
      </c>
      <c r="D167" s="47"/>
      <c r="E167" s="45" t="s">
        <v>362</v>
      </c>
      <c r="F167" s="45" t="s">
        <v>394</v>
      </c>
      <c r="G167" s="45" t="s">
        <v>395</v>
      </c>
      <c r="H167" s="45" t="s">
        <v>886</v>
      </c>
      <c r="I167" s="45" t="s">
        <v>1070</v>
      </c>
      <c r="J167" s="45">
        <v>528959936</v>
      </c>
      <c r="K167" s="45" t="s">
        <v>123</v>
      </c>
      <c r="L167" s="48">
        <v>40</v>
      </c>
      <c r="M167" s="49">
        <v>20241030591</v>
      </c>
      <c r="N167" s="50" t="s">
        <v>28</v>
      </c>
      <c r="O167" s="50"/>
      <c r="P167" s="50"/>
      <c r="Q167" s="51"/>
      <c r="R167" s="50"/>
      <c r="S167" s="50"/>
      <c r="T167" s="51"/>
      <c r="U167" s="50"/>
    </row>
    <row r="168" spans="1:21" x14ac:dyDescent="0.25">
      <c r="A168" s="45" t="s">
        <v>407</v>
      </c>
      <c r="B168" s="46">
        <v>45634</v>
      </c>
      <c r="C168" s="45" t="s">
        <v>21</v>
      </c>
      <c r="D168" s="47"/>
      <c r="E168" s="45" t="s">
        <v>362</v>
      </c>
      <c r="F168" s="45" t="s">
        <v>394</v>
      </c>
      <c r="G168" s="45" t="s">
        <v>395</v>
      </c>
      <c r="H168" s="45" t="s">
        <v>886</v>
      </c>
      <c r="I168" s="45" t="s">
        <v>1070</v>
      </c>
      <c r="J168" s="45">
        <v>528959936</v>
      </c>
      <c r="K168" s="45" t="s">
        <v>311</v>
      </c>
      <c r="L168" s="48">
        <v>251.16</v>
      </c>
      <c r="M168" s="49">
        <v>20241030581</v>
      </c>
      <c r="N168" s="50" t="s">
        <v>28</v>
      </c>
      <c r="O168" s="50"/>
      <c r="P168" s="50"/>
      <c r="Q168" s="51"/>
      <c r="R168" s="50"/>
      <c r="S168" s="50"/>
      <c r="T168" s="51"/>
      <c r="U168" s="50"/>
    </row>
    <row r="169" spans="1:21" x14ac:dyDescent="0.25">
      <c r="A169" s="45" t="s">
        <v>407</v>
      </c>
      <c r="B169" s="46">
        <v>45634</v>
      </c>
      <c r="C169" s="45" t="s">
        <v>21</v>
      </c>
      <c r="D169" s="47"/>
      <c r="E169" s="45" t="s">
        <v>362</v>
      </c>
      <c r="F169" s="45" t="s">
        <v>394</v>
      </c>
      <c r="G169" s="45" t="s">
        <v>395</v>
      </c>
      <c r="H169" s="45" t="s">
        <v>886</v>
      </c>
      <c r="I169" s="45" t="s">
        <v>1070</v>
      </c>
      <c r="J169" s="45">
        <v>528959936</v>
      </c>
      <c r="K169" s="45" t="s">
        <v>311</v>
      </c>
      <c r="L169" s="48">
        <v>631.11</v>
      </c>
      <c r="M169" s="49">
        <v>20241030576</v>
      </c>
      <c r="N169" s="50" t="s">
        <v>28</v>
      </c>
      <c r="O169" s="50"/>
      <c r="P169" s="50"/>
      <c r="Q169" s="51"/>
      <c r="R169" s="50"/>
      <c r="S169" s="50"/>
      <c r="T169" s="51"/>
      <c r="U169" s="50"/>
    </row>
    <row r="170" spans="1:21" x14ac:dyDescent="0.25">
      <c r="A170" s="45" t="s">
        <v>324</v>
      </c>
      <c r="B170" s="46">
        <v>45634</v>
      </c>
      <c r="C170" s="45" t="s">
        <v>21</v>
      </c>
      <c r="D170" s="47"/>
      <c r="E170" s="45" t="s">
        <v>362</v>
      </c>
      <c r="F170" s="45" t="s">
        <v>394</v>
      </c>
      <c r="G170" s="45" t="s">
        <v>1615</v>
      </c>
      <c r="H170" s="45" t="s">
        <v>1616</v>
      </c>
      <c r="I170" s="45" t="s">
        <v>1617</v>
      </c>
      <c r="J170" s="45">
        <v>528964687</v>
      </c>
      <c r="K170" s="45" t="s">
        <v>147</v>
      </c>
      <c r="L170" s="48">
        <v>1586</v>
      </c>
      <c r="M170" s="49">
        <v>20241030694</v>
      </c>
      <c r="N170" s="50" t="s">
        <v>28</v>
      </c>
      <c r="O170" s="50"/>
      <c r="P170" s="50"/>
      <c r="Q170" s="51"/>
      <c r="R170" s="50"/>
      <c r="S170" s="50"/>
      <c r="T170" s="51"/>
      <c r="U170" s="50"/>
    </row>
    <row r="171" spans="1:21" ht="25.5" x14ac:dyDescent="0.25">
      <c r="A171" s="45" t="s">
        <v>233</v>
      </c>
      <c r="B171" s="46">
        <v>45634</v>
      </c>
      <c r="C171" s="45" t="s">
        <v>21</v>
      </c>
      <c r="D171" s="47"/>
      <c r="E171" s="45" t="s">
        <v>362</v>
      </c>
      <c r="F171" s="45" t="s">
        <v>394</v>
      </c>
      <c r="G171" s="45" t="s">
        <v>333</v>
      </c>
      <c r="H171" s="45" t="s">
        <v>322</v>
      </c>
      <c r="I171" s="45" t="s">
        <v>1573</v>
      </c>
      <c r="J171" s="45">
        <v>619824181</v>
      </c>
      <c r="K171" s="45" t="s">
        <v>1460</v>
      </c>
      <c r="L171" s="48">
        <v>146</v>
      </c>
      <c r="M171" s="49">
        <v>20241029732</v>
      </c>
      <c r="N171" s="50" t="s">
        <v>28</v>
      </c>
      <c r="O171" s="50"/>
      <c r="P171" s="50"/>
      <c r="Q171" s="51"/>
      <c r="R171" s="50"/>
      <c r="S171" s="50"/>
      <c r="T171" s="51"/>
      <c r="U171" s="50"/>
    </row>
    <row r="172" spans="1:21" ht="25.5" x14ac:dyDescent="0.25">
      <c r="A172" s="45" t="s">
        <v>20</v>
      </c>
      <c r="B172" s="46">
        <v>45701</v>
      </c>
      <c r="C172" s="45" t="s">
        <v>168</v>
      </c>
      <c r="D172" s="47"/>
      <c r="E172" s="45" t="s">
        <v>362</v>
      </c>
      <c r="F172" s="45" t="s">
        <v>394</v>
      </c>
      <c r="G172" s="45" t="s">
        <v>1618</v>
      </c>
      <c r="H172" s="45" t="s">
        <v>1619</v>
      </c>
      <c r="I172" s="45" t="s">
        <v>1620</v>
      </c>
      <c r="J172" s="45">
        <v>631341288</v>
      </c>
      <c r="K172" s="45" t="s">
        <v>184</v>
      </c>
      <c r="L172" s="48">
        <v>36.6</v>
      </c>
      <c r="M172" s="49"/>
      <c r="N172" s="50" t="s">
        <v>28</v>
      </c>
      <c r="O172" s="50"/>
      <c r="P172" s="50"/>
      <c r="Q172" s="51"/>
      <c r="R172" s="50"/>
      <c r="S172" s="50"/>
      <c r="T172" s="51"/>
      <c r="U172" s="50"/>
    </row>
    <row r="173" spans="1:21" ht="25.5" x14ac:dyDescent="0.25">
      <c r="A173" s="45" t="s">
        <v>20</v>
      </c>
      <c r="B173" s="46">
        <v>45701</v>
      </c>
      <c r="C173" s="45" t="s">
        <v>168</v>
      </c>
      <c r="D173" s="47"/>
      <c r="E173" s="45" t="s">
        <v>362</v>
      </c>
      <c r="F173" s="45" t="s">
        <v>394</v>
      </c>
      <c r="G173" s="45" t="s">
        <v>1618</v>
      </c>
      <c r="H173" s="45" t="s">
        <v>1621</v>
      </c>
      <c r="I173" s="45" t="s">
        <v>1622</v>
      </c>
      <c r="J173" s="45">
        <v>635105195</v>
      </c>
      <c r="K173" s="45" t="s">
        <v>184</v>
      </c>
      <c r="L173" s="48">
        <v>36.6</v>
      </c>
      <c r="M173" s="49"/>
      <c r="N173" s="50" t="s">
        <v>28</v>
      </c>
      <c r="O173" s="50"/>
      <c r="P173" s="50"/>
      <c r="Q173" s="51"/>
      <c r="R173" s="50"/>
      <c r="S173" s="50"/>
      <c r="T173" s="51"/>
      <c r="U173" s="50"/>
    </row>
    <row r="174" spans="1:21" ht="25.5" x14ac:dyDescent="0.25">
      <c r="A174" s="45" t="s">
        <v>20</v>
      </c>
      <c r="B174" s="46">
        <v>45701</v>
      </c>
      <c r="C174" s="45" t="s">
        <v>168</v>
      </c>
      <c r="D174" s="47"/>
      <c r="E174" s="45" t="s">
        <v>362</v>
      </c>
      <c r="F174" s="45" t="s">
        <v>394</v>
      </c>
      <c r="G174" s="45" t="s">
        <v>1618</v>
      </c>
      <c r="H174" s="45" t="s">
        <v>245</v>
      </c>
      <c r="I174" s="45" t="s">
        <v>1623</v>
      </c>
      <c r="J174" s="45">
        <v>641404867</v>
      </c>
      <c r="K174" s="45" t="s">
        <v>184</v>
      </c>
      <c r="L174" s="48">
        <v>36.6</v>
      </c>
      <c r="M174" s="49"/>
      <c r="N174" s="50" t="s">
        <v>28</v>
      </c>
      <c r="O174" s="50"/>
      <c r="P174" s="50"/>
      <c r="Q174" s="51"/>
      <c r="R174" s="50"/>
      <c r="S174" s="50"/>
      <c r="T174" s="51"/>
      <c r="U174" s="50"/>
    </row>
    <row r="175" spans="1:21" x14ac:dyDescent="0.25">
      <c r="A175" s="45" t="s">
        <v>29</v>
      </c>
      <c r="B175" s="46">
        <v>45631</v>
      </c>
      <c r="C175" s="45" t="s">
        <v>168</v>
      </c>
      <c r="D175" s="47"/>
      <c r="E175" s="45" t="s">
        <v>362</v>
      </c>
      <c r="F175" s="45" t="s">
        <v>394</v>
      </c>
      <c r="G175" s="45" t="s">
        <v>1339</v>
      </c>
      <c r="H175" s="45" t="s">
        <v>1624</v>
      </c>
      <c r="I175" s="45" t="s">
        <v>1625</v>
      </c>
      <c r="J175" s="45">
        <v>713130138</v>
      </c>
      <c r="K175" s="45" t="s">
        <v>56</v>
      </c>
      <c r="L175" s="48">
        <v>1000</v>
      </c>
      <c r="M175" s="49">
        <v>20241022223</v>
      </c>
      <c r="N175" s="50" t="s">
        <v>28</v>
      </c>
      <c r="O175" s="50"/>
      <c r="P175" s="50"/>
      <c r="Q175" s="51"/>
      <c r="R175" s="50"/>
      <c r="S175" s="50"/>
      <c r="T175" s="51"/>
      <c r="U175" s="50"/>
    </row>
    <row r="176" spans="1:21" x14ac:dyDescent="0.25">
      <c r="A176" s="45" t="s">
        <v>29</v>
      </c>
      <c r="B176" s="46">
        <v>45631</v>
      </c>
      <c r="C176" s="45" t="s">
        <v>168</v>
      </c>
      <c r="D176" s="47"/>
      <c r="E176" s="45" t="s">
        <v>411</v>
      </c>
      <c r="F176" s="45" t="s">
        <v>412</v>
      </c>
      <c r="G176" s="45" t="s">
        <v>822</v>
      </c>
      <c r="H176" s="45" t="s">
        <v>67</v>
      </c>
      <c r="I176" s="45" t="s">
        <v>1626</v>
      </c>
      <c r="J176" s="45">
        <v>398962621</v>
      </c>
      <c r="K176" s="45" t="s">
        <v>237</v>
      </c>
      <c r="L176" s="48">
        <v>6040</v>
      </c>
      <c r="M176" s="49">
        <v>20241030630</v>
      </c>
      <c r="N176" s="50" t="s">
        <v>28</v>
      </c>
      <c r="O176" s="50"/>
      <c r="P176" s="50"/>
      <c r="Q176" s="51"/>
      <c r="R176" s="50"/>
      <c r="S176" s="50"/>
      <c r="T176" s="51"/>
      <c r="U176" s="50"/>
    </row>
    <row r="177" spans="1:21" ht="25.5" x14ac:dyDescent="0.25">
      <c r="A177" s="45" t="s">
        <v>20</v>
      </c>
      <c r="B177" s="46">
        <v>45631</v>
      </c>
      <c r="C177" s="45" t="s">
        <v>168</v>
      </c>
      <c r="D177" s="47"/>
      <c r="E177" s="45" t="s">
        <v>417</v>
      </c>
      <c r="F177" s="45" t="s">
        <v>418</v>
      </c>
      <c r="G177" s="45" t="s">
        <v>263</v>
      </c>
      <c r="H177" s="45" t="s">
        <v>659</v>
      </c>
      <c r="I177" s="45" t="s">
        <v>1627</v>
      </c>
      <c r="J177" s="45">
        <v>646267521</v>
      </c>
      <c r="K177" s="45" t="s">
        <v>1219</v>
      </c>
      <c r="L177" s="48">
        <v>9.81</v>
      </c>
      <c r="M177" s="49">
        <v>20241024371</v>
      </c>
      <c r="N177" s="50" t="s">
        <v>28</v>
      </c>
      <c r="O177" s="50"/>
      <c r="P177" s="50"/>
      <c r="Q177" s="51"/>
      <c r="R177" s="50"/>
      <c r="S177" s="50"/>
      <c r="T177" s="51"/>
      <c r="U177" s="50"/>
    </row>
    <row r="178" spans="1:21" ht="25.5" x14ac:dyDescent="0.25">
      <c r="A178" s="45" t="s">
        <v>29</v>
      </c>
      <c r="B178" s="46">
        <v>45631</v>
      </c>
      <c r="C178" s="45" t="s">
        <v>168</v>
      </c>
      <c r="D178" s="47"/>
      <c r="E178" s="45" t="s">
        <v>696</v>
      </c>
      <c r="F178" s="45" t="s">
        <v>697</v>
      </c>
      <c r="G178" s="45" t="s">
        <v>1011</v>
      </c>
      <c r="H178" s="45" t="s">
        <v>1301</v>
      </c>
      <c r="I178" s="45" t="s">
        <v>1628</v>
      </c>
      <c r="J178" s="45">
        <v>484172552</v>
      </c>
      <c r="K178" s="45" t="s">
        <v>97</v>
      </c>
      <c r="L178" s="48">
        <v>2656</v>
      </c>
      <c r="M178" s="49">
        <v>20240924641</v>
      </c>
      <c r="N178" s="50" t="s">
        <v>28</v>
      </c>
      <c r="O178" s="50"/>
      <c r="P178" s="50"/>
      <c r="Q178" s="51"/>
      <c r="R178" s="50"/>
      <c r="S178" s="50"/>
      <c r="T178" s="51"/>
      <c r="U178" s="50"/>
    </row>
  </sheetData>
  <autoFilter ref="A1:AG39943" xr:uid="{83E95E52-7343-4B84-B44B-D6E90B8FC1B5}"/>
  <sortState xmlns:xlrd2="http://schemas.microsoft.com/office/spreadsheetml/2017/richdata2" ref="A2:U178">
    <sortCondition ref="J2:J178"/>
  </sortState>
  <conditionalFormatting sqref="N1:N1048576">
    <cfRule type="cellIs" priority="13" stopIfTrue="1" operator="equal">
      <formula>""</formula>
    </cfRule>
    <cfRule type="cellIs" priority="14" stopIfTrue="1" operator="equal">
      <formula>"Correct = C"</formula>
    </cfRule>
    <cfRule type="cellIs" dxfId="166" priority="15" operator="notEqual">
      <formula>"C"</formula>
    </cfRule>
  </conditionalFormatting>
  <conditionalFormatting sqref="O1:O1048576">
    <cfRule type="cellIs" priority="10" stopIfTrue="1" operator="equal">
      <formula>""</formula>
    </cfRule>
    <cfRule type="cellIs" priority="11" stopIfTrue="1" operator="equal">
      <formula>"Major = M"</formula>
    </cfRule>
    <cfRule type="cellIs" dxfId="165" priority="12" operator="notEqual">
      <formula>"M"</formula>
    </cfRule>
  </conditionalFormatting>
  <conditionalFormatting sqref="P1:P1048576">
    <cfRule type="cellIs" priority="7" stopIfTrue="1" operator="equal">
      <formula>""</formula>
    </cfRule>
    <cfRule type="cellIs" priority="8" stopIfTrue="1" operator="equal">
      <formula>"Minor = E"</formula>
    </cfRule>
    <cfRule type="cellIs" dxfId="164" priority="9" operator="notEqual">
      <formula>"E"</formula>
    </cfRule>
  </conditionalFormatting>
  <conditionalFormatting sqref="R1:R1048576">
    <cfRule type="cellIs" priority="4" stopIfTrue="1" operator="equal">
      <formula>""</formula>
    </cfRule>
    <cfRule type="cellIs" priority="5" stopIfTrue="1" operator="equal">
      <formula>"Inserted Major = M"</formula>
    </cfRule>
    <cfRule type="cellIs" dxfId="163" priority="6" operator="notEqual">
      <formula>"M"</formula>
    </cfRule>
  </conditionalFormatting>
  <conditionalFormatting sqref="S1:S1048576">
    <cfRule type="cellIs" priority="1" stopIfTrue="1" operator="equal">
      <formula>""</formula>
    </cfRule>
    <cfRule type="cellIs" priority="2" stopIfTrue="1" operator="equal">
      <formula>"Inserted Minor = E"</formula>
    </cfRule>
    <cfRule type="cellIs" dxfId="162" priority="3" operator="notEqual">
      <formula>"E"</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17D955-9874-40D2-8CC7-3A82C57A1020}">
  <sheetPr codeName="Sheet15"/>
  <dimension ref="A1:AA51"/>
  <sheetViews>
    <sheetView workbookViewId="0"/>
  </sheetViews>
  <sheetFormatPr defaultRowHeight="15" x14ac:dyDescent="0.25"/>
  <cols>
    <col min="1" max="1" width="2.7109375" customWidth="1"/>
    <col min="2" max="2" width="28.140625" style="1" bestFit="1" customWidth="1"/>
    <col min="3" max="3" width="19.140625" style="1" hidden="1" customWidth="1"/>
    <col min="4" max="4" width="21.7109375" style="1" hidden="1" customWidth="1"/>
    <col min="5" max="5" width="11" style="1" hidden="1" customWidth="1"/>
    <col min="6" max="6" width="9.5703125" style="1" hidden="1" customWidth="1"/>
    <col min="7" max="7" width="16.140625" style="1" hidden="1" customWidth="1"/>
    <col min="8" max="8" width="17.140625" style="1" customWidth="1"/>
    <col min="9" max="9" width="33.85546875" style="1" hidden="1" customWidth="1"/>
    <col min="10" max="10" width="16.140625" style="1" customWidth="1"/>
    <col min="11" max="11" width="20.85546875" style="1" hidden="1" customWidth="1"/>
    <col min="12" max="12" width="19.85546875" style="1" hidden="1" customWidth="1"/>
    <col min="13" max="13" width="9.140625" style="1"/>
    <col min="14" max="16" width="0" style="1" hidden="1" customWidth="1"/>
    <col min="17" max="17" width="9.140625" style="1"/>
    <col min="18" max="19" width="9.140625" style="27"/>
    <col min="20" max="20" width="9.140625" style="1"/>
    <col min="21" max="22" width="9.140625" style="2"/>
    <col min="23" max="23" width="9.140625" style="1"/>
    <col min="24" max="24" width="18.85546875" style="1" bestFit="1" customWidth="1"/>
    <col min="25" max="27" width="9.140625" style="1"/>
  </cols>
  <sheetData>
    <row r="1" spans="1:24" ht="30" x14ac:dyDescent="0.25">
      <c r="A1" s="30" t="s">
        <v>1629</v>
      </c>
    </row>
    <row r="2" spans="1:24" s="1" customFormat="1" ht="52.5" x14ac:dyDescent="0.25">
      <c r="B2" s="22" t="s">
        <v>437</v>
      </c>
      <c r="C2" s="22" t="s">
        <v>438</v>
      </c>
      <c r="D2" s="22" t="s">
        <v>439</v>
      </c>
      <c r="E2" s="23" t="s">
        <v>440</v>
      </c>
      <c r="F2" s="23" t="s">
        <v>441</v>
      </c>
      <c r="G2" s="23" t="s">
        <v>442</v>
      </c>
      <c r="H2" s="23" t="s">
        <v>443</v>
      </c>
      <c r="I2" s="23" t="s">
        <v>444</v>
      </c>
      <c r="J2" s="23" t="s">
        <v>445</v>
      </c>
      <c r="K2" s="23" t="s">
        <v>446</v>
      </c>
      <c r="L2" s="23" t="s">
        <v>447</v>
      </c>
      <c r="M2" s="24" t="s">
        <v>448</v>
      </c>
      <c r="N2" s="24"/>
      <c r="O2" s="24"/>
      <c r="P2" s="24" t="s">
        <v>449</v>
      </c>
      <c r="Q2" s="24" t="s">
        <v>450</v>
      </c>
      <c r="R2" s="25" t="s">
        <v>451</v>
      </c>
      <c r="S2" s="25" t="s">
        <v>452</v>
      </c>
      <c r="T2" s="24" t="s">
        <v>453</v>
      </c>
      <c r="U2" s="26" t="s">
        <v>454</v>
      </c>
      <c r="V2" s="2"/>
    </row>
    <row r="3" spans="1:24" s="1" customFormat="1" ht="15" customHeight="1" x14ac:dyDescent="0.25">
      <c r="B3" s="1" t="s">
        <v>455</v>
      </c>
      <c r="C3" s="1" t="s">
        <v>456</v>
      </c>
      <c r="D3" s="1" t="s">
        <v>297</v>
      </c>
      <c r="E3" t="s">
        <v>457</v>
      </c>
      <c r="F3" t="s">
        <v>458</v>
      </c>
      <c r="G3" t="s">
        <v>459</v>
      </c>
      <c r="H3" t="s">
        <v>460</v>
      </c>
      <c r="I3" t="s">
        <v>461</v>
      </c>
      <c r="J3" t="s">
        <v>462</v>
      </c>
      <c r="K3"/>
      <c r="L3" t="s">
        <v>463</v>
      </c>
      <c r="M3">
        <v>0</v>
      </c>
      <c r="N3" t="s">
        <v>464</v>
      </c>
      <c r="O3"/>
      <c r="P3"/>
      <c r="Q3" s="7">
        <v>16</v>
      </c>
      <c r="R3" s="27">
        <f t="shared" ref="R3:R50" si="0">IF(Q3-SUM(S3:T3)=0,"",Q3-SUM(S3:T3))</f>
        <v>16</v>
      </c>
      <c r="S3" s="27" t="str">
        <f>IF(SUM(COUNTIFS('10_28_11_03'!E:E,'10_28_11_03 Acc Rate'!C3,'10_28_11_03'!O:O,"*M*"),COUNTIFS('10_28_11_03'!E:E,'10_28_11_03 Acc Rate'!C3,'10_28_11_03'!R:R,"*M*"))=0,"",SUM(COUNTIFS('10_28_11_03'!E:E,'10_28_11_03 Acc Rate'!C3,'10_28_11_03'!O:O,"*M*"),COUNTIFS('10_28_11_03'!E:E,'10_28_11_03 Acc Rate'!C3,'10_28_11_03'!R:R,"*M*")))</f>
        <v/>
      </c>
      <c r="T3" s="1" t="str">
        <f>IF(SUM(COUNTIFS('10_28_11_03'!E:E,'10_28_11_03 Acc Rate'!C3,'10_28_11_03'!P:P,"*E*"),COUNTIFS('10_28_11_03'!E:E,'10_28_11_03 Acc Rate'!C3,'10_28_11_03'!S:S,"*E*"))=0,"",SUM(COUNTIFS('10_28_11_03'!E:E,'10_28_11_03 Acc Rate'!C3,'10_28_11_03'!P:P,"*E*"),COUNTIFS('10_28_11_03'!E:E,'10_28_11_03 Acc Rate'!C3,'10_28_11_03'!S:S,"*E*")))</f>
        <v/>
      </c>
      <c r="U3" s="8">
        <f>IF(ISERROR(SUM(_xlfn.NUMBERVALUE(S3)*8+_xlfn.NUMBERVALUE(T3)*2)/Q3),"",SUM(_xlfn.NUMBERVALUE(S3)*8+_xlfn.NUMBERVALUE(T3)*2)/Q3)</f>
        <v>0</v>
      </c>
      <c r="V3" s="2"/>
      <c r="W3" s="83" t="s">
        <v>465</v>
      </c>
      <c r="X3" s="83"/>
    </row>
    <row r="4" spans="1:24" s="1" customFormat="1" ht="15" customHeight="1" x14ac:dyDescent="0.25">
      <c r="B4" s="1" t="s">
        <v>466</v>
      </c>
      <c r="C4" s="1" t="s">
        <v>353</v>
      </c>
      <c r="D4" s="1" t="s">
        <v>354</v>
      </c>
      <c r="E4" t="s">
        <v>467</v>
      </c>
      <c r="F4" t="s">
        <v>294</v>
      </c>
      <c r="G4" t="s">
        <v>468</v>
      </c>
      <c r="H4" t="s">
        <v>460</v>
      </c>
      <c r="I4" t="s">
        <v>469</v>
      </c>
      <c r="J4" t="s">
        <v>470</v>
      </c>
      <c r="K4"/>
      <c r="L4" t="s">
        <v>471</v>
      </c>
      <c r="M4">
        <v>15</v>
      </c>
      <c r="N4" t="s">
        <v>472</v>
      </c>
      <c r="O4">
        <v>127</v>
      </c>
      <c r="P4">
        <v>40</v>
      </c>
      <c r="Q4" s="7">
        <v>280</v>
      </c>
      <c r="R4" s="27">
        <f t="shared" si="0"/>
        <v>280</v>
      </c>
      <c r="S4" s="27" t="str">
        <f>IF(SUM(COUNTIFS('10_28_11_03'!E:E,'10_28_11_03 Acc Rate'!C4,'10_28_11_03'!O:O,"*M*"),COUNTIFS('10_28_11_03'!E:E,'10_28_11_03 Acc Rate'!C4,'10_28_11_03'!R:R,"*M*"))=0,"",SUM(COUNTIFS('10_28_11_03'!E:E,'10_28_11_03 Acc Rate'!C4,'10_28_11_03'!O:O,"*M*"),COUNTIFS('10_28_11_03'!E:E,'10_28_11_03 Acc Rate'!C4,'10_28_11_03'!R:R,"*M*")))</f>
        <v/>
      </c>
      <c r="T4" s="1" t="str">
        <f>IF(SUM(COUNTIFS('10_28_11_03'!E:E,'10_28_11_03 Acc Rate'!C4,'10_28_11_03'!P:P,"*E*"),COUNTIFS('10_28_11_03'!E:E,'10_28_11_03 Acc Rate'!C4,'10_28_11_03'!S:S,"*E*"))=0,"",SUM(COUNTIFS('10_28_11_03'!E:E,'10_28_11_03 Acc Rate'!C4,'10_28_11_03'!P:P,"*E*"),COUNTIFS('10_28_11_03'!E:E,'10_28_11_03 Acc Rate'!C4,'10_28_11_03'!S:S,"*E*")))</f>
        <v/>
      </c>
      <c r="U4" s="8">
        <f t="shared" ref="U4:U49" si="1">IF(ISERROR(SUM(_xlfn.NUMBERVALUE(S4)*8+_xlfn.NUMBERVALUE(T4)*2)/Q4),"",SUM(_xlfn.NUMBERVALUE(S4)*8+_xlfn.NUMBERVALUE(T4)*2)/Q4)</f>
        <v>0</v>
      </c>
      <c r="V4" s="2"/>
      <c r="W4" s="40" t="s">
        <v>473</v>
      </c>
      <c r="X4" s="41" t="s">
        <v>474</v>
      </c>
    </row>
    <row r="5" spans="1:24" s="1" customFormat="1" ht="15" customHeight="1" x14ac:dyDescent="0.25">
      <c r="B5" s="1" t="s">
        <v>475</v>
      </c>
      <c r="C5" s="1" t="s">
        <v>362</v>
      </c>
      <c r="D5" s="1" t="s">
        <v>394</v>
      </c>
      <c r="E5" t="s">
        <v>476</v>
      </c>
      <c r="F5" t="s">
        <v>175</v>
      </c>
      <c r="G5" t="s">
        <v>477</v>
      </c>
      <c r="H5" t="s">
        <v>460</v>
      </c>
      <c r="I5" t="s">
        <v>478</v>
      </c>
      <c r="J5" t="s">
        <v>479</v>
      </c>
      <c r="K5" t="s">
        <v>469</v>
      </c>
      <c r="L5" t="s">
        <v>480</v>
      </c>
      <c r="M5">
        <v>15</v>
      </c>
      <c r="N5" t="s">
        <v>481</v>
      </c>
      <c r="O5">
        <v>67</v>
      </c>
      <c r="P5">
        <v>20</v>
      </c>
      <c r="Q5" s="7">
        <v>113</v>
      </c>
      <c r="R5" s="27">
        <f t="shared" si="0"/>
        <v>113</v>
      </c>
      <c r="S5" s="27" t="str">
        <f>IF(SUM(COUNTIFS('10_28_11_03'!E:E,'10_28_11_03 Acc Rate'!C5,'10_28_11_03'!O:O,"*M*"),COUNTIFS('10_28_11_03'!E:E,'10_28_11_03 Acc Rate'!C5,'10_28_11_03'!R:R,"*M*"))=0,"",SUM(COUNTIFS('10_28_11_03'!E:E,'10_28_11_03 Acc Rate'!C5,'10_28_11_03'!O:O,"*M*"),COUNTIFS('10_28_11_03'!E:E,'10_28_11_03 Acc Rate'!C5,'10_28_11_03'!R:R,"*M*")))</f>
        <v/>
      </c>
      <c r="T5" s="1" t="str">
        <f>IF(SUM(COUNTIFS('10_28_11_03'!E:E,'10_28_11_03 Acc Rate'!C5,'10_28_11_03'!P:P,"*E*"),COUNTIFS('10_28_11_03'!E:E,'10_28_11_03 Acc Rate'!C5,'10_28_11_03'!S:S,"*E*"))=0,"",SUM(COUNTIFS('10_28_11_03'!E:E,'10_28_11_03 Acc Rate'!C5,'10_28_11_03'!P:P,"*E*"),COUNTIFS('10_28_11_03'!E:E,'10_28_11_03 Acc Rate'!C5,'10_28_11_03'!S:S,"*E*")))</f>
        <v/>
      </c>
      <c r="U5" s="8">
        <f t="shared" si="1"/>
        <v>0</v>
      </c>
      <c r="V5" s="2"/>
      <c r="W5" s="40" t="s">
        <v>482</v>
      </c>
      <c r="X5" s="41" t="s">
        <v>483</v>
      </c>
    </row>
    <row r="6" spans="1:24" s="1" customFormat="1" ht="15" customHeight="1" x14ac:dyDescent="0.25">
      <c r="B6" s="1" t="s">
        <v>484</v>
      </c>
      <c r="C6" s="1" t="s">
        <v>22</v>
      </c>
      <c r="D6" s="1" t="s">
        <v>23</v>
      </c>
      <c r="E6" t="s">
        <v>485</v>
      </c>
      <c r="F6" t="s">
        <v>486</v>
      </c>
      <c r="G6" t="s">
        <v>487</v>
      </c>
      <c r="H6" t="s">
        <v>460</v>
      </c>
      <c r="I6" t="s">
        <v>488</v>
      </c>
      <c r="J6" t="s">
        <v>479</v>
      </c>
      <c r="K6" t="s">
        <v>469</v>
      </c>
      <c r="L6"/>
      <c r="M6">
        <v>15</v>
      </c>
      <c r="N6" t="s">
        <v>489</v>
      </c>
      <c r="O6">
        <v>2117</v>
      </c>
      <c r="P6">
        <v>40</v>
      </c>
      <c r="Q6" s="7">
        <v>578</v>
      </c>
      <c r="R6" s="27">
        <f t="shared" si="0"/>
        <v>578</v>
      </c>
      <c r="S6" s="27" t="str">
        <f>IF(SUM(COUNTIFS('10_28_11_03'!E:E,'10_28_11_03 Acc Rate'!C6,'10_28_11_03'!O:O,"*M*"),COUNTIFS('10_28_11_03'!E:E,'10_28_11_03 Acc Rate'!C6,'10_28_11_03'!R:R,"*M*"))=0,"",SUM(COUNTIFS('10_28_11_03'!E:E,'10_28_11_03 Acc Rate'!C6,'10_28_11_03'!O:O,"*M*"),COUNTIFS('10_28_11_03'!E:E,'10_28_11_03 Acc Rate'!C6,'10_28_11_03'!R:R,"*M*")))</f>
        <v/>
      </c>
      <c r="T6" s="1" t="str">
        <f>IF(SUM(COUNTIFS('10_28_11_03'!E:E,'10_28_11_03 Acc Rate'!C6,'10_28_11_03'!P:P,"*E*"),COUNTIFS('10_28_11_03'!E:E,'10_28_11_03 Acc Rate'!C6,'10_28_11_03'!S:S,"*E*"))=0,"",SUM(COUNTIFS('10_28_11_03'!E:E,'10_28_11_03 Acc Rate'!C6,'10_28_11_03'!P:P,"*E*"),COUNTIFS('10_28_11_03'!E:E,'10_28_11_03 Acc Rate'!C6,'10_28_11_03'!S:S,"*E*")))</f>
        <v/>
      </c>
      <c r="U6" s="8">
        <f t="shared" si="1"/>
        <v>0</v>
      </c>
      <c r="V6" s="2"/>
      <c r="W6" s="40" t="s">
        <v>490</v>
      </c>
      <c r="X6" s="41" t="s">
        <v>491</v>
      </c>
    </row>
    <row r="7" spans="1:24" s="1" customFormat="1" ht="15" customHeight="1" x14ac:dyDescent="0.25">
      <c r="B7" s="1" t="s">
        <v>492</v>
      </c>
      <c r="C7" s="1" t="s">
        <v>107</v>
      </c>
      <c r="D7" s="1" t="s">
        <v>108</v>
      </c>
      <c r="E7" t="s">
        <v>493</v>
      </c>
      <c r="F7" t="s">
        <v>494</v>
      </c>
      <c r="G7" t="s">
        <v>495</v>
      </c>
      <c r="H7" t="s">
        <v>460</v>
      </c>
      <c r="I7" t="s">
        <v>496</v>
      </c>
      <c r="J7" t="s">
        <v>479</v>
      </c>
      <c r="K7" t="s">
        <v>469</v>
      </c>
      <c r="L7"/>
      <c r="M7">
        <v>15</v>
      </c>
      <c r="N7" t="s">
        <v>497</v>
      </c>
      <c r="O7" t="s">
        <v>498</v>
      </c>
      <c r="P7">
        <v>40</v>
      </c>
      <c r="Q7" s="7">
        <v>959</v>
      </c>
      <c r="R7" s="27">
        <f t="shared" si="0"/>
        <v>958</v>
      </c>
      <c r="S7" s="27">
        <f>IF(SUM(COUNTIFS('10_28_11_03'!E:E,'10_28_11_03 Acc Rate'!C7,'10_28_11_03'!O:O,"*M*"),COUNTIFS('10_28_11_03'!E:E,'10_28_11_03 Acc Rate'!C7,'10_28_11_03'!R:R,"*M*"))=0,"",SUM(COUNTIFS('10_28_11_03'!E:E,'10_28_11_03 Acc Rate'!C7,'10_28_11_03'!O:O,"*M*"),COUNTIFS('10_28_11_03'!E:E,'10_28_11_03 Acc Rate'!C7,'10_28_11_03'!R:R,"*M*")))</f>
        <v>1</v>
      </c>
      <c r="T7" s="1" t="str">
        <f>IF(SUM(COUNTIFS('10_28_11_03'!E:E,'10_28_11_03 Acc Rate'!C7,'10_28_11_03'!P:P,"*E*"),COUNTIFS('10_28_11_03'!E:E,'10_28_11_03 Acc Rate'!C7,'10_28_11_03'!S:S,"*E*"))=0,"",SUM(COUNTIFS('10_28_11_03'!E:E,'10_28_11_03 Acc Rate'!C7,'10_28_11_03'!P:P,"*E*"),COUNTIFS('10_28_11_03'!E:E,'10_28_11_03 Acc Rate'!C7,'10_28_11_03'!S:S,"*E*")))</f>
        <v/>
      </c>
      <c r="U7" s="8">
        <f t="shared" si="1"/>
        <v>8.3420229405630868E-3</v>
      </c>
      <c r="V7" s="2"/>
      <c r="W7" s="84" t="s">
        <v>499</v>
      </c>
      <c r="X7" s="84"/>
    </row>
    <row r="8" spans="1:24" s="1" customFormat="1" ht="15" customHeight="1" x14ac:dyDescent="0.25">
      <c r="B8" s="1" t="s">
        <v>500</v>
      </c>
      <c r="C8" s="1" t="s">
        <v>176</v>
      </c>
      <c r="D8" s="1" t="s">
        <v>177</v>
      </c>
      <c r="E8" t="s">
        <v>501</v>
      </c>
      <c r="F8" t="s">
        <v>168</v>
      </c>
      <c r="G8" t="s">
        <v>502</v>
      </c>
      <c r="H8" t="s">
        <v>460</v>
      </c>
      <c r="I8" t="s">
        <v>503</v>
      </c>
      <c r="J8" t="s">
        <v>479</v>
      </c>
      <c r="K8" t="s">
        <v>469</v>
      </c>
      <c r="L8"/>
      <c r="M8">
        <v>15</v>
      </c>
      <c r="N8" t="s">
        <v>504</v>
      </c>
      <c r="O8">
        <v>182</v>
      </c>
      <c r="P8">
        <v>40</v>
      </c>
      <c r="Q8" s="7">
        <v>874</v>
      </c>
      <c r="R8" s="27">
        <f t="shared" si="0"/>
        <v>874</v>
      </c>
      <c r="S8" s="27" t="str">
        <f>IF(SUM(COUNTIFS('10_28_11_03'!E:E,'10_28_11_03 Acc Rate'!C8,'10_28_11_03'!O:O,"*M*"),COUNTIFS('10_28_11_03'!E:E,'10_28_11_03 Acc Rate'!C8,'10_28_11_03'!R:R,"*M*"))=0,"",SUM(COUNTIFS('10_28_11_03'!E:E,'10_28_11_03 Acc Rate'!C8,'10_28_11_03'!O:O,"*M*"),COUNTIFS('10_28_11_03'!E:E,'10_28_11_03 Acc Rate'!C8,'10_28_11_03'!R:R,"*M*")))</f>
        <v/>
      </c>
      <c r="T8" s="1" t="str">
        <f>IF(SUM(COUNTIFS('10_28_11_03'!E:E,'10_28_11_03 Acc Rate'!C8,'10_28_11_03'!P:P,"*E*"),COUNTIFS('10_28_11_03'!E:E,'10_28_11_03 Acc Rate'!C8,'10_28_11_03'!S:S,"*E*"))=0,"",SUM(COUNTIFS('10_28_11_03'!E:E,'10_28_11_03 Acc Rate'!C8,'10_28_11_03'!P:P,"*E*"),COUNTIFS('10_28_11_03'!E:E,'10_28_11_03 Acc Rate'!C8,'10_28_11_03'!S:S,"*E*")))</f>
        <v/>
      </c>
      <c r="U8" s="8">
        <f t="shared" si="1"/>
        <v>0</v>
      </c>
      <c r="V8" s="2"/>
      <c r="W8" s="85" t="s">
        <v>505</v>
      </c>
      <c r="X8" s="85"/>
    </row>
    <row r="9" spans="1:24" s="1" customFormat="1" ht="15" customHeight="1" x14ac:dyDescent="0.25">
      <c r="B9" s="1" t="s">
        <v>506</v>
      </c>
      <c r="C9" s="1" t="s">
        <v>208</v>
      </c>
      <c r="D9" s="1" t="s">
        <v>209</v>
      </c>
      <c r="E9" t="s">
        <v>507</v>
      </c>
      <c r="F9" t="s">
        <v>352</v>
      </c>
      <c r="G9" t="s">
        <v>508</v>
      </c>
      <c r="H9" t="s">
        <v>460</v>
      </c>
      <c r="I9" t="s">
        <v>509</v>
      </c>
      <c r="J9" t="s">
        <v>479</v>
      </c>
      <c r="K9" t="s">
        <v>469</v>
      </c>
      <c r="L9" t="s">
        <v>510</v>
      </c>
      <c r="M9">
        <v>15</v>
      </c>
      <c r="N9" t="s">
        <v>511</v>
      </c>
      <c r="O9">
        <v>32</v>
      </c>
      <c r="P9">
        <v>40</v>
      </c>
      <c r="Q9" s="7">
        <v>148</v>
      </c>
      <c r="R9" s="27">
        <f t="shared" si="0"/>
        <v>148</v>
      </c>
      <c r="S9" s="27" t="str">
        <f>IF(SUM(COUNTIFS('10_28_11_03'!E:E,'10_28_11_03 Acc Rate'!C9,'10_28_11_03'!O:O,"*M*"),COUNTIFS('10_28_11_03'!E:E,'10_28_11_03 Acc Rate'!C9,'10_28_11_03'!R:R,"*M*"))=0,"",SUM(COUNTIFS('10_28_11_03'!E:E,'10_28_11_03 Acc Rate'!C9,'10_28_11_03'!O:O,"*M*"),COUNTIFS('10_28_11_03'!E:E,'10_28_11_03 Acc Rate'!C9,'10_28_11_03'!R:R,"*M*")))</f>
        <v/>
      </c>
      <c r="T9" s="1" t="str">
        <f>IF(SUM(COUNTIFS('10_28_11_03'!E:E,'10_28_11_03 Acc Rate'!C9,'10_28_11_03'!P:P,"*E*"),COUNTIFS('10_28_11_03'!E:E,'10_28_11_03 Acc Rate'!C9,'10_28_11_03'!S:S,"*E*"))=0,"",SUM(COUNTIFS('10_28_11_03'!E:E,'10_28_11_03 Acc Rate'!C9,'10_28_11_03'!P:P,"*E*"),COUNTIFS('10_28_11_03'!E:E,'10_28_11_03 Acc Rate'!C9,'10_28_11_03'!S:S,"*E*")))</f>
        <v/>
      </c>
      <c r="U9" s="8">
        <f t="shared" si="1"/>
        <v>0</v>
      </c>
      <c r="V9" s="2"/>
    </row>
    <row r="10" spans="1:24" s="1" customFormat="1" ht="15" customHeight="1" x14ac:dyDescent="0.25">
      <c r="B10" s="1" t="s">
        <v>512</v>
      </c>
      <c r="C10" s="1" t="s">
        <v>371</v>
      </c>
      <c r="D10" s="1" t="s">
        <v>372</v>
      </c>
      <c r="E10" t="s">
        <v>513</v>
      </c>
      <c r="F10" t="s">
        <v>34</v>
      </c>
      <c r="G10" t="s">
        <v>514</v>
      </c>
      <c r="H10" t="s">
        <v>460</v>
      </c>
      <c r="I10" t="s">
        <v>515</v>
      </c>
      <c r="J10" t="s">
        <v>470</v>
      </c>
      <c r="K10"/>
      <c r="L10" t="s">
        <v>516</v>
      </c>
      <c r="M10">
        <v>15</v>
      </c>
      <c r="N10" t="s">
        <v>517</v>
      </c>
      <c r="O10">
        <v>132</v>
      </c>
      <c r="P10">
        <v>40</v>
      </c>
      <c r="Q10" s="7">
        <v>380</v>
      </c>
      <c r="R10" s="27">
        <f t="shared" si="0"/>
        <v>379</v>
      </c>
      <c r="S10" s="27">
        <f>IF(SUM(COUNTIFS('10_28_11_03'!E:E,'10_28_11_03 Acc Rate'!C10,'10_28_11_03'!O:O,"*M*"),COUNTIFS('10_28_11_03'!E:E,'10_28_11_03 Acc Rate'!C10,'10_28_11_03'!R:R,"*M*"))=0,"",SUM(COUNTIFS('10_28_11_03'!E:E,'10_28_11_03 Acc Rate'!C10,'10_28_11_03'!O:O,"*M*"),COUNTIFS('10_28_11_03'!E:E,'10_28_11_03 Acc Rate'!C10,'10_28_11_03'!R:R,"*M*")))</f>
        <v>1</v>
      </c>
      <c r="T10" s="1" t="str">
        <f>IF(SUM(COUNTIFS('10_28_11_03'!E:E,'10_28_11_03 Acc Rate'!C10,'10_28_11_03'!P:P,"*E*"),COUNTIFS('10_28_11_03'!E:E,'10_28_11_03 Acc Rate'!C10,'10_28_11_03'!S:S,"*E*"))=0,"",SUM(COUNTIFS('10_28_11_03'!E:E,'10_28_11_03 Acc Rate'!C10,'10_28_11_03'!P:P,"*E*"),COUNTIFS('10_28_11_03'!E:E,'10_28_11_03 Acc Rate'!C10,'10_28_11_03'!S:S,"*E*")))</f>
        <v/>
      </c>
      <c r="U10" s="8">
        <f t="shared" si="1"/>
        <v>2.1052631578947368E-2</v>
      </c>
      <c r="V10" s="2"/>
    </row>
    <row r="11" spans="1:24" s="1" customFormat="1" ht="15" customHeight="1" x14ac:dyDescent="0.25">
      <c r="B11" s="1" t="s">
        <v>518</v>
      </c>
      <c r="C11" s="1" t="s">
        <v>296</v>
      </c>
      <c r="D11" s="1" t="s">
        <v>297</v>
      </c>
      <c r="E11" t="s">
        <v>519</v>
      </c>
      <c r="F11" t="s">
        <v>520</v>
      </c>
      <c r="G11" t="s">
        <v>521</v>
      </c>
      <c r="H11" t="s">
        <v>460</v>
      </c>
      <c r="I11" t="s">
        <v>522</v>
      </c>
      <c r="J11" t="s">
        <v>523</v>
      </c>
      <c r="K11" t="s">
        <v>515</v>
      </c>
      <c r="L11"/>
      <c r="M11">
        <v>15</v>
      </c>
      <c r="N11" t="s">
        <v>524</v>
      </c>
      <c r="O11">
        <v>719</v>
      </c>
      <c r="P11">
        <v>40</v>
      </c>
      <c r="Q11" s="7">
        <v>564</v>
      </c>
      <c r="R11" s="27">
        <f t="shared" si="0"/>
        <v>563</v>
      </c>
      <c r="S11" s="27" t="str">
        <f>IF(SUM(COUNTIFS('10_28_11_03'!E:E,'10_28_11_03 Acc Rate'!C11,'10_28_11_03'!O:O,"*M*"),COUNTIFS('10_28_11_03'!E:E,'10_28_11_03 Acc Rate'!C11,'10_28_11_03'!R:R,"*M*"))=0,"",SUM(COUNTIFS('10_28_11_03'!E:E,'10_28_11_03 Acc Rate'!C11,'10_28_11_03'!O:O,"*M*"),COUNTIFS('10_28_11_03'!E:E,'10_28_11_03 Acc Rate'!C11,'10_28_11_03'!R:R,"*M*")))</f>
        <v/>
      </c>
      <c r="T11" s="1">
        <f>IF(SUM(COUNTIFS('10_28_11_03'!E:E,'10_28_11_03 Acc Rate'!C11,'10_28_11_03'!P:P,"*E*"),COUNTIFS('10_28_11_03'!E:E,'10_28_11_03 Acc Rate'!C11,'10_28_11_03'!S:S,"*E*"))=0,"",SUM(COUNTIFS('10_28_11_03'!E:E,'10_28_11_03 Acc Rate'!C11,'10_28_11_03'!P:P,"*E*"),COUNTIFS('10_28_11_03'!E:E,'10_28_11_03 Acc Rate'!C11,'10_28_11_03'!S:S,"*E*")))</f>
        <v>1</v>
      </c>
      <c r="U11" s="8">
        <f t="shared" si="1"/>
        <v>3.5460992907801418E-3</v>
      </c>
      <c r="V11" s="2"/>
    </row>
    <row r="12" spans="1:24" s="1" customFormat="1" ht="15" customHeight="1" x14ac:dyDescent="0.25">
      <c r="B12" s="1" t="s">
        <v>525</v>
      </c>
      <c r="C12" s="1" t="s">
        <v>277</v>
      </c>
      <c r="D12" s="1" t="s">
        <v>278</v>
      </c>
      <c r="E12" t="s">
        <v>526</v>
      </c>
      <c r="F12" t="s">
        <v>527</v>
      </c>
      <c r="G12" t="s">
        <v>528</v>
      </c>
      <c r="H12" t="s">
        <v>460</v>
      </c>
      <c r="I12" t="s">
        <v>529</v>
      </c>
      <c r="J12" t="s">
        <v>523</v>
      </c>
      <c r="K12" t="s">
        <v>515</v>
      </c>
      <c r="L12"/>
      <c r="M12">
        <v>15</v>
      </c>
      <c r="N12" t="s">
        <v>530</v>
      </c>
      <c r="O12">
        <v>219</v>
      </c>
      <c r="P12">
        <v>25</v>
      </c>
      <c r="Q12" s="7">
        <v>392</v>
      </c>
      <c r="R12" s="27">
        <f t="shared" si="0"/>
        <v>392</v>
      </c>
      <c r="S12" s="27" t="str">
        <f>IF(SUM(COUNTIFS('10_28_11_03'!E:E,'10_28_11_03 Acc Rate'!C12,'10_28_11_03'!O:O,"*M*"),COUNTIFS('10_28_11_03'!E:E,'10_28_11_03 Acc Rate'!C12,'10_28_11_03'!R:R,"*M*"))=0,"",SUM(COUNTIFS('10_28_11_03'!E:E,'10_28_11_03 Acc Rate'!C12,'10_28_11_03'!O:O,"*M*"),COUNTIFS('10_28_11_03'!E:E,'10_28_11_03 Acc Rate'!C12,'10_28_11_03'!R:R,"*M*")))</f>
        <v/>
      </c>
      <c r="T12" s="1" t="str">
        <f>IF(SUM(COUNTIFS('10_28_11_03'!E:E,'10_28_11_03 Acc Rate'!C12,'10_28_11_03'!P:P,"*E*"),COUNTIFS('10_28_11_03'!E:E,'10_28_11_03 Acc Rate'!C12,'10_28_11_03'!S:S,"*E*"))=0,"",SUM(COUNTIFS('10_28_11_03'!E:E,'10_28_11_03 Acc Rate'!C12,'10_28_11_03'!P:P,"*E*"),COUNTIFS('10_28_11_03'!E:E,'10_28_11_03 Acc Rate'!C12,'10_28_11_03'!S:S,"*E*")))</f>
        <v/>
      </c>
      <c r="U12" s="8">
        <f t="shared" si="1"/>
        <v>0</v>
      </c>
      <c r="V12" s="2"/>
    </row>
    <row r="13" spans="1:24" s="1" customFormat="1" ht="15" customHeight="1" x14ac:dyDescent="0.25">
      <c r="B13" s="1" t="s">
        <v>531</v>
      </c>
      <c r="C13" s="1" t="s">
        <v>325</v>
      </c>
      <c r="D13" s="1" t="s">
        <v>278</v>
      </c>
      <c r="E13" t="s">
        <v>532</v>
      </c>
      <c r="F13" t="s">
        <v>244</v>
      </c>
      <c r="G13" t="s">
        <v>533</v>
      </c>
      <c r="H13" t="s">
        <v>460</v>
      </c>
      <c r="I13" t="s">
        <v>534</v>
      </c>
      <c r="J13" t="s">
        <v>523</v>
      </c>
      <c r="K13" t="s">
        <v>515</v>
      </c>
      <c r="L13" t="s">
        <v>535</v>
      </c>
      <c r="M13">
        <v>15</v>
      </c>
      <c r="N13" t="s">
        <v>536</v>
      </c>
      <c r="O13">
        <v>142</v>
      </c>
      <c r="P13">
        <v>25</v>
      </c>
      <c r="Q13" s="7">
        <v>27</v>
      </c>
      <c r="R13" s="27">
        <f t="shared" si="0"/>
        <v>27</v>
      </c>
      <c r="S13" s="27" t="str">
        <f>IF(SUM(COUNTIFS('10_28_11_03'!E:E,'10_28_11_03 Acc Rate'!C13,'10_28_11_03'!O:O,"*M*"),COUNTIFS('10_28_11_03'!E:E,'10_28_11_03 Acc Rate'!C13,'10_28_11_03'!R:R,"*M*"))=0,"",SUM(COUNTIFS('10_28_11_03'!E:E,'10_28_11_03 Acc Rate'!C13,'10_28_11_03'!O:O,"*M*"),COUNTIFS('10_28_11_03'!E:E,'10_28_11_03 Acc Rate'!C13,'10_28_11_03'!R:R,"*M*")))</f>
        <v/>
      </c>
      <c r="T13" s="1" t="str">
        <f>IF(SUM(COUNTIFS('10_28_11_03'!E:E,'10_28_11_03 Acc Rate'!C13,'10_28_11_03'!P:P,"*E*"),COUNTIFS('10_28_11_03'!E:E,'10_28_11_03 Acc Rate'!C13,'10_28_11_03'!S:S,"*E*"))=0,"",SUM(COUNTIFS('10_28_11_03'!E:E,'10_28_11_03 Acc Rate'!C13,'10_28_11_03'!P:P,"*E*"),COUNTIFS('10_28_11_03'!E:E,'10_28_11_03 Acc Rate'!C13,'10_28_11_03'!S:S,"*E*")))</f>
        <v/>
      </c>
      <c r="U13" s="8">
        <f t="shared" si="1"/>
        <v>0</v>
      </c>
      <c r="V13" s="2"/>
    </row>
    <row r="14" spans="1:24" s="1" customFormat="1" ht="15" customHeight="1" x14ac:dyDescent="0.25">
      <c r="B14" s="1" t="s">
        <v>537</v>
      </c>
      <c r="C14" s="1" t="s">
        <v>64</v>
      </c>
      <c r="D14" s="1" t="s">
        <v>65</v>
      </c>
      <c r="E14" t="s">
        <v>538</v>
      </c>
      <c r="F14" t="s">
        <v>114</v>
      </c>
      <c r="G14" t="s">
        <v>539</v>
      </c>
      <c r="H14" t="s">
        <v>460</v>
      </c>
      <c r="I14" t="s">
        <v>540</v>
      </c>
      <c r="J14" t="s">
        <v>523</v>
      </c>
      <c r="K14" t="s">
        <v>515</v>
      </c>
      <c r="L14"/>
      <c r="M14">
        <v>15</v>
      </c>
      <c r="N14" t="s">
        <v>541</v>
      </c>
      <c r="O14">
        <v>716</v>
      </c>
      <c r="P14">
        <v>25</v>
      </c>
      <c r="Q14" s="7">
        <v>370</v>
      </c>
      <c r="R14" s="27">
        <f t="shared" si="0"/>
        <v>370</v>
      </c>
      <c r="S14" s="27" t="str">
        <f>IF(SUM(COUNTIFS('10_28_11_03'!E:E,'10_28_11_03 Acc Rate'!C14,'10_28_11_03'!O:O,"*M*"),COUNTIFS('10_28_11_03'!E:E,'10_28_11_03 Acc Rate'!C14,'10_28_11_03'!R:R,"*M*"))=0,"",SUM(COUNTIFS('10_28_11_03'!E:E,'10_28_11_03 Acc Rate'!C14,'10_28_11_03'!O:O,"*M*"),COUNTIFS('10_28_11_03'!E:E,'10_28_11_03 Acc Rate'!C14,'10_28_11_03'!R:R,"*M*")))</f>
        <v/>
      </c>
      <c r="T14" s="1" t="str">
        <f>IF(SUM(COUNTIFS('10_28_11_03'!E:E,'10_28_11_03 Acc Rate'!C14,'10_28_11_03'!P:P,"*E*"),COUNTIFS('10_28_11_03'!E:E,'10_28_11_03 Acc Rate'!C14,'10_28_11_03'!S:S,"*E*"))=0,"",SUM(COUNTIFS('10_28_11_03'!E:E,'10_28_11_03 Acc Rate'!C14,'10_28_11_03'!P:P,"*E*"),COUNTIFS('10_28_11_03'!E:E,'10_28_11_03 Acc Rate'!C14,'10_28_11_03'!S:S,"*E*")))</f>
        <v/>
      </c>
      <c r="U14" s="8">
        <f t="shared" si="1"/>
        <v>0</v>
      </c>
      <c r="V14" s="2"/>
    </row>
    <row r="15" spans="1:24" ht="15" customHeight="1" x14ac:dyDescent="0.25">
      <c r="B15" s="1" t="s">
        <v>542</v>
      </c>
      <c r="C15" s="1" t="s">
        <v>245</v>
      </c>
      <c r="D15" s="1" t="s">
        <v>246</v>
      </c>
      <c r="E15" t="s">
        <v>543</v>
      </c>
      <c r="F15" t="s">
        <v>21</v>
      </c>
      <c r="G15" t="s">
        <v>544</v>
      </c>
      <c r="H15" t="s">
        <v>460</v>
      </c>
      <c r="I15" t="s">
        <v>545</v>
      </c>
      <c r="J15" t="s">
        <v>523</v>
      </c>
      <c r="K15" t="s">
        <v>515</v>
      </c>
      <c r="L15" t="s">
        <v>546</v>
      </c>
      <c r="M15">
        <v>15</v>
      </c>
      <c r="N15" t="s">
        <v>547</v>
      </c>
      <c r="O15">
        <v>209</v>
      </c>
      <c r="P15">
        <v>40</v>
      </c>
      <c r="Q15" s="7">
        <v>339</v>
      </c>
      <c r="R15" s="27">
        <f t="shared" si="0"/>
        <v>339</v>
      </c>
      <c r="S15" s="27" t="str">
        <f>IF(SUM(COUNTIFS('10_28_11_03'!E:E,'10_28_11_03 Acc Rate'!C15,'10_28_11_03'!O:O,"*M*"),COUNTIFS('10_28_11_03'!E:E,'10_28_11_03 Acc Rate'!C15,'10_28_11_03'!R:R,"*M*"))=0,"",SUM(COUNTIFS('10_28_11_03'!E:E,'10_28_11_03 Acc Rate'!C15,'10_28_11_03'!O:O,"*M*"),COUNTIFS('10_28_11_03'!E:E,'10_28_11_03 Acc Rate'!C15,'10_28_11_03'!R:R,"*M*")))</f>
        <v/>
      </c>
      <c r="T15" s="1" t="str">
        <f>IF(SUM(COUNTIFS('10_28_11_03'!E:E,'10_28_11_03 Acc Rate'!C15,'10_28_11_03'!P:P,"*E*"),COUNTIFS('10_28_11_03'!E:E,'10_28_11_03 Acc Rate'!C15,'10_28_11_03'!S:S,"*E*"))=0,"",SUM(COUNTIFS('10_28_11_03'!E:E,'10_28_11_03 Acc Rate'!C15,'10_28_11_03'!P:P,"*E*"),COUNTIFS('10_28_11_03'!E:E,'10_28_11_03 Acc Rate'!C15,'10_28_11_03'!S:S,"*E*")))</f>
        <v/>
      </c>
      <c r="U15" s="8">
        <f t="shared" si="1"/>
        <v>0</v>
      </c>
    </row>
    <row r="16" spans="1:24" ht="15" customHeight="1" x14ac:dyDescent="0.25">
      <c r="B16" s="1" t="s">
        <v>548</v>
      </c>
      <c r="C16" s="1" t="s">
        <v>396</v>
      </c>
      <c r="D16" s="1" t="s">
        <v>549</v>
      </c>
      <c r="E16"/>
      <c r="F16" t="s">
        <v>550</v>
      </c>
      <c r="G16" t="s">
        <v>551</v>
      </c>
      <c r="H16" t="s">
        <v>552</v>
      </c>
      <c r="I16" t="s">
        <v>553</v>
      </c>
      <c r="J16" t="s">
        <v>554</v>
      </c>
      <c r="K16"/>
      <c r="L16"/>
      <c r="M16">
        <v>6</v>
      </c>
      <c r="N16"/>
      <c r="O16"/>
      <c r="P16"/>
      <c r="Q16" s="7"/>
      <c r="R16" s="27" t="str">
        <f t="shared" si="0"/>
        <v/>
      </c>
      <c r="S16" s="27" t="str">
        <f>IF(SUM(COUNTIFS('10_28_11_03'!E:E,'10_28_11_03 Acc Rate'!C16,'10_28_11_03'!O:O,"*M*"),COUNTIFS('10_28_11_03'!E:E,'10_28_11_03 Acc Rate'!C16,'10_28_11_03'!R:R,"*M*"))=0,"",SUM(COUNTIFS('10_28_11_03'!E:E,'10_28_11_03 Acc Rate'!C16,'10_28_11_03'!O:O,"*M*"),COUNTIFS('10_28_11_03'!E:E,'10_28_11_03 Acc Rate'!C16,'10_28_11_03'!R:R,"*M*")))</f>
        <v/>
      </c>
      <c r="T16" s="1" t="str">
        <f>IF(SUM(COUNTIFS('10_28_11_03'!E:E,'10_28_11_03 Acc Rate'!C16,'10_28_11_03'!P:P,"*E*"),COUNTIFS('10_28_11_03'!E:E,'10_28_11_03 Acc Rate'!C16,'10_28_11_03'!S:S,"*E*"))=0,"",SUM(COUNTIFS('10_28_11_03'!E:E,'10_28_11_03 Acc Rate'!C16,'10_28_11_03'!P:P,"*E*"),COUNTIFS('10_28_11_03'!E:E,'10_28_11_03 Acc Rate'!C16,'10_28_11_03'!S:S,"*E*")))</f>
        <v/>
      </c>
      <c r="U16" s="8" t="str">
        <f t="shared" si="1"/>
        <v/>
      </c>
    </row>
    <row r="17" spans="2:21" ht="15" customHeight="1" x14ac:dyDescent="0.25">
      <c r="B17" s="1" t="s">
        <v>555</v>
      </c>
      <c r="C17" s="1" t="s">
        <v>556</v>
      </c>
      <c r="D17" s="1" t="s">
        <v>557</v>
      </c>
      <c r="E17"/>
      <c r="F17" t="s">
        <v>558</v>
      </c>
      <c r="G17" t="s">
        <v>559</v>
      </c>
      <c r="H17" t="s">
        <v>552</v>
      </c>
      <c r="I17" t="s">
        <v>560</v>
      </c>
      <c r="J17" t="s">
        <v>561</v>
      </c>
      <c r="K17" t="s">
        <v>553</v>
      </c>
      <c r="L17"/>
      <c r="M17">
        <v>6</v>
      </c>
      <c r="N17"/>
      <c r="O17"/>
      <c r="P17"/>
      <c r="Q17" s="7"/>
      <c r="R17" s="27" t="str">
        <f t="shared" si="0"/>
        <v/>
      </c>
      <c r="S17" s="27" t="str">
        <f>IF(SUM(COUNTIFS('10_28_11_03'!E:E,'10_28_11_03 Acc Rate'!C17,'10_28_11_03'!O:O,"*M*"),COUNTIFS('10_28_11_03'!E:E,'10_28_11_03 Acc Rate'!C17,'10_28_11_03'!R:R,"*M*"))=0,"",SUM(COUNTIFS('10_28_11_03'!E:E,'10_28_11_03 Acc Rate'!C17,'10_28_11_03'!O:O,"*M*"),COUNTIFS('10_28_11_03'!E:E,'10_28_11_03 Acc Rate'!C17,'10_28_11_03'!R:R,"*M*")))</f>
        <v/>
      </c>
      <c r="T17" s="1" t="str">
        <f>IF(SUM(COUNTIFS('10_28_11_03'!E:E,'10_28_11_03 Acc Rate'!C17,'10_28_11_03'!P:P,"*E*"),COUNTIFS('10_28_11_03'!E:E,'10_28_11_03 Acc Rate'!C17,'10_28_11_03'!S:S,"*E*"))=0,"",SUM(COUNTIFS('10_28_11_03'!E:E,'10_28_11_03 Acc Rate'!C17,'10_28_11_03'!P:P,"*E*"),COUNTIFS('10_28_11_03'!E:E,'10_28_11_03 Acc Rate'!C17,'10_28_11_03'!S:S,"*E*")))</f>
        <v/>
      </c>
      <c r="U17" s="8" t="str">
        <f t="shared" si="1"/>
        <v/>
      </c>
    </row>
    <row r="18" spans="2:21" ht="15" customHeight="1" x14ac:dyDescent="0.25">
      <c r="B18" s="1" t="s">
        <v>562</v>
      </c>
      <c r="C18" s="1" t="s">
        <v>563</v>
      </c>
      <c r="D18" s="1" t="s">
        <v>564</v>
      </c>
      <c r="E18"/>
      <c r="F18" t="s">
        <v>565</v>
      </c>
      <c r="G18" t="s">
        <v>566</v>
      </c>
      <c r="H18" t="s">
        <v>552</v>
      </c>
      <c r="I18" t="s">
        <v>567</v>
      </c>
      <c r="J18" t="s">
        <v>561</v>
      </c>
      <c r="K18" t="s">
        <v>553</v>
      </c>
      <c r="L18"/>
      <c r="M18">
        <v>6</v>
      </c>
      <c r="N18"/>
      <c r="O18"/>
      <c r="P18"/>
      <c r="Q18" s="7">
        <v>3</v>
      </c>
      <c r="R18" s="27">
        <f t="shared" si="0"/>
        <v>2</v>
      </c>
      <c r="S18" s="27">
        <f>IF(SUM(COUNTIFS('10_28_11_03'!E:E,'10_28_11_03 Acc Rate'!C18,'10_28_11_03'!O:O,"*M*"),COUNTIFS('10_28_11_03'!E:E,'10_28_11_03 Acc Rate'!C18,'10_28_11_03'!R:R,"*M*"))=0,"",SUM(COUNTIFS('10_28_11_03'!E:E,'10_28_11_03 Acc Rate'!C18,'10_28_11_03'!O:O,"*M*"),COUNTIFS('10_28_11_03'!E:E,'10_28_11_03 Acc Rate'!C18,'10_28_11_03'!R:R,"*M*")))</f>
        <v>1</v>
      </c>
      <c r="T18" s="1" t="str">
        <f>IF(SUM(COUNTIFS('10_28_11_03'!E:E,'10_28_11_03 Acc Rate'!C18,'10_28_11_03'!P:P,"*E*"),COUNTIFS('10_28_11_03'!E:E,'10_28_11_03 Acc Rate'!C18,'10_28_11_03'!S:S,"*E*"))=0,"",SUM(COUNTIFS('10_28_11_03'!E:E,'10_28_11_03 Acc Rate'!C18,'10_28_11_03'!P:P,"*E*"),COUNTIFS('10_28_11_03'!E:E,'10_28_11_03 Acc Rate'!C18,'10_28_11_03'!S:S,"*E*")))</f>
        <v/>
      </c>
      <c r="U18" s="8">
        <f t="shared" si="1"/>
        <v>2.6666666666666665</v>
      </c>
    </row>
    <row r="19" spans="2:21" ht="15" customHeight="1" x14ac:dyDescent="0.25">
      <c r="B19" s="1" t="s">
        <v>568</v>
      </c>
      <c r="C19" s="1" t="s">
        <v>569</v>
      </c>
      <c r="D19" s="1" t="s">
        <v>570</v>
      </c>
      <c r="E19"/>
      <c r="F19" t="s">
        <v>571</v>
      </c>
      <c r="G19" t="s">
        <v>572</v>
      </c>
      <c r="H19" t="s">
        <v>552</v>
      </c>
      <c r="I19" t="s">
        <v>573</v>
      </c>
      <c r="J19" t="s">
        <v>561</v>
      </c>
      <c r="K19" t="s">
        <v>553</v>
      </c>
      <c r="L19"/>
      <c r="M19">
        <v>6</v>
      </c>
      <c r="N19"/>
      <c r="O19"/>
      <c r="P19"/>
      <c r="Q19" s="7">
        <v>10</v>
      </c>
      <c r="R19" s="27">
        <f t="shared" si="0"/>
        <v>9</v>
      </c>
      <c r="S19" s="27" t="str">
        <f>IF(SUM(COUNTIFS('10_28_11_03'!E:E,'10_28_11_03 Acc Rate'!C19,'10_28_11_03'!O:O,"*M*"),COUNTIFS('10_28_11_03'!E:E,'10_28_11_03 Acc Rate'!C19,'10_28_11_03'!R:R,"*M*"))=0,"",SUM(COUNTIFS('10_28_11_03'!E:E,'10_28_11_03 Acc Rate'!C19,'10_28_11_03'!O:O,"*M*"),COUNTIFS('10_28_11_03'!E:E,'10_28_11_03 Acc Rate'!C19,'10_28_11_03'!R:R,"*M*")))</f>
        <v/>
      </c>
      <c r="T19" s="1">
        <f>IF(SUM(COUNTIFS('10_28_11_03'!E:E,'10_28_11_03 Acc Rate'!C19,'10_28_11_03'!P:P,"*E*"),COUNTIFS('10_28_11_03'!E:E,'10_28_11_03 Acc Rate'!C19,'10_28_11_03'!S:S,"*E*"))=0,"",SUM(COUNTIFS('10_28_11_03'!E:E,'10_28_11_03 Acc Rate'!C19,'10_28_11_03'!P:P,"*E*"),COUNTIFS('10_28_11_03'!E:E,'10_28_11_03 Acc Rate'!C19,'10_28_11_03'!S:S,"*E*")))</f>
        <v>1</v>
      </c>
      <c r="U19" s="8">
        <f t="shared" si="1"/>
        <v>0.2</v>
      </c>
    </row>
    <row r="20" spans="2:21" ht="15" customHeight="1" x14ac:dyDescent="0.25">
      <c r="B20" s="1" t="s">
        <v>574</v>
      </c>
      <c r="C20" s="1" t="s">
        <v>575</v>
      </c>
      <c r="D20" s="1" t="s">
        <v>576</v>
      </c>
      <c r="E20"/>
      <c r="F20" t="s">
        <v>577</v>
      </c>
      <c r="G20" t="s">
        <v>578</v>
      </c>
      <c r="H20" t="s">
        <v>552</v>
      </c>
      <c r="I20" t="s">
        <v>579</v>
      </c>
      <c r="J20" t="s">
        <v>561</v>
      </c>
      <c r="K20" t="s">
        <v>553</v>
      </c>
      <c r="L20"/>
      <c r="M20">
        <v>6</v>
      </c>
      <c r="N20"/>
      <c r="O20"/>
      <c r="P20"/>
      <c r="Q20" s="7"/>
      <c r="R20" s="27" t="str">
        <f t="shared" si="0"/>
        <v/>
      </c>
      <c r="S20" s="27" t="str">
        <f>IF(SUM(COUNTIFS('10_28_11_03'!E:E,'10_28_11_03 Acc Rate'!C20,'10_28_11_03'!O:O,"*M*"),COUNTIFS('10_28_11_03'!E:E,'10_28_11_03 Acc Rate'!C20,'10_28_11_03'!R:R,"*M*"))=0,"",SUM(COUNTIFS('10_28_11_03'!E:E,'10_28_11_03 Acc Rate'!C20,'10_28_11_03'!O:O,"*M*"),COUNTIFS('10_28_11_03'!E:E,'10_28_11_03 Acc Rate'!C20,'10_28_11_03'!R:R,"*M*")))</f>
        <v/>
      </c>
      <c r="T20" s="1" t="str">
        <f>IF(SUM(COUNTIFS('10_28_11_03'!E:E,'10_28_11_03 Acc Rate'!C20,'10_28_11_03'!P:P,"*E*"),COUNTIFS('10_28_11_03'!E:E,'10_28_11_03 Acc Rate'!C20,'10_28_11_03'!S:S,"*E*"))=0,"",SUM(COUNTIFS('10_28_11_03'!E:E,'10_28_11_03 Acc Rate'!C20,'10_28_11_03'!P:P,"*E*"),COUNTIFS('10_28_11_03'!E:E,'10_28_11_03 Acc Rate'!C20,'10_28_11_03'!S:S,"*E*")))</f>
        <v/>
      </c>
      <c r="U20" s="8" t="str">
        <f t="shared" si="1"/>
        <v/>
      </c>
    </row>
    <row r="21" spans="2:21" ht="15" customHeight="1" x14ac:dyDescent="0.25">
      <c r="B21" s="1" t="s">
        <v>580</v>
      </c>
      <c r="C21" s="1" t="s">
        <v>316</v>
      </c>
      <c r="D21" s="1" t="s">
        <v>581</v>
      </c>
      <c r="E21"/>
      <c r="F21" t="s">
        <v>565</v>
      </c>
      <c r="G21" t="s">
        <v>582</v>
      </c>
      <c r="H21" t="s">
        <v>583</v>
      </c>
      <c r="I21" t="s">
        <v>584</v>
      </c>
      <c r="J21" t="s">
        <v>585</v>
      </c>
      <c r="K21"/>
      <c r="L21"/>
      <c r="M21">
        <v>1</v>
      </c>
      <c r="N21"/>
      <c r="O21"/>
      <c r="P21"/>
      <c r="Q21" s="7"/>
      <c r="R21" s="27" t="str">
        <f t="shared" si="0"/>
        <v/>
      </c>
      <c r="S21" s="27" t="str">
        <f>IF(SUM(COUNTIFS('10_28_11_03'!E:E,'10_28_11_03 Acc Rate'!C21,'10_28_11_03'!O:O,"*M*"),COUNTIFS('10_28_11_03'!E:E,'10_28_11_03 Acc Rate'!C21,'10_28_11_03'!R:R,"*M*"))=0,"",SUM(COUNTIFS('10_28_11_03'!E:E,'10_28_11_03 Acc Rate'!C21,'10_28_11_03'!O:O,"*M*"),COUNTIFS('10_28_11_03'!E:E,'10_28_11_03 Acc Rate'!C21,'10_28_11_03'!R:R,"*M*")))</f>
        <v/>
      </c>
      <c r="T21" s="1" t="str">
        <f>IF(SUM(COUNTIFS('10_28_11_03'!E:E,'10_28_11_03 Acc Rate'!C21,'10_28_11_03'!P:P,"*E*"),COUNTIFS('10_28_11_03'!E:E,'10_28_11_03 Acc Rate'!C21,'10_28_11_03'!S:S,"*E*"))=0,"",SUM(COUNTIFS('10_28_11_03'!E:E,'10_28_11_03 Acc Rate'!C21,'10_28_11_03'!P:P,"*E*"),COUNTIFS('10_28_11_03'!E:E,'10_28_11_03 Acc Rate'!C21,'10_28_11_03'!S:S,"*E*")))</f>
        <v/>
      </c>
      <c r="U21" s="8" t="str">
        <f t="shared" si="1"/>
        <v/>
      </c>
    </row>
    <row r="22" spans="2:21" ht="15" customHeight="1" x14ac:dyDescent="0.25">
      <c r="B22" s="1" t="s">
        <v>586</v>
      </c>
      <c r="C22" s="1" t="s">
        <v>587</v>
      </c>
      <c r="D22" s="1" t="s">
        <v>588</v>
      </c>
      <c r="E22"/>
      <c r="F22" t="s">
        <v>589</v>
      </c>
      <c r="G22" t="s">
        <v>590</v>
      </c>
      <c r="H22" t="s">
        <v>583</v>
      </c>
      <c r="I22" t="s">
        <v>591</v>
      </c>
      <c r="J22" t="s">
        <v>592</v>
      </c>
      <c r="K22"/>
      <c r="L22"/>
      <c r="M22">
        <v>1</v>
      </c>
      <c r="N22"/>
      <c r="O22"/>
      <c r="P22"/>
      <c r="Q22" s="7"/>
      <c r="R22" s="27" t="str">
        <f t="shared" si="0"/>
        <v/>
      </c>
      <c r="S22" s="27" t="str">
        <f>IF(SUM(COUNTIFS('10_28_11_03'!E:E,'10_28_11_03 Acc Rate'!C22,'10_28_11_03'!O:O,"*M*"),COUNTIFS('10_28_11_03'!E:E,'10_28_11_03 Acc Rate'!C22,'10_28_11_03'!R:R,"*M*"))=0,"",SUM(COUNTIFS('10_28_11_03'!E:E,'10_28_11_03 Acc Rate'!C22,'10_28_11_03'!O:O,"*M*"),COUNTIFS('10_28_11_03'!E:E,'10_28_11_03 Acc Rate'!C22,'10_28_11_03'!R:R,"*M*")))</f>
        <v/>
      </c>
      <c r="T22" s="1" t="str">
        <f>IF(SUM(COUNTIFS('10_28_11_03'!E:E,'10_28_11_03 Acc Rate'!C22,'10_28_11_03'!P:P,"*E*"),COUNTIFS('10_28_11_03'!E:E,'10_28_11_03 Acc Rate'!C22,'10_28_11_03'!S:S,"*E*"))=0,"",SUM(COUNTIFS('10_28_11_03'!E:E,'10_28_11_03 Acc Rate'!C22,'10_28_11_03'!P:P,"*E*"),COUNTIFS('10_28_11_03'!E:E,'10_28_11_03 Acc Rate'!C22,'10_28_11_03'!S:S,"*E*")))</f>
        <v/>
      </c>
      <c r="U22" s="8" t="str">
        <f t="shared" si="1"/>
        <v/>
      </c>
    </row>
    <row r="23" spans="2:21" s="1" customFormat="1" ht="15" customHeight="1" x14ac:dyDescent="0.25">
      <c r="B23" s="1" t="s">
        <v>593</v>
      </c>
      <c r="C23" s="1" t="s">
        <v>169</v>
      </c>
      <c r="D23" s="1" t="s">
        <v>170</v>
      </c>
      <c r="E23"/>
      <c r="F23" t="s">
        <v>594</v>
      </c>
      <c r="G23" t="s">
        <v>595</v>
      </c>
      <c r="H23" t="s">
        <v>583</v>
      </c>
      <c r="I23" t="s">
        <v>596</v>
      </c>
      <c r="J23" t="s">
        <v>592</v>
      </c>
      <c r="K23"/>
      <c r="L23"/>
      <c r="M23">
        <v>1</v>
      </c>
      <c r="N23"/>
      <c r="O23"/>
      <c r="P23"/>
      <c r="Q23" s="7"/>
      <c r="R23" s="27" t="str">
        <f t="shared" si="0"/>
        <v/>
      </c>
      <c r="S23" s="27" t="str">
        <f>IF(SUM(COUNTIFS('10_28_11_03'!E:E,'10_28_11_03 Acc Rate'!C23,'10_28_11_03'!O:O,"*M*"),COUNTIFS('10_28_11_03'!E:E,'10_28_11_03 Acc Rate'!C23,'10_28_11_03'!R:R,"*M*"))=0,"",SUM(COUNTIFS('10_28_11_03'!E:E,'10_28_11_03 Acc Rate'!C23,'10_28_11_03'!O:O,"*M*"),COUNTIFS('10_28_11_03'!E:E,'10_28_11_03 Acc Rate'!C23,'10_28_11_03'!R:R,"*M*")))</f>
        <v/>
      </c>
      <c r="T23" s="1" t="str">
        <f>IF(SUM(COUNTIFS('10_28_11_03'!E:E,'10_28_11_03 Acc Rate'!C23,'10_28_11_03'!P:P,"*E*"),COUNTIFS('10_28_11_03'!E:E,'10_28_11_03 Acc Rate'!C23,'10_28_11_03'!S:S,"*E*"))=0,"",SUM(COUNTIFS('10_28_11_03'!E:E,'10_28_11_03 Acc Rate'!C23,'10_28_11_03'!P:P,"*E*"),COUNTIFS('10_28_11_03'!E:E,'10_28_11_03 Acc Rate'!C23,'10_28_11_03'!S:S,"*E*")))</f>
        <v/>
      </c>
      <c r="U23" s="9" t="str">
        <f t="shared" si="1"/>
        <v/>
      </c>
    </row>
    <row r="24" spans="2:21" s="1" customFormat="1" ht="15" customHeight="1" x14ac:dyDescent="0.25">
      <c r="B24" s="1" t="s">
        <v>597</v>
      </c>
      <c r="C24" s="1" t="s">
        <v>423</v>
      </c>
      <c r="D24" s="1" t="s">
        <v>424</v>
      </c>
      <c r="E24"/>
      <c r="F24" t="s">
        <v>598</v>
      </c>
      <c r="G24" t="s">
        <v>599</v>
      </c>
      <c r="H24" t="s">
        <v>583</v>
      </c>
      <c r="I24" t="s">
        <v>600</v>
      </c>
      <c r="J24" t="s">
        <v>601</v>
      </c>
      <c r="K24"/>
      <c r="L24"/>
      <c r="M24">
        <v>1</v>
      </c>
      <c r="N24"/>
      <c r="O24"/>
      <c r="P24"/>
      <c r="Q24" s="7"/>
      <c r="R24" s="27" t="str">
        <f t="shared" si="0"/>
        <v/>
      </c>
      <c r="S24" s="27" t="str">
        <f>IF(SUM(COUNTIFS('10_28_11_03'!E:E,'10_28_11_03 Acc Rate'!C24,'10_28_11_03'!O:O,"*M*"),COUNTIFS('10_28_11_03'!E:E,'10_28_11_03 Acc Rate'!C24,'10_28_11_03'!R:R,"*M*"))=0,"",SUM(COUNTIFS('10_28_11_03'!E:E,'10_28_11_03 Acc Rate'!C24,'10_28_11_03'!O:O,"*M*"),COUNTIFS('10_28_11_03'!E:E,'10_28_11_03 Acc Rate'!C24,'10_28_11_03'!R:R,"*M*")))</f>
        <v/>
      </c>
      <c r="T24" s="1" t="str">
        <f>IF(SUM(COUNTIFS('10_28_11_03'!E:E,'10_28_11_03 Acc Rate'!C24,'10_28_11_03'!P:P,"*E*"),COUNTIFS('10_28_11_03'!E:E,'10_28_11_03 Acc Rate'!C24,'10_28_11_03'!S:S,"*E*"))=0,"",SUM(COUNTIFS('10_28_11_03'!E:E,'10_28_11_03 Acc Rate'!C24,'10_28_11_03'!P:P,"*E*"),COUNTIFS('10_28_11_03'!E:E,'10_28_11_03 Acc Rate'!C24,'10_28_11_03'!S:S,"*E*")))</f>
        <v/>
      </c>
      <c r="U24" s="9" t="str">
        <f t="shared" si="1"/>
        <v/>
      </c>
    </row>
    <row r="25" spans="2:21" s="1" customFormat="1" ht="15" customHeight="1" x14ac:dyDescent="0.25">
      <c r="B25" s="1" t="s">
        <v>602</v>
      </c>
      <c r="C25" s="1" t="s">
        <v>603</v>
      </c>
      <c r="D25" s="1" t="s">
        <v>1175</v>
      </c>
      <c r="E25"/>
      <c r="F25" t="s">
        <v>565</v>
      </c>
      <c r="G25" t="s">
        <v>1176</v>
      </c>
      <c r="H25" t="s">
        <v>583</v>
      </c>
      <c r="I25" t="s">
        <v>606</v>
      </c>
      <c r="J25" t="s">
        <v>607</v>
      </c>
      <c r="K25"/>
      <c r="L25"/>
      <c r="M25">
        <v>1</v>
      </c>
      <c r="N25"/>
      <c r="O25"/>
      <c r="P25"/>
      <c r="Q25" s="7"/>
      <c r="R25" s="27" t="str">
        <f t="shared" si="0"/>
        <v/>
      </c>
      <c r="S25" s="27" t="str">
        <f>IF(SUM(COUNTIFS('10_28_11_03'!E:E,'10_28_11_03 Acc Rate'!C25,'10_28_11_03'!O:O,"*M*"),COUNTIFS('10_28_11_03'!E:E,'10_28_11_03 Acc Rate'!C25,'10_28_11_03'!R:R,"*M*"))=0,"",SUM(COUNTIFS('10_28_11_03'!E:E,'10_28_11_03 Acc Rate'!C25,'10_28_11_03'!O:O,"*M*"),COUNTIFS('10_28_11_03'!E:E,'10_28_11_03 Acc Rate'!C25,'10_28_11_03'!R:R,"*M*")))</f>
        <v/>
      </c>
      <c r="T25" s="1" t="str">
        <f>IF(SUM(COUNTIFS('10_28_11_03'!E:E,'10_28_11_03 Acc Rate'!C25,'10_28_11_03'!P:P,"*E*"),COUNTIFS('10_28_11_03'!E:E,'10_28_11_03 Acc Rate'!C25,'10_28_11_03'!S:S,"*E*"))=0,"",SUM(COUNTIFS('10_28_11_03'!E:E,'10_28_11_03 Acc Rate'!C25,'10_28_11_03'!P:P,"*E*"),COUNTIFS('10_28_11_03'!E:E,'10_28_11_03 Acc Rate'!C25,'10_28_11_03'!S:S,"*E*")))</f>
        <v/>
      </c>
      <c r="U25" s="9" t="str">
        <f t="shared" si="1"/>
        <v/>
      </c>
    </row>
    <row r="26" spans="2:21" s="1" customFormat="1" ht="15" customHeight="1" x14ac:dyDescent="0.25">
      <c r="B26" s="1" t="s">
        <v>608</v>
      </c>
      <c r="C26" s="1" t="s">
        <v>609</v>
      </c>
      <c r="D26" s="1" t="s">
        <v>610</v>
      </c>
      <c r="E26"/>
      <c r="F26" t="s">
        <v>611</v>
      </c>
      <c r="G26" t="s">
        <v>612</v>
      </c>
      <c r="H26" t="s">
        <v>583</v>
      </c>
      <c r="I26" t="s">
        <v>613</v>
      </c>
      <c r="J26" t="s">
        <v>614</v>
      </c>
      <c r="K26" t="s">
        <v>606</v>
      </c>
      <c r="L26"/>
      <c r="M26">
        <v>1</v>
      </c>
      <c r="N26"/>
      <c r="O26"/>
      <c r="P26"/>
      <c r="Q26" s="7"/>
      <c r="R26" s="27" t="str">
        <f t="shared" si="0"/>
        <v/>
      </c>
      <c r="S26" s="27" t="str">
        <f>IF(SUM(COUNTIFS('10_28_11_03'!E:E,'10_28_11_03 Acc Rate'!C26,'10_28_11_03'!O:O,"*M*"),COUNTIFS('10_28_11_03'!E:E,'10_28_11_03 Acc Rate'!C26,'10_28_11_03'!R:R,"*M*"))=0,"",SUM(COUNTIFS('10_28_11_03'!E:E,'10_28_11_03 Acc Rate'!C26,'10_28_11_03'!O:O,"*M*"),COUNTIFS('10_28_11_03'!E:E,'10_28_11_03 Acc Rate'!C26,'10_28_11_03'!R:R,"*M*")))</f>
        <v/>
      </c>
      <c r="T26" s="1" t="str">
        <f>IF(SUM(COUNTIFS('10_28_11_03'!E:E,'10_28_11_03 Acc Rate'!C26,'10_28_11_03'!P:P,"*E*"),COUNTIFS('10_28_11_03'!E:E,'10_28_11_03 Acc Rate'!C26,'10_28_11_03'!S:S,"*E*"))=0,"",SUM(COUNTIFS('10_28_11_03'!E:E,'10_28_11_03 Acc Rate'!C26,'10_28_11_03'!P:P,"*E*"),COUNTIFS('10_28_11_03'!E:E,'10_28_11_03 Acc Rate'!C26,'10_28_11_03'!S:S,"*E*")))</f>
        <v/>
      </c>
      <c r="U26" s="9" t="str">
        <f t="shared" si="1"/>
        <v/>
      </c>
    </row>
    <row r="27" spans="2:21" s="1" customFormat="1" ht="15" customHeight="1" x14ac:dyDescent="0.25">
      <c r="B27" s="1" t="s">
        <v>615</v>
      </c>
      <c r="C27" s="1" t="s">
        <v>616</v>
      </c>
      <c r="D27" s="1" t="s">
        <v>617</v>
      </c>
      <c r="E27"/>
      <c r="F27" t="s">
        <v>618</v>
      </c>
      <c r="G27" t="s">
        <v>619</v>
      </c>
      <c r="H27" t="s">
        <v>583</v>
      </c>
      <c r="I27" t="s">
        <v>620</v>
      </c>
      <c r="J27" t="s">
        <v>614</v>
      </c>
      <c r="K27" t="s">
        <v>606</v>
      </c>
      <c r="L27"/>
      <c r="M27">
        <v>1</v>
      </c>
      <c r="N27"/>
      <c r="O27"/>
      <c r="P27"/>
      <c r="Q27" s="7"/>
      <c r="R27" s="27" t="str">
        <f t="shared" si="0"/>
        <v/>
      </c>
      <c r="S27" s="27" t="str">
        <f>IF(SUM(COUNTIFS('10_28_11_03'!E:E,'10_28_11_03 Acc Rate'!C27,'10_28_11_03'!O:O,"*M*"),COUNTIFS('10_28_11_03'!E:E,'10_28_11_03 Acc Rate'!C27,'10_28_11_03'!R:R,"*M*"))=0,"",SUM(COUNTIFS('10_28_11_03'!E:E,'10_28_11_03 Acc Rate'!C27,'10_28_11_03'!O:O,"*M*"),COUNTIFS('10_28_11_03'!E:E,'10_28_11_03 Acc Rate'!C27,'10_28_11_03'!R:R,"*M*")))</f>
        <v/>
      </c>
      <c r="T27" s="1" t="str">
        <f>IF(SUM(COUNTIFS('10_28_11_03'!E:E,'10_28_11_03 Acc Rate'!C27,'10_28_11_03'!P:P,"*E*"),COUNTIFS('10_28_11_03'!E:E,'10_28_11_03 Acc Rate'!C27,'10_28_11_03'!S:S,"*E*"))=0,"",SUM(COUNTIFS('10_28_11_03'!E:E,'10_28_11_03 Acc Rate'!C27,'10_28_11_03'!P:P,"*E*"),COUNTIFS('10_28_11_03'!E:E,'10_28_11_03 Acc Rate'!C27,'10_28_11_03'!S:S,"*E*")))</f>
        <v/>
      </c>
      <c r="U27" s="9" t="str">
        <f t="shared" si="1"/>
        <v/>
      </c>
    </row>
    <row r="28" spans="2:21" s="1" customFormat="1" ht="15" customHeight="1" x14ac:dyDescent="0.25">
      <c r="B28" s="1" t="s">
        <v>621</v>
      </c>
      <c r="C28" s="1" t="s">
        <v>622</v>
      </c>
      <c r="D28" s="1" t="s">
        <v>267</v>
      </c>
      <c r="E28"/>
      <c r="F28" t="s">
        <v>623</v>
      </c>
      <c r="G28" t="s">
        <v>624</v>
      </c>
      <c r="H28" t="s">
        <v>583</v>
      </c>
      <c r="I28" t="s">
        <v>625</v>
      </c>
      <c r="J28" t="s">
        <v>614</v>
      </c>
      <c r="K28" t="s">
        <v>606</v>
      </c>
      <c r="L28"/>
      <c r="M28">
        <v>1</v>
      </c>
      <c r="N28"/>
      <c r="O28"/>
      <c r="P28"/>
      <c r="Q28" s="7"/>
      <c r="R28" s="27" t="str">
        <f t="shared" si="0"/>
        <v/>
      </c>
      <c r="S28" s="27" t="str">
        <f>IF(SUM(COUNTIFS('10_28_11_03'!E:E,'10_28_11_03 Acc Rate'!C28,'10_28_11_03'!O:O,"*M*"),COUNTIFS('10_28_11_03'!E:E,'10_28_11_03 Acc Rate'!C28,'10_28_11_03'!R:R,"*M*"))=0,"",SUM(COUNTIFS('10_28_11_03'!E:E,'10_28_11_03 Acc Rate'!C28,'10_28_11_03'!O:O,"*M*"),COUNTIFS('10_28_11_03'!E:E,'10_28_11_03 Acc Rate'!C28,'10_28_11_03'!R:R,"*M*")))</f>
        <v/>
      </c>
      <c r="T28" s="1" t="str">
        <f>IF(SUM(COUNTIFS('10_28_11_03'!E:E,'10_28_11_03 Acc Rate'!C28,'10_28_11_03'!P:P,"*E*"),COUNTIFS('10_28_11_03'!E:E,'10_28_11_03 Acc Rate'!C28,'10_28_11_03'!S:S,"*E*"))=0,"",SUM(COUNTIFS('10_28_11_03'!E:E,'10_28_11_03 Acc Rate'!C28,'10_28_11_03'!P:P,"*E*"),COUNTIFS('10_28_11_03'!E:E,'10_28_11_03 Acc Rate'!C28,'10_28_11_03'!S:S,"*E*")))</f>
        <v/>
      </c>
      <c r="U28" s="8" t="str">
        <f t="shared" si="1"/>
        <v/>
      </c>
    </row>
    <row r="29" spans="2:21" s="1" customFormat="1" ht="15" customHeight="1" x14ac:dyDescent="0.25">
      <c r="B29" s="1" t="s">
        <v>626</v>
      </c>
      <c r="C29" s="1" t="s">
        <v>362</v>
      </c>
      <c r="D29" s="1" t="s">
        <v>409</v>
      </c>
      <c r="E29"/>
      <c r="F29" t="s">
        <v>627</v>
      </c>
      <c r="G29" t="s">
        <v>628</v>
      </c>
      <c r="H29" t="s">
        <v>583</v>
      </c>
      <c r="I29" t="s">
        <v>629</v>
      </c>
      <c r="J29" t="s">
        <v>614</v>
      </c>
      <c r="K29" t="s">
        <v>606</v>
      </c>
      <c r="L29"/>
      <c r="M29">
        <v>1</v>
      </c>
      <c r="N29"/>
      <c r="O29"/>
      <c r="P29"/>
      <c r="Q29" s="7"/>
      <c r="R29" s="27" t="str">
        <f t="shared" si="0"/>
        <v/>
      </c>
      <c r="S29" s="27" t="str">
        <f>IF(SUM(COUNTIFS('10_28_11_03'!E:E,'10_28_11_03 Acc Rate'!C29,'10_28_11_03'!O:O,"*M*"),COUNTIFS('10_28_11_03'!E:E,'10_28_11_03 Acc Rate'!C29,'10_28_11_03'!R:R,"*M*"))=0,"",SUM(COUNTIFS('10_28_11_03'!E:E,'10_28_11_03 Acc Rate'!C29,'10_28_11_03'!O:O,"*M*"),COUNTIFS('10_28_11_03'!E:E,'10_28_11_03 Acc Rate'!C29,'10_28_11_03'!R:R,"*M*")))</f>
        <v/>
      </c>
      <c r="T29" s="1" t="str">
        <f>IF(SUM(COUNTIFS('10_28_11_03'!E:E,'10_28_11_03 Acc Rate'!C29,'10_28_11_03'!P:P,"*E*"),COUNTIFS('10_28_11_03'!E:E,'10_28_11_03 Acc Rate'!C29,'10_28_11_03'!S:S,"*E*"))=0,"",SUM(COUNTIFS('10_28_11_03'!E:E,'10_28_11_03 Acc Rate'!C29,'10_28_11_03'!P:P,"*E*"),COUNTIFS('10_28_11_03'!E:E,'10_28_11_03 Acc Rate'!C29,'10_28_11_03'!S:S,"*E*")))</f>
        <v/>
      </c>
      <c r="U29" s="9" t="str">
        <f t="shared" si="1"/>
        <v/>
      </c>
    </row>
    <row r="30" spans="2:21" s="1" customFormat="1" ht="15" customHeight="1" x14ac:dyDescent="0.25">
      <c r="B30" s="1" t="s">
        <v>630</v>
      </c>
      <c r="C30" s="1" t="s">
        <v>425</v>
      </c>
      <c r="D30" s="1" t="s">
        <v>426</v>
      </c>
      <c r="E30"/>
      <c r="F30" t="s">
        <v>631</v>
      </c>
      <c r="G30" t="s">
        <v>632</v>
      </c>
      <c r="H30" t="s">
        <v>583</v>
      </c>
      <c r="I30" t="s">
        <v>633</v>
      </c>
      <c r="J30" t="s">
        <v>614</v>
      </c>
      <c r="K30" t="s">
        <v>606</v>
      </c>
      <c r="L30"/>
      <c r="M30">
        <v>15</v>
      </c>
      <c r="N30"/>
      <c r="O30"/>
      <c r="P30"/>
      <c r="Q30" s="7"/>
      <c r="R30" s="27" t="str">
        <f t="shared" si="0"/>
        <v/>
      </c>
      <c r="S30" s="27" t="str">
        <f>IF(SUM(COUNTIFS('10_28_11_03'!E:E,'10_28_11_03 Acc Rate'!C30,'10_28_11_03'!O:O,"*M*"),COUNTIFS('10_28_11_03'!E:E,'10_28_11_03 Acc Rate'!C30,'10_28_11_03'!R:R,"*M*"))=0,"",SUM(COUNTIFS('10_28_11_03'!E:E,'10_28_11_03 Acc Rate'!C30,'10_28_11_03'!O:O,"*M*"),COUNTIFS('10_28_11_03'!E:E,'10_28_11_03 Acc Rate'!C30,'10_28_11_03'!R:R,"*M*")))</f>
        <v/>
      </c>
      <c r="T30" s="1" t="str">
        <f>IF(SUM(COUNTIFS('10_28_11_03'!E:E,'10_28_11_03 Acc Rate'!C30,'10_28_11_03'!P:P,"*E*"),COUNTIFS('10_28_11_03'!E:E,'10_28_11_03 Acc Rate'!C30,'10_28_11_03'!S:S,"*E*"))=0,"",SUM(COUNTIFS('10_28_11_03'!E:E,'10_28_11_03 Acc Rate'!C30,'10_28_11_03'!P:P,"*E*"),COUNTIFS('10_28_11_03'!E:E,'10_28_11_03 Acc Rate'!C30,'10_28_11_03'!S:S,"*E*")))</f>
        <v/>
      </c>
      <c r="U30" s="9" t="str">
        <f t="shared" si="1"/>
        <v/>
      </c>
    </row>
    <row r="31" spans="2:21" s="1" customFormat="1" ht="15" customHeight="1" x14ac:dyDescent="0.25">
      <c r="B31" s="1" t="s">
        <v>634</v>
      </c>
      <c r="C31" s="1" t="s">
        <v>635</v>
      </c>
      <c r="D31" s="1" t="s">
        <v>636</v>
      </c>
      <c r="E31"/>
      <c r="F31" t="s">
        <v>21</v>
      </c>
      <c r="G31" t="s">
        <v>637</v>
      </c>
      <c r="H31" t="s">
        <v>583</v>
      </c>
      <c r="I31" t="s">
        <v>638</v>
      </c>
      <c r="J31" t="s">
        <v>607</v>
      </c>
      <c r="K31"/>
      <c r="L31"/>
      <c r="M31">
        <v>1</v>
      </c>
      <c r="N31"/>
      <c r="O31"/>
      <c r="P31"/>
      <c r="Q31" s="7"/>
      <c r="R31" s="27" t="str">
        <f t="shared" si="0"/>
        <v/>
      </c>
      <c r="S31" s="27" t="str">
        <f>IF(SUM(COUNTIFS('10_28_11_03'!E:E,'10_28_11_03 Acc Rate'!C31,'10_28_11_03'!O:O,"*M*"),COUNTIFS('10_28_11_03'!E:E,'10_28_11_03 Acc Rate'!C31,'10_28_11_03'!R:R,"*M*"))=0,"",SUM(COUNTIFS('10_28_11_03'!E:E,'10_28_11_03 Acc Rate'!C31,'10_28_11_03'!O:O,"*M*"),COUNTIFS('10_28_11_03'!E:E,'10_28_11_03 Acc Rate'!C31,'10_28_11_03'!R:R,"*M*")))</f>
        <v/>
      </c>
      <c r="T31" s="1" t="str">
        <f>IF(SUM(COUNTIFS('10_28_11_03'!E:E,'10_28_11_03 Acc Rate'!C31,'10_28_11_03'!P:P,"*E*"),COUNTIFS('10_28_11_03'!E:E,'10_28_11_03 Acc Rate'!C31,'10_28_11_03'!S:S,"*E*"))=0,"",SUM(COUNTIFS('10_28_11_03'!E:E,'10_28_11_03 Acc Rate'!C31,'10_28_11_03'!P:P,"*E*"),COUNTIFS('10_28_11_03'!E:E,'10_28_11_03 Acc Rate'!C31,'10_28_11_03'!S:S,"*E*")))</f>
        <v/>
      </c>
      <c r="U31" s="9" t="str">
        <f t="shared" si="1"/>
        <v/>
      </c>
    </row>
    <row r="32" spans="2:21" ht="15" customHeight="1" x14ac:dyDescent="0.25">
      <c r="B32" s="1" t="s">
        <v>1630</v>
      </c>
      <c r="C32" s="1" t="s">
        <v>1631</v>
      </c>
      <c r="D32" s="1" t="s">
        <v>1122</v>
      </c>
      <c r="E32"/>
      <c r="F32" t="s">
        <v>21</v>
      </c>
      <c r="G32" t="s">
        <v>1632</v>
      </c>
      <c r="H32" t="s">
        <v>583</v>
      </c>
      <c r="I32" t="s">
        <v>1633</v>
      </c>
      <c r="J32" t="s">
        <v>1634</v>
      </c>
      <c r="K32" t="s">
        <v>638</v>
      </c>
      <c r="L32"/>
      <c r="M32">
        <v>15</v>
      </c>
      <c r="N32"/>
      <c r="O32"/>
      <c r="P32"/>
      <c r="Q32" s="7"/>
      <c r="R32" s="27" t="str">
        <f t="shared" si="0"/>
        <v/>
      </c>
      <c r="S32" s="27" t="str">
        <f>IF(SUM(COUNTIFS('10_28_11_03'!E:E,'10_28_11_03 Acc Rate'!C32,'10_28_11_03'!O:O,"*M*"),COUNTIFS('10_28_11_03'!E:E,'10_28_11_03 Acc Rate'!C32,'10_28_11_03'!R:R,"*M*"))=0,"",SUM(COUNTIFS('10_28_11_03'!E:E,'10_28_11_03 Acc Rate'!C32,'10_28_11_03'!O:O,"*M*"),COUNTIFS('10_28_11_03'!E:E,'10_28_11_03 Acc Rate'!C32,'10_28_11_03'!R:R,"*M*")))</f>
        <v/>
      </c>
      <c r="T32" s="1" t="str">
        <f>IF(SUM(COUNTIFS('10_28_11_03'!E:E,'10_28_11_03 Acc Rate'!C32,'10_28_11_03'!P:P,"*E*"),COUNTIFS('10_28_11_03'!E:E,'10_28_11_03 Acc Rate'!C32,'10_28_11_03'!S:S,"*E*"))=0,"",SUM(COUNTIFS('10_28_11_03'!E:E,'10_28_11_03 Acc Rate'!C32,'10_28_11_03'!P:P,"*E*"),COUNTIFS('10_28_11_03'!E:E,'10_28_11_03 Acc Rate'!C32,'10_28_11_03'!S:S,"*E*")))</f>
        <v/>
      </c>
      <c r="U32" s="8" t="str">
        <f t="shared" si="1"/>
        <v/>
      </c>
    </row>
    <row r="33" spans="2:21" ht="15" customHeight="1" x14ac:dyDescent="0.25">
      <c r="B33" s="1" t="s">
        <v>639</v>
      </c>
      <c r="C33" s="1" t="s">
        <v>635</v>
      </c>
      <c r="D33" s="1" t="s">
        <v>640</v>
      </c>
      <c r="E33"/>
      <c r="F33" t="s">
        <v>641</v>
      </c>
      <c r="G33" t="s">
        <v>642</v>
      </c>
      <c r="H33" t="s">
        <v>583</v>
      </c>
      <c r="I33" t="s">
        <v>643</v>
      </c>
      <c r="J33" t="s">
        <v>607</v>
      </c>
      <c r="K33"/>
      <c r="L33"/>
      <c r="M33">
        <v>1</v>
      </c>
      <c r="N33"/>
      <c r="O33"/>
      <c r="P33"/>
      <c r="Q33" s="7"/>
      <c r="R33" s="27" t="str">
        <f t="shared" si="0"/>
        <v/>
      </c>
      <c r="S33" s="27" t="str">
        <f>IF(SUM(COUNTIFS('10_28_11_03'!E:E,'10_28_11_03 Acc Rate'!C33,'10_28_11_03'!O:O,"*M*"),COUNTIFS('10_28_11_03'!E:E,'10_28_11_03 Acc Rate'!C33,'10_28_11_03'!R:R,"*M*"))=0,"",SUM(COUNTIFS('10_28_11_03'!E:E,'10_28_11_03 Acc Rate'!C33,'10_28_11_03'!O:O,"*M*"),COUNTIFS('10_28_11_03'!E:E,'10_28_11_03 Acc Rate'!C33,'10_28_11_03'!R:R,"*M*")))</f>
        <v/>
      </c>
      <c r="T33" s="1" t="str">
        <f>IF(SUM(COUNTIFS('10_28_11_03'!E:E,'10_28_11_03 Acc Rate'!C33,'10_28_11_03'!P:P,"*E*"),COUNTIFS('10_28_11_03'!E:E,'10_28_11_03 Acc Rate'!C33,'10_28_11_03'!S:S,"*E*"))=0,"",SUM(COUNTIFS('10_28_11_03'!E:E,'10_28_11_03 Acc Rate'!C33,'10_28_11_03'!P:P,"*E*"),COUNTIFS('10_28_11_03'!E:E,'10_28_11_03 Acc Rate'!C33,'10_28_11_03'!S:S,"*E*")))</f>
        <v/>
      </c>
      <c r="U33" s="8" t="str">
        <f t="shared" si="1"/>
        <v/>
      </c>
    </row>
    <row r="34" spans="2:21" ht="15" customHeight="1" x14ac:dyDescent="0.25">
      <c r="B34" s="1" t="s">
        <v>644</v>
      </c>
      <c r="C34" s="1" t="s">
        <v>162</v>
      </c>
      <c r="D34" s="1" t="s">
        <v>163</v>
      </c>
      <c r="E34"/>
      <c r="F34" t="s">
        <v>645</v>
      </c>
      <c r="G34" t="s">
        <v>646</v>
      </c>
      <c r="H34" t="s">
        <v>583</v>
      </c>
      <c r="I34" t="s">
        <v>647</v>
      </c>
      <c r="J34" t="s">
        <v>648</v>
      </c>
      <c r="K34" t="s">
        <v>643</v>
      </c>
      <c r="L34"/>
      <c r="M34">
        <v>1</v>
      </c>
      <c r="N34"/>
      <c r="O34"/>
      <c r="P34"/>
      <c r="Q34" s="7"/>
      <c r="R34" s="27" t="str">
        <f t="shared" si="0"/>
        <v/>
      </c>
      <c r="S34" s="27" t="str">
        <f>IF(SUM(COUNTIFS('10_28_11_03'!E:E,'10_28_11_03 Acc Rate'!C34,'10_28_11_03'!O:O,"*M*"),COUNTIFS('10_28_11_03'!E:E,'10_28_11_03 Acc Rate'!C34,'10_28_11_03'!R:R,"*M*"))=0,"",SUM(COUNTIFS('10_28_11_03'!E:E,'10_28_11_03 Acc Rate'!C34,'10_28_11_03'!O:O,"*M*"),COUNTIFS('10_28_11_03'!E:E,'10_28_11_03 Acc Rate'!C34,'10_28_11_03'!R:R,"*M*")))</f>
        <v/>
      </c>
      <c r="T34" s="1" t="str">
        <f>IF(SUM(COUNTIFS('10_28_11_03'!E:E,'10_28_11_03 Acc Rate'!C34,'10_28_11_03'!P:P,"*E*"),COUNTIFS('10_28_11_03'!E:E,'10_28_11_03 Acc Rate'!C34,'10_28_11_03'!S:S,"*E*"))=0,"",SUM(COUNTIFS('10_28_11_03'!E:E,'10_28_11_03 Acc Rate'!C34,'10_28_11_03'!P:P,"*E*"),COUNTIFS('10_28_11_03'!E:E,'10_28_11_03 Acc Rate'!C34,'10_28_11_03'!S:S,"*E*")))</f>
        <v/>
      </c>
      <c r="U34" s="8" t="str">
        <f t="shared" si="1"/>
        <v/>
      </c>
    </row>
    <row r="35" spans="2:21" ht="15" customHeight="1" x14ac:dyDescent="0.25">
      <c r="B35" s="1" t="s">
        <v>649</v>
      </c>
      <c r="C35" s="1" t="s">
        <v>264</v>
      </c>
      <c r="D35" s="1" t="s">
        <v>650</v>
      </c>
      <c r="E35"/>
      <c r="F35" t="s">
        <v>651</v>
      </c>
      <c r="G35" t="s">
        <v>652</v>
      </c>
      <c r="H35" t="s">
        <v>583</v>
      </c>
      <c r="I35" t="s">
        <v>653</v>
      </c>
      <c r="J35" t="s">
        <v>648</v>
      </c>
      <c r="K35" t="s">
        <v>643</v>
      </c>
      <c r="L35"/>
      <c r="M35">
        <v>1</v>
      </c>
      <c r="N35"/>
      <c r="O35"/>
      <c r="P35"/>
      <c r="Q35" s="7"/>
      <c r="R35" s="27" t="str">
        <f t="shared" si="0"/>
        <v/>
      </c>
      <c r="S35" s="27" t="str">
        <f>IF(SUM(COUNTIFS('10_28_11_03'!E:E,'10_28_11_03 Acc Rate'!C35,'10_28_11_03'!O:O,"*M*"),COUNTIFS('10_28_11_03'!E:E,'10_28_11_03 Acc Rate'!C35,'10_28_11_03'!R:R,"*M*"))=0,"",SUM(COUNTIFS('10_28_11_03'!E:E,'10_28_11_03 Acc Rate'!C35,'10_28_11_03'!O:O,"*M*"),COUNTIFS('10_28_11_03'!E:E,'10_28_11_03 Acc Rate'!C35,'10_28_11_03'!R:R,"*M*")))</f>
        <v/>
      </c>
      <c r="T35" s="1" t="str">
        <f>IF(SUM(COUNTIFS('10_28_11_03'!E:E,'10_28_11_03 Acc Rate'!C35,'10_28_11_03'!P:P,"*E*"),COUNTIFS('10_28_11_03'!E:E,'10_28_11_03 Acc Rate'!C35,'10_28_11_03'!S:S,"*E*"))=0,"",SUM(COUNTIFS('10_28_11_03'!E:E,'10_28_11_03 Acc Rate'!C35,'10_28_11_03'!P:P,"*E*"),COUNTIFS('10_28_11_03'!E:E,'10_28_11_03 Acc Rate'!C35,'10_28_11_03'!S:S,"*E*")))</f>
        <v/>
      </c>
      <c r="U35" s="8" t="str">
        <f t="shared" si="1"/>
        <v/>
      </c>
    </row>
    <row r="36" spans="2:21" ht="15" customHeight="1" x14ac:dyDescent="0.25">
      <c r="B36" s="1" t="s">
        <v>654</v>
      </c>
      <c r="C36" s="1" t="s">
        <v>417</v>
      </c>
      <c r="D36" s="1" t="s">
        <v>418</v>
      </c>
      <c r="E36"/>
      <c r="F36" t="s">
        <v>655</v>
      </c>
      <c r="G36" t="s">
        <v>656</v>
      </c>
      <c r="H36" t="s">
        <v>583</v>
      </c>
      <c r="I36" t="s">
        <v>657</v>
      </c>
      <c r="J36" t="s">
        <v>648</v>
      </c>
      <c r="K36" t="s">
        <v>643</v>
      </c>
      <c r="L36"/>
      <c r="M36">
        <v>1</v>
      </c>
      <c r="N36"/>
      <c r="O36"/>
      <c r="P36"/>
      <c r="Q36" s="7">
        <v>1</v>
      </c>
      <c r="R36" s="27">
        <f t="shared" si="0"/>
        <v>1</v>
      </c>
      <c r="S36" s="27" t="str">
        <f>IF(SUM(COUNTIFS('10_28_11_03'!E:E,'10_28_11_03 Acc Rate'!C36,'10_28_11_03'!O:O,"*M*"),COUNTIFS('10_28_11_03'!E:E,'10_28_11_03 Acc Rate'!C36,'10_28_11_03'!R:R,"*M*"))=0,"",SUM(COUNTIFS('10_28_11_03'!E:E,'10_28_11_03 Acc Rate'!C36,'10_28_11_03'!O:O,"*M*"),COUNTIFS('10_28_11_03'!E:E,'10_28_11_03 Acc Rate'!C36,'10_28_11_03'!R:R,"*M*")))</f>
        <v/>
      </c>
      <c r="T36" s="1" t="str">
        <f>IF(SUM(COUNTIFS('10_28_11_03'!E:E,'10_28_11_03 Acc Rate'!C36,'10_28_11_03'!P:P,"*E*"),COUNTIFS('10_28_11_03'!E:E,'10_28_11_03 Acc Rate'!C36,'10_28_11_03'!S:S,"*E*"))=0,"",SUM(COUNTIFS('10_28_11_03'!E:E,'10_28_11_03 Acc Rate'!C36,'10_28_11_03'!P:P,"*E*"),COUNTIFS('10_28_11_03'!E:E,'10_28_11_03 Acc Rate'!C36,'10_28_11_03'!S:S,"*E*")))</f>
        <v/>
      </c>
      <c r="U36" s="8">
        <f t="shared" si="1"/>
        <v>0</v>
      </c>
    </row>
    <row r="37" spans="2:21" ht="15" customHeight="1" x14ac:dyDescent="0.25">
      <c r="B37" s="1" t="s">
        <v>1635</v>
      </c>
      <c r="C37" s="1" t="s">
        <v>1636</v>
      </c>
      <c r="D37" s="1" t="s">
        <v>1637</v>
      </c>
      <c r="E37"/>
      <c r="F37" t="s">
        <v>1638</v>
      </c>
      <c r="G37" t="s">
        <v>1639</v>
      </c>
      <c r="H37" t="s">
        <v>583</v>
      </c>
      <c r="I37" t="s">
        <v>1640</v>
      </c>
      <c r="J37" t="s">
        <v>648</v>
      </c>
      <c r="K37" t="s">
        <v>643</v>
      </c>
      <c r="L37"/>
      <c r="M37">
        <v>15</v>
      </c>
      <c r="N37"/>
      <c r="O37"/>
      <c r="P37"/>
      <c r="Q37" s="7"/>
      <c r="R37" s="27" t="str">
        <f t="shared" si="0"/>
        <v/>
      </c>
      <c r="S37" s="27" t="str">
        <f>IF(SUM(COUNTIFS('10_28_11_03'!E:E,'10_28_11_03 Acc Rate'!C37,'10_28_11_03'!O:O,"*M*"),COUNTIFS('10_28_11_03'!E:E,'10_28_11_03 Acc Rate'!C37,'10_28_11_03'!R:R,"*M*"))=0,"",SUM(COUNTIFS('10_28_11_03'!E:E,'10_28_11_03 Acc Rate'!C37,'10_28_11_03'!O:O,"*M*"),COUNTIFS('10_28_11_03'!E:E,'10_28_11_03 Acc Rate'!C37,'10_28_11_03'!R:R,"*M*")))</f>
        <v/>
      </c>
      <c r="T37" s="1" t="str">
        <f>IF(SUM(COUNTIFS('10_28_11_03'!E:E,'10_28_11_03 Acc Rate'!C37,'10_28_11_03'!P:P,"*E*"),COUNTIFS('10_28_11_03'!E:E,'10_28_11_03 Acc Rate'!C37,'10_28_11_03'!S:S,"*E*"))=0,"",SUM(COUNTIFS('10_28_11_03'!E:E,'10_28_11_03 Acc Rate'!C37,'10_28_11_03'!P:P,"*E*"),COUNTIFS('10_28_11_03'!E:E,'10_28_11_03 Acc Rate'!C37,'10_28_11_03'!S:S,"*E*")))</f>
        <v/>
      </c>
      <c r="U37" s="8" t="str">
        <f t="shared" si="1"/>
        <v/>
      </c>
    </row>
    <row r="38" spans="2:21" ht="15" customHeight="1" x14ac:dyDescent="0.25">
      <c r="B38" s="1" t="s">
        <v>1641</v>
      </c>
      <c r="C38" s="1" t="s">
        <v>345</v>
      </c>
      <c r="D38" s="1" t="s">
        <v>1642</v>
      </c>
      <c r="E38"/>
      <c r="F38" t="s">
        <v>1643</v>
      </c>
      <c r="G38" t="s">
        <v>1644</v>
      </c>
      <c r="H38" t="s">
        <v>583</v>
      </c>
      <c r="I38" t="s">
        <v>1645</v>
      </c>
      <c r="J38" t="s">
        <v>648</v>
      </c>
      <c r="K38" t="s">
        <v>643</v>
      </c>
      <c r="L38"/>
      <c r="M38">
        <v>15</v>
      </c>
      <c r="N38"/>
      <c r="O38"/>
      <c r="P38"/>
      <c r="Q38" s="7"/>
      <c r="R38" s="27" t="str">
        <f t="shared" si="0"/>
        <v/>
      </c>
      <c r="S38" s="27" t="str">
        <f>IF(SUM(COUNTIFS('10_28_11_03'!E:E,'10_28_11_03 Acc Rate'!C38,'10_28_11_03'!O:O,"*M*"),COUNTIFS('10_28_11_03'!E:E,'10_28_11_03 Acc Rate'!C38,'10_28_11_03'!R:R,"*M*"))=0,"",SUM(COUNTIFS('10_28_11_03'!E:E,'10_28_11_03 Acc Rate'!C38,'10_28_11_03'!O:O,"*M*"),COUNTIFS('10_28_11_03'!E:E,'10_28_11_03 Acc Rate'!C38,'10_28_11_03'!R:R,"*M*")))</f>
        <v/>
      </c>
      <c r="T38" s="1" t="str">
        <f>IF(SUM(COUNTIFS('10_28_11_03'!E:E,'10_28_11_03 Acc Rate'!C38,'10_28_11_03'!P:P,"*E*"),COUNTIFS('10_28_11_03'!E:E,'10_28_11_03 Acc Rate'!C38,'10_28_11_03'!S:S,"*E*"))=0,"",SUM(COUNTIFS('10_28_11_03'!E:E,'10_28_11_03 Acc Rate'!C38,'10_28_11_03'!P:P,"*E*"),COUNTIFS('10_28_11_03'!E:E,'10_28_11_03 Acc Rate'!C38,'10_28_11_03'!S:S,"*E*")))</f>
        <v/>
      </c>
      <c r="U38" s="8" t="str">
        <f t="shared" si="1"/>
        <v/>
      </c>
    </row>
    <row r="39" spans="2:21" ht="15" customHeight="1" x14ac:dyDescent="0.25">
      <c r="B39" s="1" t="s">
        <v>658</v>
      </c>
      <c r="C39" s="1" t="s">
        <v>659</v>
      </c>
      <c r="D39" s="1" t="s">
        <v>660</v>
      </c>
      <c r="E39"/>
      <c r="F39" t="s">
        <v>661</v>
      </c>
      <c r="G39" t="s">
        <v>662</v>
      </c>
      <c r="H39" t="s">
        <v>583</v>
      </c>
      <c r="I39" t="s">
        <v>663</v>
      </c>
      <c r="J39" t="s">
        <v>607</v>
      </c>
      <c r="K39"/>
      <c r="L39"/>
      <c r="M39">
        <v>1</v>
      </c>
      <c r="N39"/>
      <c r="O39"/>
      <c r="P39"/>
      <c r="Q39" s="7"/>
      <c r="R39" s="27" t="str">
        <f t="shared" si="0"/>
        <v/>
      </c>
      <c r="S39" s="27" t="str">
        <f>IF(SUM(COUNTIFS('10_28_11_03'!E:E,'10_28_11_03 Acc Rate'!C39,'10_28_11_03'!O:O,"*M*"),COUNTIFS('10_28_11_03'!E:E,'10_28_11_03 Acc Rate'!C39,'10_28_11_03'!R:R,"*M*"))=0,"",SUM(COUNTIFS('10_28_11_03'!E:E,'10_28_11_03 Acc Rate'!C39,'10_28_11_03'!O:O,"*M*"),COUNTIFS('10_28_11_03'!E:E,'10_28_11_03 Acc Rate'!C39,'10_28_11_03'!R:R,"*M*")))</f>
        <v/>
      </c>
      <c r="T39" s="1" t="str">
        <f>IF(SUM(COUNTIFS('10_28_11_03'!E:E,'10_28_11_03 Acc Rate'!C39,'10_28_11_03'!P:P,"*E*"),COUNTIFS('10_28_11_03'!E:E,'10_28_11_03 Acc Rate'!C39,'10_28_11_03'!S:S,"*E*"))=0,"",SUM(COUNTIFS('10_28_11_03'!E:E,'10_28_11_03 Acc Rate'!C39,'10_28_11_03'!P:P,"*E*"),COUNTIFS('10_28_11_03'!E:E,'10_28_11_03 Acc Rate'!C39,'10_28_11_03'!S:S,"*E*")))</f>
        <v/>
      </c>
      <c r="U39" s="8" t="str">
        <f t="shared" si="1"/>
        <v/>
      </c>
    </row>
    <row r="40" spans="2:21" ht="15" customHeight="1" x14ac:dyDescent="0.25">
      <c r="B40" s="1" t="s">
        <v>664</v>
      </c>
      <c r="C40" s="1" t="s">
        <v>155</v>
      </c>
      <c r="D40" s="1" t="s">
        <v>156</v>
      </c>
      <c r="E40"/>
      <c r="F40" t="s">
        <v>550</v>
      </c>
      <c r="G40" t="s">
        <v>665</v>
      </c>
      <c r="H40" t="s">
        <v>583</v>
      </c>
      <c r="I40" t="s">
        <v>666</v>
      </c>
      <c r="J40" t="s">
        <v>667</v>
      </c>
      <c r="K40" t="s">
        <v>663</v>
      </c>
      <c r="L40"/>
      <c r="M40">
        <v>1</v>
      </c>
      <c r="N40"/>
      <c r="O40"/>
      <c r="P40"/>
      <c r="Q40" s="7">
        <v>1</v>
      </c>
      <c r="R40" s="27">
        <f t="shared" si="0"/>
        <v>1</v>
      </c>
      <c r="S40" s="27" t="str">
        <f>IF(SUM(COUNTIFS('10_28_11_03'!E:E,'10_28_11_03 Acc Rate'!C40,'10_28_11_03'!O:O,"*M*"),COUNTIFS('10_28_11_03'!E:E,'10_28_11_03 Acc Rate'!C40,'10_28_11_03'!R:R,"*M*"))=0,"",SUM(COUNTIFS('10_28_11_03'!E:E,'10_28_11_03 Acc Rate'!C40,'10_28_11_03'!O:O,"*M*"),COUNTIFS('10_28_11_03'!E:E,'10_28_11_03 Acc Rate'!C40,'10_28_11_03'!R:R,"*M*")))</f>
        <v/>
      </c>
      <c r="T40" s="1" t="str">
        <f>IF(SUM(COUNTIFS('10_28_11_03'!E:E,'10_28_11_03 Acc Rate'!C40,'10_28_11_03'!P:P,"*E*"),COUNTIFS('10_28_11_03'!E:E,'10_28_11_03 Acc Rate'!C40,'10_28_11_03'!S:S,"*E*"))=0,"",SUM(COUNTIFS('10_28_11_03'!E:E,'10_28_11_03 Acc Rate'!C40,'10_28_11_03'!P:P,"*E*"),COUNTIFS('10_28_11_03'!E:E,'10_28_11_03 Acc Rate'!C40,'10_28_11_03'!S:S,"*E*")))</f>
        <v/>
      </c>
      <c r="U40" s="8">
        <f t="shared" si="1"/>
        <v>0</v>
      </c>
    </row>
    <row r="41" spans="2:21" ht="15" customHeight="1" x14ac:dyDescent="0.25">
      <c r="B41" s="1" t="s">
        <v>668</v>
      </c>
      <c r="C41" s="1" t="s">
        <v>669</v>
      </c>
      <c r="D41" s="1" t="s">
        <v>670</v>
      </c>
      <c r="E41"/>
      <c r="F41" t="s">
        <v>671</v>
      </c>
      <c r="G41" t="s">
        <v>672</v>
      </c>
      <c r="H41" t="s">
        <v>583</v>
      </c>
      <c r="I41" t="s">
        <v>673</v>
      </c>
      <c r="J41" t="s">
        <v>667</v>
      </c>
      <c r="K41" t="s">
        <v>663</v>
      </c>
      <c r="L41"/>
      <c r="M41">
        <v>1</v>
      </c>
      <c r="N41"/>
      <c r="O41"/>
      <c r="P41"/>
      <c r="Q41" s="7"/>
      <c r="R41" s="27" t="str">
        <f t="shared" si="0"/>
        <v/>
      </c>
      <c r="S41" s="27" t="str">
        <f>IF(SUM(COUNTIFS('10_28_11_03'!E:E,'10_28_11_03 Acc Rate'!C41,'10_28_11_03'!O:O,"*M*"),COUNTIFS('10_28_11_03'!E:E,'10_28_11_03 Acc Rate'!C41,'10_28_11_03'!R:R,"*M*"))=0,"",SUM(COUNTIFS('10_28_11_03'!E:E,'10_28_11_03 Acc Rate'!C41,'10_28_11_03'!O:O,"*M*"),COUNTIFS('10_28_11_03'!E:E,'10_28_11_03 Acc Rate'!C41,'10_28_11_03'!R:R,"*M*")))</f>
        <v/>
      </c>
      <c r="T41" s="1" t="str">
        <f>IF(SUM(COUNTIFS('10_28_11_03'!E:E,'10_28_11_03 Acc Rate'!C41,'10_28_11_03'!P:P,"*E*"),COUNTIFS('10_28_11_03'!E:E,'10_28_11_03 Acc Rate'!C41,'10_28_11_03'!S:S,"*E*"))=0,"",SUM(COUNTIFS('10_28_11_03'!E:E,'10_28_11_03 Acc Rate'!C41,'10_28_11_03'!P:P,"*E*"),COUNTIFS('10_28_11_03'!E:E,'10_28_11_03 Acc Rate'!C41,'10_28_11_03'!S:S,"*E*")))</f>
        <v/>
      </c>
      <c r="U41" s="8" t="str">
        <f t="shared" si="1"/>
        <v/>
      </c>
    </row>
    <row r="42" spans="2:21" ht="15" customHeight="1" x14ac:dyDescent="0.25">
      <c r="B42" s="1" t="s">
        <v>674</v>
      </c>
      <c r="C42" s="1" t="s">
        <v>411</v>
      </c>
      <c r="D42" s="1" t="s">
        <v>412</v>
      </c>
      <c r="E42"/>
      <c r="F42" t="s">
        <v>675</v>
      </c>
      <c r="G42" t="s">
        <v>676</v>
      </c>
      <c r="H42" t="s">
        <v>583</v>
      </c>
      <c r="I42" t="s">
        <v>677</v>
      </c>
      <c r="J42" t="s">
        <v>667</v>
      </c>
      <c r="K42" t="s">
        <v>663</v>
      </c>
      <c r="L42"/>
      <c r="M42">
        <v>1</v>
      </c>
      <c r="N42"/>
      <c r="O42"/>
      <c r="P42"/>
      <c r="Q42" s="7">
        <v>10</v>
      </c>
      <c r="R42" s="27">
        <f t="shared" si="0"/>
        <v>10</v>
      </c>
      <c r="S42" s="27" t="str">
        <f>IF(SUM(COUNTIFS('10_28_11_03'!E:E,'10_28_11_03 Acc Rate'!C42,'10_28_11_03'!O:O,"*M*"),COUNTIFS('10_28_11_03'!E:E,'10_28_11_03 Acc Rate'!C42,'10_28_11_03'!R:R,"*M*"))=0,"",SUM(COUNTIFS('10_28_11_03'!E:E,'10_28_11_03 Acc Rate'!C42,'10_28_11_03'!O:O,"*M*"),COUNTIFS('10_28_11_03'!E:E,'10_28_11_03 Acc Rate'!C42,'10_28_11_03'!R:R,"*M*")))</f>
        <v/>
      </c>
      <c r="T42" s="1" t="str">
        <f>IF(SUM(COUNTIFS('10_28_11_03'!E:E,'10_28_11_03 Acc Rate'!C42,'10_28_11_03'!P:P,"*E*"),COUNTIFS('10_28_11_03'!E:E,'10_28_11_03 Acc Rate'!C42,'10_28_11_03'!S:S,"*E*"))=0,"",SUM(COUNTIFS('10_28_11_03'!E:E,'10_28_11_03 Acc Rate'!C42,'10_28_11_03'!P:P,"*E*"),COUNTIFS('10_28_11_03'!E:E,'10_28_11_03 Acc Rate'!C42,'10_28_11_03'!S:S,"*E*")))</f>
        <v/>
      </c>
      <c r="U42" s="8">
        <f t="shared" si="1"/>
        <v>0</v>
      </c>
    </row>
    <row r="43" spans="2:21" ht="15" customHeight="1" x14ac:dyDescent="0.25">
      <c r="B43" s="1" t="s">
        <v>678</v>
      </c>
      <c r="C43" s="1" t="s">
        <v>679</v>
      </c>
      <c r="D43" s="1" t="s">
        <v>680</v>
      </c>
      <c r="E43"/>
      <c r="F43" t="s">
        <v>681</v>
      </c>
      <c r="G43" t="s">
        <v>682</v>
      </c>
      <c r="H43" t="s">
        <v>583</v>
      </c>
      <c r="I43" t="s">
        <v>683</v>
      </c>
      <c r="J43" t="s">
        <v>607</v>
      </c>
      <c r="K43"/>
      <c r="L43"/>
      <c r="M43">
        <v>1</v>
      </c>
      <c r="N43"/>
      <c r="O43"/>
      <c r="P43"/>
      <c r="Q43" s="7"/>
      <c r="R43" s="27" t="str">
        <f t="shared" si="0"/>
        <v/>
      </c>
      <c r="S43" s="27" t="str">
        <f>IF(SUM(COUNTIFS('10_28_11_03'!E:E,'10_28_11_03 Acc Rate'!C43,'10_28_11_03'!O:O,"*M*"),COUNTIFS('10_28_11_03'!E:E,'10_28_11_03 Acc Rate'!C43,'10_28_11_03'!R:R,"*M*"))=0,"",SUM(COUNTIFS('10_28_11_03'!E:E,'10_28_11_03 Acc Rate'!C43,'10_28_11_03'!O:O,"*M*"),COUNTIFS('10_28_11_03'!E:E,'10_28_11_03 Acc Rate'!C43,'10_28_11_03'!R:R,"*M*")))</f>
        <v/>
      </c>
      <c r="T43" s="1" t="str">
        <f>IF(SUM(COUNTIFS('10_28_11_03'!E:E,'10_28_11_03 Acc Rate'!C43,'10_28_11_03'!P:P,"*E*"),COUNTIFS('10_28_11_03'!E:E,'10_28_11_03 Acc Rate'!C43,'10_28_11_03'!S:S,"*E*"))=0,"",SUM(COUNTIFS('10_28_11_03'!E:E,'10_28_11_03 Acc Rate'!C43,'10_28_11_03'!P:P,"*E*"),COUNTIFS('10_28_11_03'!E:E,'10_28_11_03 Acc Rate'!C43,'10_28_11_03'!S:S,"*E*")))</f>
        <v/>
      </c>
      <c r="U43" s="8" t="str">
        <f t="shared" si="1"/>
        <v/>
      </c>
    </row>
    <row r="44" spans="2:21" ht="15" customHeight="1" x14ac:dyDescent="0.25">
      <c r="B44" s="1" t="s">
        <v>684</v>
      </c>
      <c r="C44" s="1" t="s">
        <v>84</v>
      </c>
      <c r="D44" s="1" t="s">
        <v>273</v>
      </c>
      <c r="E44"/>
      <c r="F44" t="s">
        <v>685</v>
      </c>
      <c r="G44" t="s">
        <v>686</v>
      </c>
      <c r="H44" t="s">
        <v>583</v>
      </c>
      <c r="I44" t="s">
        <v>687</v>
      </c>
      <c r="J44" t="s">
        <v>688</v>
      </c>
      <c r="K44" t="s">
        <v>683</v>
      </c>
      <c r="L44"/>
      <c r="M44">
        <v>1</v>
      </c>
      <c r="N44"/>
      <c r="O44"/>
      <c r="P44"/>
      <c r="Q44" s="7">
        <v>1</v>
      </c>
      <c r="R44" s="27" t="str">
        <f t="shared" si="0"/>
        <v/>
      </c>
      <c r="S44" s="27">
        <f>IF(SUM(COUNTIFS('10_28_11_03'!E:E,'10_28_11_03 Acc Rate'!C44,'10_28_11_03'!O:O,"*M*"),COUNTIFS('10_28_11_03'!E:E,'10_28_11_03 Acc Rate'!C44,'10_28_11_03'!R:R,"*M*"))=0,"",SUM(COUNTIFS('10_28_11_03'!E:E,'10_28_11_03 Acc Rate'!C44,'10_28_11_03'!O:O,"*M*"),COUNTIFS('10_28_11_03'!E:E,'10_28_11_03 Acc Rate'!C44,'10_28_11_03'!R:R,"*M*")))</f>
        <v>1</v>
      </c>
      <c r="T44" s="1" t="str">
        <f>IF(SUM(COUNTIFS('10_28_11_03'!E:E,'10_28_11_03 Acc Rate'!C44,'10_28_11_03'!P:P,"*E*"),COUNTIFS('10_28_11_03'!E:E,'10_28_11_03 Acc Rate'!C44,'10_28_11_03'!S:S,"*E*"))=0,"",SUM(COUNTIFS('10_28_11_03'!E:E,'10_28_11_03 Acc Rate'!C44,'10_28_11_03'!P:P,"*E*"),COUNTIFS('10_28_11_03'!E:E,'10_28_11_03 Acc Rate'!C44,'10_28_11_03'!S:S,"*E*")))</f>
        <v/>
      </c>
      <c r="U44" s="8">
        <f t="shared" si="1"/>
        <v>8</v>
      </c>
    </row>
    <row r="45" spans="2:21" ht="15" customHeight="1" x14ac:dyDescent="0.25">
      <c r="B45" s="1" t="s">
        <v>689</v>
      </c>
      <c r="C45" s="1" t="s">
        <v>690</v>
      </c>
      <c r="D45" s="1" t="s">
        <v>691</v>
      </c>
      <c r="E45"/>
      <c r="F45" t="s">
        <v>692</v>
      </c>
      <c r="G45" t="s">
        <v>693</v>
      </c>
      <c r="H45" t="s">
        <v>583</v>
      </c>
      <c r="I45" t="s">
        <v>694</v>
      </c>
      <c r="J45" t="s">
        <v>688</v>
      </c>
      <c r="K45" t="s">
        <v>683</v>
      </c>
      <c r="L45"/>
      <c r="M45">
        <v>1</v>
      </c>
      <c r="N45"/>
      <c r="O45"/>
      <c r="P45"/>
      <c r="Q45" s="7"/>
      <c r="R45" s="27" t="str">
        <f t="shared" si="0"/>
        <v/>
      </c>
      <c r="S45" s="27" t="str">
        <f>IF(SUM(COUNTIFS('10_28_11_03'!E:E,'10_28_11_03 Acc Rate'!C45,'10_28_11_03'!O:O,"*M*"),COUNTIFS('10_28_11_03'!E:E,'10_28_11_03 Acc Rate'!C45,'10_28_11_03'!R:R,"*M*"))=0,"",SUM(COUNTIFS('10_28_11_03'!E:E,'10_28_11_03 Acc Rate'!C45,'10_28_11_03'!O:O,"*M*"),COUNTIFS('10_28_11_03'!E:E,'10_28_11_03 Acc Rate'!C45,'10_28_11_03'!R:R,"*M*")))</f>
        <v/>
      </c>
      <c r="T45" s="1" t="str">
        <f>IF(SUM(COUNTIFS('10_28_11_03'!E:E,'10_28_11_03 Acc Rate'!C45,'10_28_11_03'!P:P,"*E*"),COUNTIFS('10_28_11_03'!E:E,'10_28_11_03 Acc Rate'!C45,'10_28_11_03'!S:S,"*E*"))=0,"",SUM(COUNTIFS('10_28_11_03'!E:E,'10_28_11_03 Acc Rate'!C45,'10_28_11_03'!P:P,"*E*"),COUNTIFS('10_28_11_03'!E:E,'10_28_11_03 Acc Rate'!C45,'10_28_11_03'!S:S,"*E*")))</f>
        <v/>
      </c>
      <c r="U45" s="8" t="str">
        <f t="shared" si="1"/>
        <v/>
      </c>
    </row>
    <row r="46" spans="2:21" ht="15" customHeight="1" x14ac:dyDescent="0.25">
      <c r="B46" s="1" t="s">
        <v>695</v>
      </c>
      <c r="C46" s="1" t="s">
        <v>696</v>
      </c>
      <c r="D46" s="1" t="s">
        <v>697</v>
      </c>
      <c r="E46"/>
      <c r="F46" t="s">
        <v>698</v>
      </c>
      <c r="G46" t="s">
        <v>699</v>
      </c>
      <c r="H46" t="s">
        <v>583</v>
      </c>
      <c r="I46" t="s">
        <v>700</v>
      </c>
      <c r="J46" t="s">
        <v>607</v>
      </c>
      <c r="K46"/>
      <c r="L46"/>
      <c r="M46">
        <v>1</v>
      </c>
      <c r="N46"/>
      <c r="O46"/>
      <c r="P46"/>
      <c r="Q46" s="7">
        <v>1</v>
      </c>
      <c r="R46" s="27">
        <f t="shared" si="0"/>
        <v>1</v>
      </c>
      <c r="S46" s="27" t="str">
        <f>IF(SUM(COUNTIFS('10_28_11_03'!E:E,'10_28_11_03 Acc Rate'!C46,'10_28_11_03'!O:O,"*M*"),COUNTIFS('10_28_11_03'!E:E,'10_28_11_03 Acc Rate'!C46,'10_28_11_03'!R:R,"*M*"))=0,"",SUM(COUNTIFS('10_28_11_03'!E:E,'10_28_11_03 Acc Rate'!C46,'10_28_11_03'!O:O,"*M*"),COUNTIFS('10_28_11_03'!E:E,'10_28_11_03 Acc Rate'!C46,'10_28_11_03'!R:R,"*M*")))</f>
        <v/>
      </c>
      <c r="T46" s="1" t="str">
        <f>IF(SUM(COUNTIFS('10_28_11_03'!E:E,'10_28_11_03 Acc Rate'!C46,'10_28_11_03'!P:P,"*E*"),COUNTIFS('10_28_11_03'!E:E,'10_28_11_03 Acc Rate'!C46,'10_28_11_03'!S:S,"*E*"))=0,"",SUM(COUNTIFS('10_28_11_03'!E:E,'10_28_11_03 Acc Rate'!C46,'10_28_11_03'!P:P,"*E*"),COUNTIFS('10_28_11_03'!E:E,'10_28_11_03 Acc Rate'!C46,'10_28_11_03'!S:S,"*E*")))</f>
        <v/>
      </c>
      <c r="U46" s="8">
        <f t="shared" si="1"/>
        <v>0</v>
      </c>
    </row>
    <row r="47" spans="2:21" ht="15" customHeight="1" x14ac:dyDescent="0.25">
      <c r="B47" s="1" t="s">
        <v>701</v>
      </c>
      <c r="C47" s="1" t="s">
        <v>696</v>
      </c>
      <c r="D47" s="1" t="s">
        <v>702</v>
      </c>
      <c r="E47"/>
      <c r="F47" t="s">
        <v>703</v>
      </c>
      <c r="G47" t="s">
        <v>704</v>
      </c>
      <c r="H47" t="s">
        <v>583</v>
      </c>
      <c r="I47" t="s">
        <v>705</v>
      </c>
      <c r="J47" t="s">
        <v>706</v>
      </c>
      <c r="K47" t="s">
        <v>700</v>
      </c>
      <c r="L47"/>
      <c r="M47">
        <v>1</v>
      </c>
      <c r="N47"/>
      <c r="O47"/>
      <c r="P47"/>
      <c r="Q47" s="7"/>
      <c r="R47" s="27" t="str">
        <f t="shared" si="0"/>
        <v/>
      </c>
      <c r="S47" s="27" t="str">
        <f>IF(SUM(COUNTIFS('10_28_11_03'!E:E,'10_28_11_03 Acc Rate'!C47,'10_28_11_03'!O:O,"*M*"),COUNTIFS('10_28_11_03'!E:E,'10_28_11_03 Acc Rate'!C47,'10_28_11_03'!R:R,"*M*"))=0,"",SUM(COUNTIFS('10_28_11_03'!E:E,'10_28_11_03 Acc Rate'!C47,'10_28_11_03'!O:O,"*M*"),COUNTIFS('10_28_11_03'!E:E,'10_28_11_03 Acc Rate'!C47,'10_28_11_03'!R:R,"*M*")))</f>
        <v/>
      </c>
      <c r="T47" s="1" t="str">
        <f>IF(SUM(COUNTIFS('10_28_11_03'!E:E,'10_28_11_03 Acc Rate'!C47,'10_28_11_03'!P:P,"*E*"),COUNTIFS('10_28_11_03'!E:E,'10_28_11_03 Acc Rate'!C47,'10_28_11_03'!S:S,"*E*"))=0,"",SUM(COUNTIFS('10_28_11_03'!E:E,'10_28_11_03 Acc Rate'!C47,'10_28_11_03'!P:P,"*E*"),COUNTIFS('10_28_11_03'!E:E,'10_28_11_03 Acc Rate'!C47,'10_28_11_03'!S:S,"*E*")))</f>
        <v/>
      </c>
      <c r="U47" s="8" t="str">
        <f t="shared" si="1"/>
        <v/>
      </c>
    </row>
    <row r="48" spans="2:21" ht="15" customHeight="1" x14ac:dyDescent="0.25">
      <c r="B48" s="1" t="s">
        <v>707</v>
      </c>
      <c r="C48" s="1" t="s">
        <v>708</v>
      </c>
      <c r="D48" s="1" t="s">
        <v>709</v>
      </c>
      <c r="E48"/>
      <c r="F48" t="s">
        <v>710</v>
      </c>
      <c r="G48" t="s">
        <v>711</v>
      </c>
      <c r="H48" t="s">
        <v>583</v>
      </c>
      <c r="I48" t="s">
        <v>712</v>
      </c>
      <c r="J48" t="s">
        <v>706</v>
      </c>
      <c r="K48" t="s">
        <v>700</v>
      </c>
      <c r="L48"/>
      <c r="M48">
        <v>1</v>
      </c>
      <c r="N48"/>
      <c r="O48"/>
      <c r="P48"/>
      <c r="Q48" s="7"/>
      <c r="R48" s="27" t="str">
        <f t="shared" si="0"/>
        <v/>
      </c>
      <c r="S48" s="27" t="str">
        <f>IF(SUM(COUNTIFS('10_28_11_03'!E:E,'10_28_11_03 Acc Rate'!C48,'10_28_11_03'!O:O,"*M*"),COUNTIFS('10_28_11_03'!E:E,'10_28_11_03 Acc Rate'!C48,'10_28_11_03'!R:R,"*M*"))=0,"",SUM(COUNTIFS('10_28_11_03'!E:E,'10_28_11_03 Acc Rate'!C48,'10_28_11_03'!O:O,"*M*"),COUNTIFS('10_28_11_03'!E:E,'10_28_11_03 Acc Rate'!C48,'10_28_11_03'!R:R,"*M*")))</f>
        <v/>
      </c>
      <c r="T48" s="1" t="str">
        <f>IF(SUM(COUNTIFS('10_28_11_03'!E:E,'10_28_11_03 Acc Rate'!C48,'10_28_11_03'!P:P,"*E*"),COUNTIFS('10_28_11_03'!E:E,'10_28_11_03 Acc Rate'!C48,'10_28_11_03'!S:S,"*E*"))=0,"",SUM(COUNTIFS('10_28_11_03'!E:E,'10_28_11_03 Acc Rate'!C48,'10_28_11_03'!P:P,"*E*"),COUNTIFS('10_28_11_03'!E:E,'10_28_11_03 Acc Rate'!C48,'10_28_11_03'!S:S,"*E*")))</f>
        <v/>
      </c>
      <c r="U48" s="8" t="str">
        <f t="shared" si="1"/>
        <v/>
      </c>
    </row>
    <row r="49" spans="2:21" ht="15" customHeight="1" x14ac:dyDescent="0.25">
      <c r="B49" s="1" t="s">
        <v>713</v>
      </c>
      <c r="C49" s="1" t="s">
        <v>714</v>
      </c>
      <c r="D49" s="1" t="s">
        <v>715</v>
      </c>
      <c r="E49"/>
      <c r="F49" t="s">
        <v>716</v>
      </c>
      <c r="G49" t="s">
        <v>717</v>
      </c>
      <c r="H49" t="s">
        <v>583</v>
      </c>
      <c r="I49" t="s">
        <v>718</v>
      </c>
      <c r="J49" t="s">
        <v>706</v>
      </c>
      <c r="K49" t="s">
        <v>700</v>
      </c>
      <c r="L49"/>
      <c r="M49">
        <v>1</v>
      </c>
      <c r="N49"/>
      <c r="O49"/>
      <c r="P49"/>
      <c r="Q49" s="7"/>
      <c r="R49" s="27" t="str">
        <f t="shared" si="0"/>
        <v/>
      </c>
      <c r="S49" s="27" t="str">
        <f>IF(SUM(COUNTIFS('10_28_11_03'!E:E,'10_28_11_03 Acc Rate'!C49,'10_28_11_03'!O:O,"*M*"),COUNTIFS('10_28_11_03'!E:E,'10_28_11_03 Acc Rate'!C49,'10_28_11_03'!R:R,"*M*"))=0,"",SUM(COUNTIFS('10_28_11_03'!E:E,'10_28_11_03 Acc Rate'!C49,'10_28_11_03'!O:O,"*M*"),COUNTIFS('10_28_11_03'!E:E,'10_28_11_03 Acc Rate'!C49,'10_28_11_03'!R:R,"*M*")))</f>
        <v/>
      </c>
      <c r="T49" s="1" t="str">
        <f>IF(SUM(COUNTIFS('10_28_11_03'!E:E,'10_28_11_03 Acc Rate'!C49,'10_28_11_03'!P:P,"*E*"),COUNTIFS('10_28_11_03'!E:E,'10_28_11_03 Acc Rate'!C49,'10_28_11_03'!S:S,"*E*"))=0,"",SUM(COUNTIFS('10_28_11_03'!E:E,'10_28_11_03 Acc Rate'!C49,'10_28_11_03'!P:P,"*E*"),COUNTIFS('10_28_11_03'!E:E,'10_28_11_03 Acc Rate'!C49,'10_28_11_03'!S:S,"*E*")))</f>
        <v/>
      </c>
      <c r="U49" s="8" t="str">
        <f t="shared" si="1"/>
        <v/>
      </c>
    </row>
    <row r="50" spans="2:21" ht="15" customHeight="1" x14ac:dyDescent="0.25">
      <c r="B50" s="1" t="s">
        <v>719</v>
      </c>
      <c r="C50" s="1" t="s">
        <v>556</v>
      </c>
      <c r="D50" s="1" t="s">
        <v>720</v>
      </c>
      <c r="E50"/>
      <c r="F50" t="s">
        <v>721</v>
      </c>
      <c r="G50" t="s">
        <v>722</v>
      </c>
      <c r="H50" t="s">
        <v>583</v>
      </c>
      <c r="I50" t="s">
        <v>723</v>
      </c>
      <c r="J50" t="s">
        <v>706</v>
      </c>
      <c r="K50" t="s">
        <v>700</v>
      </c>
      <c r="L50"/>
      <c r="M50">
        <v>1</v>
      </c>
      <c r="N50"/>
      <c r="O50"/>
      <c r="P50"/>
      <c r="Q50" s="7"/>
      <c r="R50" s="27" t="str">
        <f t="shared" si="0"/>
        <v/>
      </c>
      <c r="S50" s="27" t="str">
        <f>IF(SUM(COUNTIFS('10_28_11_03'!E:E,'10_28_11_03 Acc Rate'!C50,'10_28_11_03'!O:O,"*M*"),COUNTIFS('10_28_11_03'!E:E,'10_28_11_03 Acc Rate'!C50,'10_28_11_03'!R:R,"*M*"))=0,"",SUM(COUNTIFS('10_28_11_03'!E:E,'10_28_11_03 Acc Rate'!C50,'10_28_11_03'!O:O,"*M*"),COUNTIFS('10_28_11_03'!E:E,'10_28_11_03 Acc Rate'!C50,'10_28_11_03'!R:R,"*M*")))</f>
        <v/>
      </c>
      <c r="T50" s="1" t="str">
        <f>IF(SUM(COUNTIFS('10_28_11_03'!E:E,'10_28_11_03 Acc Rate'!C50,'10_28_11_03'!P:P,"*E*"),COUNTIFS('10_28_11_03'!E:E,'10_28_11_03 Acc Rate'!C50,'10_28_11_03'!S:S,"*E*"))=0,"",SUM(COUNTIFS('10_28_11_03'!E:E,'10_28_11_03 Acc Rate'!C50,'10_28_11_03'!P:P,"*E*"),COUNTIFS('10_28_11_03'!E:E,'10_28_11_03 Acc Rate'!C50,'10_28_11_03'!S:S,"*E*")))</f>
        <v/>
      </c>
      <c r="U50" s="8"/>
    </row>
    <row r="51" spans="2:21" x14ac:dyDescent="0.25">
      <c r="M51" s="1" t="s">
        <v>724</v>
      </c>
      <c r="Q51" s="1">
        <f>SUM(Q3:Q49)</f>
        <v>5067</v>
      </c>
      <c r="R51" s="27">
        <f>SUM(R3:R49)</f>
        <v>5061</v>
      </c>
      <c r="S51" s="27">
        <f>SUM(S3:S49)</f>
        <v>4</v>
      </c>
      <c r="T51" s="1">
        <f>SUM(T3:T49)</f>
        <v>2</v>
      </c>
      <c r="U51" s="2">
        <f>IFERROR(SUM(S50*8+T50*2)/Q50,0)</f>
        <v>0</v>
      </c>
    </row>
  </sheetData>
  <mergeCells count="3">
    <mergeCell ref="W3:X3"/>
    <mergeCell ref="W7:X7"/>
    <mergeCell ref="W8:X8"/>
  </mergeCells>
  <conditionalFormatting sqref="B1:P1048576">
    <cfRule type="expression" dxfId="161" priority="6">
      <formula>$H1="Service Center"</formula>
    </cfRule>
    <cfRule type="expression" dxfId="160" priority="7">
      <formula>$H1="COBRA"</formula>
    </cfRule>
    <cfRule type="expression" dxfId="159" priority="8">
      <formula>$H1="Claims"</formula>
    </cfRule>
  </conditionalFormatting>
  <conditionalFormatting sqref="B1:U1048576">
    <cfRule type="expression" dxfId="158" priority="4">
      <formula>NOT(ISBLANK($B1))</formula>
    </cfRule>
    <cfRule type="expression" dxfId="157" priority="5">
      <formula>AND($H1="Service Center",$M1=15)</formula>
    </cfRule>
    <cfRule type="expression" dxfId="156" priority="9">
      <formula>$B1="Full Name"</formula>
    </cfRule>
    <cfRule type="expression" dxfId="155" priority="10">
      <formula>$M1="Totals"</formula>
    </cfRule>
  </conditionalFormatting>
  <conditionalFormatting sqref="Q2">
    <cfRule type="expression" dxfId="154" priority="1">
      <formula>$H2="Service Center"</formula>
    </cfRule>
    <cfRule type="expression" dxfId="153" priority="2">
      <formula>$H2="COBRA"</formula>
    </cfRule>
    <cfRule type="expression" dxfId="152" priority="3">
      <formula>$H2="Claims"</formula>
    </cfRule>
  </conditionalFormatting>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753108-9C5F-4374-8CC4-D54EF733BF1B}">
  <sheetPr codeName="Sheet19"/>
  <dimension ref="A1:U188"/>
  <sheetViews>
    <sheetView zoomScaleNormal="100" workbookViewId="0">
      <selection activeCell="B2" sqref="B2"/>
    </sheetView>
  </sheetViews>
  <sheetFormatPr defaultRowHeight="15" x14ac:dyDescent="0.25"/>
  <cols>
    <col min="1" max="1" width="8.7109375" customWidth="1"/>
    <col min="2" max="2" width="10.7109375" customWidth="1"/>
    <col min="3" max="3" width="8.7109375" customWidth="1"/>
    <col min="4" max="4" width="12.7109375" customWidth="1"/>
    <col min="5" max="6" width="15.7109375" customWidth="1"/>
    <col min="7" max="7" width="31.5703125" customWidth="1"/>
    <col min="8" max="9" width="15.7109375" customWidth="1"/>
    <col min="10" max="12" width="10.7109375" customWidth="1"/>
    <col min="13" max="13" width="13.7109375" style="21" customWidth="1"/>
    <col min="14" max="14" width="12.7109375" customWidth="1"/>
    <col min="15" max="16" width="10.7109375" customWidth="1"/>
    <col min="17" max="17" width="30.7109375" customWidth="1"/>
    <col min="18" max="19" width="17.7109375" customWidth="1"/>
    <col min="20" max="20" width="30.7109375" customWidth="1"/>
    <col min="21" max="21" width="8.7109375" customWidth="1"/>
  </cols>
  <sheetData>
    <row r="1" spans="1:21" ht="38.25" x14ac:dyDescent="0.25">
      <c r="A1" s="42" t="s">
        <v>0</v>
      </c>
      <c r="B1" s="42" t="s">
        <v>1</v>
      </c>
      <c r="C1" s="42" t="s">
        <v>2</v>
      </c>
      <c r="D1" s="42" t="s">
        <v>3</v>
      </c>
      <c r="E1" s="42" t="s">
        <v>4</v>
      </c>
      <c r="F1" s="42" t="s">
        <v>5</v>
      </c>
      <c r="G1" s="42" t="s">
        <v>6</v>
      </c>
      <c r="H1" s="42" t="s">
        <v>7</v>
      </c>
      <c r="I1" s="42" t="s">
        <v>8</v>
      </c>
      <c r="J1" s="42" t="s">
        <v>9</v>
      </c>
      <c r="K1" s="42" t="s">
        <v>10</v>
      </c>
      <c r="L1" s="42" t="s">
        <v>11</v>
      </c>
      <c r="M1" s="43" t="s">
        <v>12</v>
      </c>
      <c r="N1" s="42" t="s">
        <v>13</v>
      </c>
      <c r="O1" s="42" t="s">
        <v>14</v>
      </c>
      <c r="P1" s="42" t="s">
        <v>15</v>
      </c>
      <c r="Q1" s="42" t="s">
        <v>16</v>
      </c>
      <c r="R1" s="42" t="s">
        <v>17</v>
      </c>
      <c r="S1" s="42" t="s">
        <v>18</v>
      </c>
      <c r="T1" s="42" t="s">
        <v>16</v>
      </c>
      <c r="U1" s="44" t="s">
        <v>19</v>
      </c>
    </row>
    <row r="2" spans="1:21" x14ac:dyDescent="0.25">
      <c r="A2" s="45" t="s">
        <v>20</v>
      </c>
      <c r="B2" s="46">
        <v>45701</v>
      </c>
      <c r="C2" s="45" t="s">
        <v>21</v>
      </c>
      <c r="D2" s="47" t="s">
        <v>114</v>
      </c>
      <c r="E2" s="45" t="s">
        <v>22</v>
      </c>
      <c r="F2" s="45" t="s">
        <v>23</v>
      </c>
      <c r="G2" s="45" t="s">
        <v>1646</v>
      </c>
      <c r="H2" s="45" t="s">
        <v>1647</v>
      </c>
      <c r="I2" s="45" t="s">
        <v>1648</v>
      </c>
      <c r="J2" s="45">
        <v>554772414</v>
      </c>
      <c r="K2" s="45" t="s">
        <v>126</v>
      </c>
      <c r="L2" s="48">
        <v>26.58</v>
      </c>
      <c r="M2" s="49">
        <v>20241104866</v>
      </c>
      <c r="N2" s="50" t="s">
        <v>28</v>
      </c>
      <c r="O2" s="50"/>
      <c r="P2" s="50"/>
      <c r="Q2" s="51"/>
      <c r="R2" s="50"/>
      <c r="S2" s="50"/>
      <c r="T2" s="51"/>
      <c r="U2" s="50"/>
    </row>
    <row r="3" spans="1:21" x14ac:dyDescent="0.25">
      <c r="A3" s="45" t="s">
        <v>20</v>
      </c>
      <c r="B3" s="46">
        <v>45701</v>
      </c>
      <c r="C3" s="45" t="s">
        <v>21</v>
      </c>
      <c r="D3" s="47" t="s">
        <v>114</v>
      </c>
      <c r="E3" s="45" t="s">
        <v>22</v>
      </c>
      <c r="F3" s="45" t="s">
        <v>23</v>
      </c>
      <c r="G3" s="45" t="s">
        <v>1646</v>
      </c>
      <c r="H3" s="45" t="s">
        <v>1647</v>
      </c>
      <c r="I3" s="45" t="s">
        <v>1648</v>
      </c>
      <c r="J3" s="45">
        <v>554772414</v>
      </c>
      <c r="K3" s="45" t="s">
        <v>1463</v>
      </c>
      <c r="L3" s="48">
        <v>5</v>
      </c>
      <c r="M3" s="49">
        <v>20241104985</v>
      </c>
      <c r="N3" s="50" t="s">
        <v>28</v>
      </c>
      <c r="O3" s="50"/>
      <c r="P3" s="50"/>
      <c r="Q3" s="51"/>
      <c r="R3" s="50"/>
      <c r="S3" s="50"/>
      <c r="T3" s="51"/>
      <c r="U3" s="50"/>
    </row>
    <row r="4" spans="1:21" x14ac:dyDescent="0.25">
      <c r="A4" s="45" t="s">
        <v>20</v>
      </c>
      <c r="B4" s="46">
        <v>45701</v>
      </c>
      <c r="C4" s="45" t="s">
        <v>21</v>
      </c>
      <c r="D4" s="47" t="s">
        <v>114</v>
      </c>
      <c r="E4" s="45" t="s">
        <v>22</v>
      </c>
      <c r="F4" s="45" t="s">
        <v>23</v>
      </c>
      <c r="G4" s="45" t="s">
        <v>1646</v>
      </c>
      <c r="H4" s="45" t="s">
        <v>1647</v>
      </c>
      <c r="I4" s="45" t="s">
        <v>1648</v>
      </c>
      <c r="J4" s="45">
        <v>554772414</v>
      </c>
      <c r="K4" s="45" t="s">
        <v>86</v>
      </c>
      <c r="L4" s="48">
        <v>199.74</v>
      </c>
      <c r="M4" s="49">
        <v>20241104989</v>
      </c>
      <c r="N4" s="50" t="s">
        <v>28</v>
      </c>
      <c r="O4" s="50"/>
      <c r="P4" s="50"/>
      <c r="Q4" s="51"/>
      <c r="R4" s="50"/>
      <c r="S4" s="50"/>
      <c r="T4" s="51"/>
      <c r="U4" s="50"/>
    </row>
    <row r="5" spans="1:21" x14ac:dyDescent="0.25">
      <c r="A5" s="45" t="s">
        <v>20</v>
      </c>
      <c r="B5" s="46">
        <v>45701</v>
      </c>
      <c r="C5" s="45" t="s">
        <v>21</v>
      </c>
      <c r="D5" s="47" t="s">
        <v>114</v>
      </c>
      <c r="E5" s="45" t="s">
        <v>22</v>
      </c>
      <c r="F5" s="45" t="s">
        <v>23</v>
      </c>
      <c r="G5" s="45" t="s">
        <v>1646</v>
      </c>
      <c r="H5" s="45" t="s">
        <v>1647</v>
      </c>
      <c r="I5" s="45" t="s">
        <v>1648</v>
      </c>
      <c r="J5" s="45">
        <v>554772414</v>
      </c>
      <c r="K5" s="45" t="s">
        <v>781</v>
      </c>
      <c r="L5" s="48">
        <v>5</v>
      </c>
      <c r="M5" s="49">
        <v>20241104953</v>
      </c>
      <c r="N5" s="50" t="s">
        <v>28</v>
      </c>
      <c r="O5" s="50"/>
      <c r="P5" s="50"/>
      <c r="Q5" s="51"/>
      <c r="R5" s="50"/>
      <c r="S5" s="50"/>
      <c r="T5" s="51"/>
      <c r="U5" s="50"/>
    </row>
    <row r="6" spans="1:21" x14ac:dyDescent="0.25">
      <c r="A6" s="45" t="s">
        <v>20</v>
      </c>
      <c r="B6" s="46">
        <v>45701</v>
      </c>
      <c r="C6" s="45" t="s">
        <v>21</v>
      </c>
      <c r="D6" s="47" t="s">
        <v>114</v>
      </c>
      <c r="E6" s="45" t="s">
        <v>22</v>
      </c>
      <c r="F6" s="45" t="s">
        <v>23</v>
      </c>
      <c r="G6" s="45" t="s">
        <v>1646</v>
      </c>
      <c r="H6" s="45" t="s">
        <v>1647</v>
      </c>
      <c r="I6" s="45" t="s">
        <v>1648</v>
      </c>
      <c r="J6" s="45">
        <v>554772414</v>
      </c>
      <c r="K6" s="45" t="s">
        <v>783</v>
      </c>
      <c r="L6" s="48">
        <v>5</v>
      </c>
      <c r="M6" s="49">
        <v>20241104949</v>
      </c>
      <c r="N6" s="50" t="s">
        <v>28</v>
      </c>
      <c r="O6" s="50"/>
      <c r="P6" s="50"/>
      <c r="Q6" s="51"/>
      <c r="R6" s="50"/>
      <c r="S6" s="50"/>
      <c r="T6" s="51"/>
      <c r="U6" s="50"/>
    </row>
    <row r="7" spans="1:21" x14ac:dyDescent="0.25">
      <c r="A7" s="45" t="s">
        <v>20</v>
      </c>
      <c r="B7" s="46">
        <v>45701</v>
      </c>
      <c r="C7" s="45" t="s">
        <v>21</v>
      </c>
      <c r="D7" s="47" t="s">
        <v>114</v>
      </c>
      <c r="E7" s="45" t="s">
        <v>22</v>
      </c>
      <c r="F7" s="45" t="s">
        <v>23</v>
      </c>
      <c r="G7" s="45" t="s">
        <v>1646</v>
      </c>
      <c r="H7" s="45" t="s">
        <v>1647</v>
      </c>
      <c r="I7" s="45" t="s">
        <v>1648</v>
      </c>
      <c r="J7" s="45">
        <v>554772414</v>
      </c>
      <c r="K7" s="45" t="s">
        <v>1025</v>
      </c>
      <c r="L7" s="48">
        <v>15.19</v>
      </c>
      <c r="M7" s="49">
        <v>20241104960</v>
      </c>
      <c r="N7" s="50" t="s">
        <v>28</v>
      </c>
      <c r="O7" s="50"/>
      <c r="P7" s="50"/>
      <c r="Q7" s="51"/>
      <c r="R7" s="50"/>
      <c r="S7" s="50"/>
      <c r="T7" s="51"/>
      <c r="U7" s="50"/>
    </row>
    <row r="8" spans="1:21" ht="105" x14ac:dyDescent="0.25">
      <c r="A8" s="45" t="s">
        <v>20</v>
      </c>
      <c r="B8" s="46">
        <v>45701</v>
      </c>
      <c r="C8" s="45" t="s">
        <v>21</v>
      </c>
      <c r="D8" s="47" t="s">
        <v>114</v>
      </c>
      <c r="E8" s="45" t="s">
        <v>22</v>
      </c>
      <c r="F8" s="45" t="s">
        <v>23</v>
      </c>
      <c r="G8" s="45" t="s">
        <v>191</v>
      </c>
      <c r="H8" s="45" t="s">
        <v>979</v>
      </c>
      <c r="I8" s="45" t="s">
        <v>980</v>
      </c>
      <c r="J8" s="45">
        <v>559617334</v>
      </c>
      <c r="K8" s="45" t="s">
        <v>1649</v>
      </c>
      <c r="L8" s="48">
        <v>30</v>
      </c>
      <c r="M8" s="49">
        <v>20241106862</v>
      </c>
      <c r="N8" s="50"/>
      <c r="O8" s="50" t="s">
        <v>124</v>
      </c>
      <c r="P8" s="50"/>
      <c r="Q8" s="51" t="s">
        <v>1650</v>
      </c>
      <c r="R8" s="50"/>
      <c r="S8" s="50"/>
      <c r="T8" s="51"/>
      <c r="U8" s="50"/>
    </row>
    <row r="9" spans="1:21" ht="30" x14ac:dyDescent="0.25">
      <c r="A9" s="45" t="s">
        <v>20</v>
      </c>
      <c r="B9" s="46">
        <v>45701</v>
      </c>
      <c r="C9" s="45" t="s">
        <v>21</v>
      </c>
      <c r="D9" s="47" t="s">
        <v>114</v>
      </c>
      <c r="E9" s="45" t="s">
        <v>22</v>
      </c>
      <c r="F9" s="45" t="s">
        <v>23</v>
      </c>
      <c r="G9" s="45" t="s">
        <v>191</v>
      </c>
      <c r="H9" s="45" t="s">
        <v>979</v>
      </c>
      <c r="I9" s="45" t="s">
        <v>980</v>
      </c>
      <c r="J9" s="45">
        <v>559617334</v>
      </c>
      <c r="K9" s="45" t="s">
        <v>80</v>
      </c>
      <c r="L9" s="48">
        <v>10</v>
      </c>
      <c r="M9" s="49">
        <v>20241106684</v>
      </c>
      <c r="N9" s="50"/>
      <c r="O9" s="50"/>
      <c r="P9" s="50" t="s">
        <v>304</v>
      </c>
      <c r="Q9" s="51" t="s">
        <v>1651</v>
      </c>
      <c r="R9" s="50"/>
      <c r="S9" s="50"/>
      <c r="T9" s="51"/>
      <c r="U9" s="50"/>
    </row>
    <row r="10" spans="1:21" x14ac:dyDescent="0.25">
      <c r="A10" s="45" t="s">
        <v>20</v>
      </c>
      <c r="B10" s="46">
        <v>45701</v>
      </c>
      <c r="C10" s="45" t="s">
        <v>21</v>
      </c>
      <c r="D10" s="47" t="s">
        <v>114</v>
      </c>
      <c r="E10" s="45" t="s">
        <v>22</v>
      </c>
      <c r="F10" s="45" t="s">
        <v>23</v>
      </c>
      <c r="G10" s="45" t="s">
        <v>191</v>
      </c>
      <c r="H10" s="45" t="s">
        <v>979</v>
      </c>
      <c r="I10" s="45" t="s">
        <v>980</v>
      </c>
      <c r="J10" s="45">
        <v>559617334</v>
      </c>
      <c r="K10" s="45" t="s">
        <v>1649</v>
      </c>
      <c r="L10" s="48">
        <v>7.97</v>
      </c>
      <c r="M10" s="49">
        <v>20241106863</v>
      </c>
      <c r="N10" s="50" t="s">
        <v>28</v>
      </c>
      <c r="O10" s="50"/>
      <c r="P10" s="50"/>
      <c r="Q10" s="51"/>
      <c r="R10" s="50"/>
      <c r="S10" s="50"/>
      <c r="T10" s="51"/>
      <c r="U10" s="50"/>
    </row>
    <row r="11" spans="1:21" ht="30" x14ac:dyDescent="0.25">
      <c r="A11" s="45" t="s">
        <v>20</v>
      </c>
      <c r="B11" s="46">
        <v>45701</v>
      </c>
      <c r="C11" s="45" t="s">
        <v>21</v>
      </c>
      <c r="D11" s="47" t="s">
        <v>114</v>
      </c>
      <c r="E11" s="45" t="s">
        <v>22</v>
      </c>
      <c r="F11" s="45" t="s">
        <v>23</v>
      </c>
      <c r="G11" s="45" t="s">
        <v>191</v>
      </c>
      <c r="H11" s="45" t="s">
        <v>979</v>
      </c>
      <c r="I11" s="45" t="s">
        <v>980</v>
      </c>
      <c r="J11" s="45">
        <v>559617334</v>
      </c>
      <c r="K11" s="45" t="s">
        <v>80</v>
      </c>
      <c r="L11" s="48">
        <v>10</v>
      </c>
      <c r="M11" s="49">
        <v>20241106685</v>
      </c>
      <c r="N11" s="50"/>
      <c r="O11" s="50"/>
      <c r="P11" s="50" t="s">
        <v>304</v>
      </c>
      <c r="Q11" s="51" t="s">
        <v>1651</v>
      </c>
      <c r="R11" s="50"/>
      <c r="S11" s="50"/>
      <c r="T11" s="51"/>
      <c r="U11" s="50"/>
    </row>
    <row r="12" spans="1:21" ht="120" x14ac:dyDescent="0.25">
      <c r="A12" s="45" t="s">
        <v>20</v>
      </c>
      <c r="B12" s="46">
        <v>45701</v>
      </c>
      <c r="C12" s="45" t="s">
        <v>21</v>
      </c>
      <c r="D12" s="47" t="s">
        <v>114</v>
      </c>
      <c r="E12" s="45" t="s">
        <v>22</v>
      </c>
      <c r="F12" s="45" t="s">
        <v>23</v>
      </c>
      <c r="G12" s="45" t="s">
        <v>191</v>
      </c>
      <c r="H12" s="45" t="s">
        <v>979</v>
      </c>
      <c r="I12" s="45" t="s">
        <v>980</v>
      </c>
      <c r="J12" s="45">
        <v>559617334</v>
      </c>
      <c r="K12" s="45" t="s">
        <v>1649</v>
      </c>
      <c r="L12" s="48">
        <v>10</v>
      </c>
      <c r="M12" s="49">
        <v>20241106864</v>
      </c>
      <c r="N12" s="50"/>
      <c r="O12" s="72" t="s">
        <v>1652</v>
      </c>
      <c r="P12" s="50"/>
      <c r="Q12" s="51" t="s">
        <v>1653</v>
      </c>
      <c r="R12" s="50"/>
      <c r="S12" s="50"/>
      <c r="T12" s="51"/>
      <c r="U12" s="50"/>
    </row>
    <row r="13" spans="1:21" ht="30" x14ac:dyDescent="0.25">
      <c r="A13" s="45" t="s">
        <v>20</v>
      </c>
      <c r="B13" s="46">
        <v>45701</v>
      </c>
      <c r="C13" s="45" t="s">
        <v>21</v>
      </c>
      <c r="D13" s="47" t="s">
        <v>114</v>
      </c>
      <c r="E13" s="45" t="s">
        <v>22</v>
      </c>
      <c r="F13" s="45" t="s">
        <v>23</v>
      </c>
      <c r="G13" s="45" t="s">
        <v>191</v>
      </c>
      <c r="H13" s="45" t="s">
        <v>979</v>
      </c>
      <c r="I13" s="45" t="s">
        <v>980</v>
      </c>
      <c r="J13" s="45">
        <v>559617334</v>
      </c>
      <c r="K13" s="45" t="s">
        <v>80</v>
      </c>
      <c r="L13" s="48">
        <v>10</v>
      </c>
      <c r="M13" s="49">
        <v>20241106685</v>
      </c>
      <c r="N13" s="50"/>
      <c r="O13" s="50"/>
      <c r="P13" s="50" t="s">
        <v>304</v>
      </c>
      <c r="Q13" s="51" t="s">
        <v>1651</v>
      </c>
      <c r="R13" s="50"/>
      <c r="S13" s="50"/>
      <c r="T13" s="51"/>
      <c r="U13" s="50"/>
    </row>
    <row r="14" spans="1:21" ht="30" x14ac:dyDescent="0.25">
      <c r="A14" s="45" t="s">
        <v>20</v>
      </c>
      <c r="B14" s="46">
        <v>45701</v>
      </c>
      <c r="C14" s="45" t="s">
        <v>21</v>
      </c>
      <c r="D14" s="47" t="s">
        <v>114</v>
      </c>
      <c r="E14" s="45" t="s">
        <v>22</v>
      </c>
      <c r="F14" s="45" t="s">
        <v>23</v>
      </c>
      <c r="G14" s="45" t="s">
        <v>191</v>
      </c>
      <c r="H14" s="45" t="s">
        <v>979</v>
      </c>
      <c r="I14" s="45" t="s">
        <v>980</v>
      </c>
      <c r="J14" s="45">
        <v>559617334</v>
      </c>
      <c r="K14" s="45" t="s">
        <v>1649</v>
      </c>
      <c r="L14" s="48">
        <v>10</v>
      </c>
      <c r="M14" s="49">
        <v>20241106798</v>
      </c>
      <c r="N14" s="50"/>
      <c r="O14" s="50"/>
      <c r="P14" s="50" t="s">
        <v>304</v>
      </c>
      <c r="Q14" s="51" t="s">
        <v>1651</v>
      </c>
      <c r="R14" s="50"/>
      <c r="S14" s="50"/>
      <c r="T14" s="51"/>
      <c r="U14" s="50"/>
    </row>
    <row r="15" spans="1:21" ht="30" x14ac:dyDescent="0.25">
      <c r="A15" s="45" t="s">
        <v>20</v>
      </c>
      <c r="B15" s="46">
        <v>45701</v>
      </c>
      <c r="C15" s="45" t="s">
        <v>21</v>
      </c>
      <c r="D15" s="47" t="s">
        <v>114</v>
      </c>
      <c r="E15" s="45" t="s">
        <v>22</v>
      </c>
      <c r="F15" s="45" t="s">
        <v>23</v>
      </c>
      <c r="G15" s="45" t="s">
        <v>191</v>
      </c>
      <c r="H15" s="45" t="s">
        <v>979</v>
      </c>
      <c r="I15" s="45" t="s">
        <v>980</v>
      </c>
      <c r="J15" s="45">
        <v>559617334</v>
      </c>
      <c r="K15" s="45" t="s">
        <v>80</v>
      </c>
      <c r="L15" s="48">
        <v>10</v>
      </c>
      <c r="M15" s="49">
        <v>20241106684</v>
      </c>
      <c r="N15" s="50"/>
      <c r="O15" s="50"/>
      <c r="P15" s="50" t="s">
        <v>304</v>
      </c>
      <c r="Q15" s="51" t="s">
        <v>1651</v>
      </c>
      <c r="R15" s="50"/>
      <c r="S15" s="50"/>
      <c r="T15" s="51"/>
      <c r="U15" s="50"/>
    </row>
    <row r="16" spans="1:21" ht="30" x14ac:dyDescent="0.25">
      <c r="A16" s="45" t="s">
        <v>20</v>
      </c>
      <c r="B16" s="46">
        <v>45701</v>
      </c>
      <c r="C16" s="45" t="s">
        <v>21</v>
      </c>
      <c r="D16" s="47" t="s">
        <v>114</v>
      </c>
      <c r="E16" s="45" t="s">
        <v>22</v>
      </c>
      <c r="F16" s="45" t="s">
        <v>23</v>
      </c>
      <c r="G16" s="45" t="s">
        <v>191</v>
      </c>
      <c r="H16" s="45" t="s">
        <v>979</v>
      </c>
      <c r="I16" s="45" t="s">
        <v>980</v>
      </c>
      <c r="J16" s="45">
        <v>559617334</v>
      </c>
      <c r="K16" s="45" t="s">
        <v>1649</v>
      </c>
      <c r="L16" s="48">
        <v>10</v>
      </c>
      <c r="M16" s="49">
        <v>20241106799</v>
      </c>
      <c r="N16" s="50"/>
      <c r="O16" s="50"/>
      <c r="P16" s="50" t="s">
        <v>304</v>
      </c>
      <c r="Q16" s="51" t="s">
        <v>1651</v>
      </c>
      <c r="R16" s="50"/>
      <c r="S16" s="50"/>
      <c r="T16" s="51"/>
      <c r="U16" s="50"/>
    </row>
    <row r="17" spans="1:21" x14ac:dyDescent="0.25">
      <c r="A17" s="45" t="s">
        <v>29</v>
      </c>
      <c r="B17" s="46">
        <v>45701</v>
      </c>
      <c r="C17" s="45" t="s">
        <v>21</v>
      </c>
      <c r="D17" s="47" t="s">
        <v>168</v>
      </c>
      <c r="E17" s="45" t="s">
        <v>64</v>
      </c>
      <c r="F17" s="45" t="s">
        <v>65</v>
      </c>
      <c r="G17" s="45" t="s">
        <v>1654</v>
      </c>
      <c r="H17" s="45" t="s">
        <v>1655</v>
      </c>
      <c r="I17" s="45" t="s">
        <v>1656</v>
      </c>
      <c r="J17" s="45">
        <v>529991422</v>
      </c>
      <c r="K17" s="45" t="s">
        <v>1358</v>
      </c>
      <c r="L17" s="48">
        <v>672</v>
      </c>
      <c r="M17" s="49">
        <v>20241105585</v>
      </c>
      <c r="N17" s="50" t="s">
        <v>28</v>
      </c>
      <c r="O17" s="50"/>
      <c r="P17" s="50"/>
      <c r="Q17" s="51"/>
      <c r="R17" s="50"/>
      <c r="S17" s="50"/>
      <c r="T17" s="51"/>
      <c r="U17" s="50"/>
    </row>
    <row r="18" spans="1:21" x14ac:dyDescent="0.25">
      <c r="A18" s="45" t="s">
        <v>70</v>
      </c>
      <c r="B18" s="46">
        <v>45701</v>
      </c>
      <c r="C18" s="45" t="s">
        <v>21</v>
      </c>
      <c r="D18" s="47" t="s">
        <v>168</v>
      </c>
      <c r="E18" s="45" t="s">
        <v>64</v>
      </c>
      <c r="F18" s="45" t="s">
        <v>65</v>
      </c>
      <c r="G18" s="45" t="s">
        <v>178</v>
      </c>
      <c r="H18" s="45" t="s">
        <v>1657</v>
      </c>
      <c r="I18" s="45" t="s">
        <v>1658</v>
      </c>
      <c r="J18" s="45">
        <v>558413377</v>
      </c>
      <c r="K18" s="45" t="s">
        <v>1358</v>
      </c>
      <c r="L18" s="48">
        <v>240</v>
      </c>
      <c r="M18" s="49">
        <v>20241107577</v>
      </c>
      <c r="N18" s="50" t="s">
        <v>28</v>
      </c>
      <c r="O18" s="50"/>
      <c r="P18" s="50"/>
      <c r="Q18" s="51"/>
      <c r="R18" s="50"/>
      <c r="S18" s="50"/>
      <c r="T18" s="51"/>
      <c r="U18" s="50"/>
    </row>
    <row r="19" spans="1:21" x14ac:dyDescent="0.25">
      <c r="A19" s="45" t="s">
        <v>29</v>
      </c>
      <c r="B19" s="46">
        <v>45701</v>
      </c>
      <c r="C19" s="45" t="s">
        <v>21</v>
      </c>
      <c r="D19" s="47" t="s">
        <v>168</v>
      </c>
      <c r="E19" s="45" t="s">
        <v>64</v>
      </c>
      <c r="F19" s="45" t="s">
        <v>65</v>
      </c>
      <c r="G19" s="45" t="s">
        <v>30</v>
      </c>
      <c r="H19" s="45" t="s">
        <v>359</v>
      </c>
      <c r="I19" s="45" t="s">
        <v>360</v>
      </c>
      <c r="J19" s="45">
        <v>561954522</v>
      </c>
      <c r="K19" s="45" t="s">
        <v>1358</v>
      </c>
      <c r="L19" s="48">
        <v>473</v>
      </c>
      <c r="M19" s="49">
        <v>202411041115</v>
      </c>
      <c r="N19" s="50" t="s">
        <v>28</v>
      </c>
      <c r="O19" s="50"/>
      <c r="P19" s="50"/>
      <c r="Q19" s="51"/>
      <c r="R19" s="50"/>
      <c r="S19" s="50"/>
      <c r="T19" s="51"/>
      <c r="U19" s="50"/>
    </row>
    <row r="20" spans="1:21" x14ac:dyDescent="0.25">
      <c r="A20" s="45" t="s">
        <v>20</v>
      </c>
      <c r="B20" s="46">
        <v>45701</v>
      </c>
      <c r="C20" s="45" t="s">
        <v>21</v>
      </c>
      <c r="D20" s="47" t="s">
        <v>168</v>
      </c>
      <c r="E20" s="45" t="s">
        <v>64</v>
      </c>
      <c r="F20" s="45" t="s">
        <v>65</v>
      </c>
      <c r="G20" s="45" t="s">
        <v>66</v>
      </c>
      <c r="H20" s="45" t="s">
        <v>1659</v>
      </c>
      <c r="I20" s="45" t="s">
        <v>1660</v>
      </c>
      <c r="J20" s="45">
        <v>563807614</v>
      </c>
      <c r="K20" s="45" t="s">
        <v>1227</v>
      </c>
      <c r="L20" s="48">
        <v>471</v>
      </c>
      <c r="M20" s="49">
        <v>20241105619</v>
      </c>
      <c r="N20" s="50" t="s">
        <v>28</v>
      </c>
      <c r="O20" s="50"/>
      <c r="P20" s="50"/>
      <c r="Q20" s="51"/>
      <c r="R20" s="50"/>
      <c r="S20" s="50"/>
      <c r="T20" s="51"/>
      <c r="U20" s="50"/>
    </row>
    <row r="21" spans="1:21" x14ac:dyDescent="0.25">
      <c r="A21" s="45" t="s">
        <v>20</v>
      </c>
      <c r="B21" s="46">
        <v>45701</v>
      </c>
      <c r="C21" s="45" t="s">
        <v>21</v>
      </c>
      <c r="D21" s="47" t="s">
        <v>168</v>
      </c>
      <c r="E21" s="45" t="s">
        <v>64</v>
      </c>
      <c r="F21" s="45" t="s">
        <v>65</v>
      </c>
      <c r="G21" s="45" t="s">
        <v>66</v>
      </c>
      <c r="H21" s="45" t="s">
        <v>1659</v>
      </c>
      <c r="I21" s="45" t="s">
        <v>1660</v>
      </c>
      <c r="J21" s="45">
        <v>563807614</v>
      </c>
      <c r="K21" s="45" t="s">
        <v>1227</v>
      </c>
      <c r="L21" s="48">
        <v>235</v>
      </c>
      <c r="M21" s="49">
        <v>20241105620</v>
      </c>
      <c r="N21" s="50" t="s">
        <v>28</v>
      </c>
      <c r="O21" s="50"/>
      <c r="P21" s="50"/>
      <c r="Q21" s="51"/>
      <c r="R21" s="50"/>
      <c r="S21" s="50"/>
      <c r="T21" s="51"/>
      <c r="U21" s="50"/>
    </row>
    <row r="22" spans="1:21" ht="25.5" x14ac:dyDescent="0.25">
      <c r="A22" s="45" t="s">
        <v>29</v>
      </c>
      <c r="B22" s="46">
        <v>45701</v>
      </c>
      <c r="C22" s="45" t="s">
        <v>21</v>
      </c>
      <c r="D22" s="47" t="s">
        <v>168</v>
      </c>
      <c r="E22" s="45" t="s">
        <v>64</v>
      </c>
      <c r="F22" s="45" t="s">
        <v>65</v>
      </c>
      <c r="G22" s="45" t="s">
        <v>30</v>
      </c>
      <c r="H22" s="45" t="s">
        <v>1661</v>
      </c>
      <c r="I22" s="45" t="s">
        <v>1662</v>
      </c>
      <c r="J22" s="45">
        <v>575045730</v>
      </c>
      <c r="K22" s="45" t="s">
        <v>56</v>
      </c>
      <c r="L22" s="48">
        <v>160</v>
      </c>
      <c r="M22" s="49">
        <v>202411041108</v>
      </c>
      <c r="N22" s="50" t="s">
        <v>28</v>
      </c>
      <c r="O22" s="50"/>
      <c r="P22" s="50"/>
      <c r="Q22" s="51"/>
      <c r="R22" s="50"/>
      <c r="S22" s="50"/>
      <c r="T22" s="51"/>
      <c r="U22" s="50"/>
    </row>
    <row r="23" spans="1:21" x14ac:dyDescent="0.25">
      <c r="A23" s="45" t="s">
        <v>29</v>
      </c>
      <c r="B23" s="46">
        <v>45701</v>
      </c>
      <c r="C23" s="45" t="s">
        <v>21</v>
      </c>
      <c r="D23" s="47" t="s">
        <v>168</v>
      </c>
      <c r="E23" s="45" t="s">
        <v>64</v>
      </c>
      <c r="F23" s="45" t="s">
        <v>65</v>
      </c>
      <c r="G23" s="45" t="s">
        <v>30</v>
      </c>
      <c r="H23" s="45" t="s">
        <v>128</v>
      </c>
      <c r="I23" s="45" t="s">
        <v>1663</v>
      </c>
      <c r="J23" s="45">
        <v>575231819</v>
      </c>
      <c r="K23" s="45" t="s">
        <v>56</v>
      </c>
      <c r="L23" s="48">
        <v>333.36</v>
      </c>
      <c r="M23" s="49">
        <v>20241104988</v>
      </c>
      <c r="N23" s="50" t="s">
        <v>28</v>
      </c>
      <c r="O23" s="50"/>
      <c r="P23" s="50"/>
      <c r="Q23" s="51"/>
      <c r="R23" s="50"/>
      <c r="S23" s="50"/>
      <c r="T23" s="51"/>
      <c r="U23" s="50"/>
    </row>
    <row r="24" spans="1:21" ht="75" x14ac:dyDescent="0.25">
      <c r="A24" s="45" t="s">
        <v>20</v>
      </c>
      <c r="B24" s="46">
        <v>45701</v>
      </c>
      <c r="C24" s="45" t="s">
        <v>21</v>
      </c>
      <c r="D24" s="47" t="s">
        <v>168</v>
      </c>
      <c r="E24" s="45" t="s">
        <v>64</v>
      </c>
      <c r="F24" s="45" t="s">
        <v>65</v>
      </c>
      <c r="G24" s="45" t="s">
        <v>30</v>
      </c>
      <c r="H24" s="45" t="s">
        <v>128</v>
      </c>
      <c r="I24" s="45" t="s">
        <v>1663</v>
      </c>
      <c r="J24" s="45">
        <v>575231819</v>
      </c>
      <c r="K24" s="45" t="s">
        <v>1543</v>
      </c>
      <c r="L24" s="48">
        <v>464.12</v>
      </c>
      <c r="M24" s="49">
        <v>202411041054</v>
      </c>
      <c r="N24" s="50"/>
      <c r="O24" s="50" t="s">
        <v>124</v>
      </c>
      <c r="P24" s="50"/>
      <c r="Q24" s="51" t="s">
        <v>1664</v>
      </c>
      <c r="R24" s="50"/>
      <c r="S24" s="50"/>
      <c r="T24" s="51"/>
      <c r="U24" s="50"/>
    </row>
    <row r="25" spans="1:21" x14ac:dyDescent="0.25">
      <c r="A25" s="45" t="s">
        <v>20</v>
      </c>
      <c r="B25" s="46">
        <v>45701</v>
      </c>
      <c r="C25" s="45" t="s">
        <v>244</v>
      </c>
      <c r="D25" s="47" t="s">
        <v>168</v>
      </c>
      <c r="E25" s="45" t="s">
        <v>64</v>
      </c>
      <c r="F25" s="45" t="s">
        <v>65</v>
      </c>
      <c r="G25" s="45" t="s">
        <v>30</v>
      </c>
      <c r="H25" s="45" t="s">
        <v>1665</v>
      </c>
      <c r="I25" s="45" t="s">
        <v>1666</v>
      </c>
      <c r="J25" s="45">
        <v>575278263</v>
      </c>
      <c r="K25" s="45" t="s">
        <v>999</v>
      </c>
      <c r="L25" s="48">
        <v>28.67</v>
      </c>
      <c r="M25" s="49">
        <v>20241108456</v>
      </c>
      <c r="N25" s="50" t="s">
        <v>28</v>
      </c>
      <c r="O25" s="50"/>
      <c r="P25" s="50"/>
      <c r="Q25" s="51"/>
      <c r="R25" s="50"/>
      <c r="S25" s="50"/>
      <c r="T25" s="51"/>
      <c r="U25" s="50"/>
    </row>
    <row r="26" spans="1:21" x14ac:dyDescent="0.25">
      <c r="A26" s="45" t="s">
        <v>20</v>
      </c>
      <c r="B26" s="46">
        <v>45701</v>
      </c>
      <c r="C26" s="45" t="s">
        <v>244</v>
      </c>
      <c r="D26" s="47" t="s">
        <v>168</v>
      </c>
      <c r="E26" s="45" t="s">
        <v>64</v>
      </c>
      <c r="F26" s="45" t="s">
        <v>65</v>
      </c>
      <c r="G26" s="45" t="s">
        <v>30</v>
      </c>
      <c r="H26" s="45" t="s">
        <v>1665</v>
      </c>
      <c r="I26" s="45" t="s">
        <v>1666</v>
      </c>
      <c r="J26" s="45">
        <v>575278263</v>
      </c>
      <c r="K26" s="45" t="s">
        <v>382</v>
      </c>
      <c r="L26" s="48">
        <v>168.58</v>
      </c>
      <c r="M26" s="49">
        <v>20241108457</v>
      </c>
      <c r="N26" s="50" t="s">
        <v>28</v>
      </c>
      <c r="O26" s="50"/>
      <c r="P26" s="50"/>
      <c r="Q26" s="51"/>
      <c r="R26" s="50"/>
      <c r="S26" s="50"/>
      <c r="T26" s="51"/>
      <c r="U26" s="50"/>
    </row>
    <row r="27" spans="1:21" x14ac:dyDescent="0.25">
      <c r="A27" s="45" t="s">
        <v>20</v>
      </c>
      <c r="B27" s="46">
        <v>45701</v>
      </c>
      <c r="C27" s="45" t="s">
        <v>244</v>
      </c>
      <c r="D27" s="47" t="s">
        <v>168</v>
      </c>
      <c r="E27" s="45" t="s">
        <v>64</v>
      </c>
      <c r="F27" s="45" t="s">
        <v>65</v>
      </c>
      <c r="G27" s="45" t="s">
        <v>30</v>
      </c>
      <c r="H27" s="45" t="s">
        <v>1665</v>
      </c>
      <c r="I27" s="45" t="s">
        <v>1666</v>
      </c>
      <c r="J27" s="45">
        <v>575278263</v>
      </c>
      <c r="K27" s="45" t="s">
        <v>382</v>
      </c>
      <c r="L27" s="48">
        <v>87.33</v>
      </c>
      <c r="M27" s="49">
        <v>20241108458</v>
      </c>
      <c r="N27" s="50" t="s">
        <v>28</v>
      </c>
      <c r="O27" s="50"/>
      <c r="P27" s="50"/>
      <c r="Q27" s="51"/>
      <c r="R27" s="50"/>
      <c r="S27" s="50"/>
      <c r="T27" s="51"/>
      <c r="U27" s="50"/>
    </row>
    <row r="28" spans="1:21" x14ac:dyDescent="0.25">
      <c r="A28" s="45" t="s">
        <v>20</v>
      </c>
      <c r="B28" s="46">
        <v>45701</v>
      </c>
      <c r="C28" s="45" t="s">
        <v>244</v>
      </c>
      <c r="D28" s="47" t="s">
        <v>168</v>
      </c>
      <c r="E28" s="45" t="s">
        <v>64</v>
      </c>
      <c r="F28" s="45" t="s">
        <v>65</v>
      </c>
      <c r="G28" s="45" t="s">
        <v>30</v>
      </c>
      <c r="H28" s="45" t="s">
        <v>1667</v>
      </c>
      <c r="I28" s="45" t="s">
        <v>1668</v>
      </c>
      <c r="J28" s="45">
        <v>575359801</v>
      </c>
      <c r="K28" s="45" t="s">
        <v>403</v>
      </c>
      <c r="L28" s="48">
        <v>9.9700000000000006</v>
      </c>
      <c r="M28" s="49">
        <v>202411041122</v>
      </c>
      <c r="N28" s="50" t="s">
        <v>28</v>
      </c>
      <c r="O28" s="50"/>
      <c r="P28" s="50"/>
      <c r="Q28" s="51"/>
      <c r="R28" s="50"/>
      <c r="S28" s="50"/>
      <c r="T28" s="51"/>
      <c r="U28" s="50"/>
    </row>
    <row r="29" spans="1:21" x14ac:dyDescent="0.25">
      <c r="A29" s="45" t="s">
        <v>20</v>
      </c>
      <c r="B29" s="46">
        <v>45701</v>
      </c>
      <c r="C29" s="45" t="s">
        <v>244</v>
      </c>
      <c r="D29" s="47" t="s">
        <v>168</v>
      </c>
      <c r="E29" s="45" t="s">
        <v>64</v>
      </c>
      <c r="F29" s="45" t="s">
        <v>65</v>
      </c>
      <c r="G29" s="45" t="s">
        <v>30</v>
      </c>
      <c r="H29" s="45" t="s">
        <v>1667</v>
      </c>
      <c r="I29" s="45" t="s">
        <v>1668</v>
      </c>
      <c r="J29" s="45">
        <v>575359801</v>
      </c>
      <c r="K29" s="45" t="s">
        <v>1593</v>
      </c>
      <c r="L29" s="48">
        <v>8.0299999999999994</v>
      </c>
      <c r="M29" s="49">
        <v>202411041003</v>
      </c>
      <c r="N29" s="50" t="s">
        <v>28</v>
      </c>
      <c r="O29" s="50"/>
      <c r="P29" s="50"/>
      <c r="Q29" s="51"/>
      <c r="R29" s="50"/>
      <c r="S29" s="50"/>
      <c r="T29" s="51"/>
      <c r="U29" s="50"/>
    </row>
    <row r="30" spans="1:21" x14ac:dyDescent="0.25">
      <c r="A30" s="45" t="s">
        <v>20</v>
      </c>
      <c r="B30" s="46">
        <v>45701</v>
      </c>
      <c r="C30" s="45" t="s">
        <v>244</v>
      </c>
      <c r="D30" s="47" t="s">
        <v>168</v>
      </c>
      <c r="E30" s="45" t="s">
        <v>64</v>
      </c>
      <c r="F30" s="45" t="s">
        <v>65</v>
      </c>
      <c r="G30" s="45" t="s">
        <v>30</v>
      </c>
      <c r="H30" s="45" t="s">
        <v>1667</v>
      </c>
      <c r="I30" s="45" t="s">
        <v>1668</v>
      </c>
      <c r="J30" s="45">
        <v>575359801</v>
      </c>
      <c r="K30" s="45" t="s">
        <v>86</v>
      </c>
      <c r="L30" s="48">
        <v>15.59</v>
      </c>
      <c r="M30" s="49">
        <v>202411041015</v>
      </c>
      <c r="N30" s="50" t="s">
        <v>28</v>
      </c>
      <c r="O30" s="50"/>
      <c r="P30" s="50"/>
      <c r="Q30" s="51"/>
      <c r="R30" s="50"/>
      <c r="S30" s="50"/>
      <c r="T30" s="51"/>
      <c r="U30" s="50"/>
    </row>
    <row r="31" spans="1:21" x14ac:dyDescent="0.25">
      <c r="A31" s="45" t="s">
        <v>20</v>
      </c>
      <c r="B31" s="46">
        <v>45701</v>
      </c>
      <c r="C31" s="45" t="s">
        <v>244</v>
      </c>
      <c r="D31" s="47" t="s">
        <v>168</v>
      </c>
      <c r="E31" s="45" t="s">
        <v>64</v>
      </c>
      <c r="F31" s="45" t="s">
        <v>65</v>
      </c>
      <c r="G31" s="45" t="s">
        <v>30</v>
      </c>
      <c r="H31" s="45" t="s">
        <v>1667</v>
      </c>
      <c r="I31" s="45" t="s">
        <v>1668</v>
      </c>
      <c r="J31" s="45">
        <v>575359801</v>
      </c>
      <c r="K31" s="45" t="s">
        <v>399</v>
      </c>
      <c r="L31" s="48">
        <v>13.21</v>
      </c>
      <c r="M31" s="49">
        <v>20241104986</v>
      </c>
      <c r="N31" s="50" t="s">
        <v>28</v>
      </c>
      <c r="O31" s="50"/>
      <c r="P31" s="50"/>
      <c r="Q31" s="51"/>
      <c r="R31" s="50"/>
      <c r="S31" s="50"/>
      <c r="T31" s="51"/>
      <c r="U31" s="50"/>
    </row>
    <row r="32" spans="1:21" x14ac:dyDescent="0.25">
      <c r="A32" s="45" t="s">
        <v>20</v>
      </c>
      <c r="B32" s="46">
        <v>45701</v>
      </c>
      <c r="C32" s="45" t="s">
        <v>244</v>
      </c>
      <c r="D32" s="47" t="s">
        <v>114</v>
      </c>
      <c r="E32" s="45" t="s">
        <v>609</v>
      </c>
      <c r="F32" s="45" t="s">
        <v>610</v>
      </c>
      <c r="G32" s="45" t="s">
        <v>148</v>
      </c>
      <c r="H32" s="45" t="s">
        <v>1538</v>
      </c>
      <c r="I32" s="45" t="s">
        <v>1539</v>
      </c>
      <c r="J32" s="45">
        <v>575512779</v>
      </c>
      <c r="K32" s="45" t="s">
        <v>147</v>
      </c>
      <c r="L32" s="48">
        <v>34.25</v>
      </c>
      <c r="M32" s="49">
        <v>20241028274</v>
      </c>
      <c r="N32" s="50" t="s">
        <v>28</v>
      </c>
      <c r="O32" s="50"/>
      <c r="P32" s="50"/>
      <c r="Q32" s="51"/>
      <c r="R32" s="50"/>
      <c r="S32" s="50"/>
      <c r="T32" s="51"/>
      <c r="U32" s="50"/>
    </row>
    <row r="33" spans="1:21" x14ac:dyDescent="0.25">
      <c r="A33" s="45" t="s">
        <v>20</v>
      </c>
      <c r="B33" s="46">
        <v>45701</v>
      </c>
      <c r="C33" s="45" t="s">
        <v>244</v>
      </c>
      <c r="D33" s="47" t="s">
        <v>114</v>
      </c>
      <c r="E33" s="45" t="s">
        <v>107</v>
      </c>
      <c r="F33" s="45" t="s">
        <v>108</v>
      </c>
      <c r="G33" s="45" t="s">
        <v>1669</v>
      </c>
      <c r="H33" s="45" t="s">
        <v>1670</v>
      </c>
      <c r="I33" s="45" t="s">
        <v>1671</v>
      </c>
      <c r="J33" s="45">
        <v>529355226</v>
      </c>
      <c r="K33" s="45" t="s">
        <v>1230</v>
      </c>
      <c r="L33" s="48">
        <v>60</v>
      </c>
      <c r="M33" s="49">
        <v>20241107620</v>
      </c>
      <c r="N33" s="50" t="s">
        <v>28</v>
      </c>
      <c r="O33" s="50"/>
      <c r="P33" s="50"/>
      <c r="Q33" s="51"/>
      <c r="R33" s="50"/>
      <c r="S33" s="50"/>
      <c r="T33" s="51"/>
      <c r="U33" s="50"/>
    </row>
    <row r="34" spans="1:21" x14ac:dyDescent="0.25">
      <c r="A34" s="45" t="s">
        <v>29</v>
      </c>
      <c r="B34" s="46">
        <v>45701</v>
      </c>
      <c r="C34" s="45" t="s">
        <v>244</v>
      </c>
      <c r="D34" s="47" t="s">
        <v>114</v>
      </c>
      <c r="E34" s="45" t="s">
        <v>107</v>
      </c>
      <c r="F34" s="45" t="s">
        <v>108</v>
      </c>
      <c r="G34" s="45" t="s">
        <v>967</v>
      </c>
      <c r="H34" s="45" t="s">
        <v>214</v>
      </c>
      <c r="I34" s="45" t="s">
        <v>297</v>
      </c>
      <c r="J34" s="45">
        <v>529539453</v>
      </c>
      <c r="K34" s="45" t="s">
        <v>301</v>
      </c>
      <c r="L34" s="48">
        <v>287.5</v>
      </c>
      <c r="M34" s="49">
        <v>20241107549</v>
      </c>
      <c r="N34" s="50" t="s">
        <v>28</v>
      </c>
      <c r="O34" s="50"/>
      <c r="P34" s="50"/>
      <c r="Q34" s="51"/>
      <c r="R34" s="50"/>
      <c r="S34" s="50"/>
      <c r="T34" s="51"/>
      <c r="U34" s="50"/>
    </row>
    <row r="35" spans="1:21" x14ac:dyDescent="0.25">
      <c r="A35" s="45" t="s">
        <v>20</v>
      </c>
      <c r="B35" s="46">
        <v>45701</v>
      </c>
      <c r="C35" s="45" t="s">
        <v>244</v>
      </c>
      <c r="D35" s="47" t="s">
        <v>114</v>
      </c>
      <c r="E35" s="45" t="s">
        <v>107</v>
      </c>
      <c r="F35" s="45" t="s">
        <v>108</v>
      </c>
      <c r="G35" s="45" t="s">
        <v>1672</v>
      </c>
      <c r="H35" s="45" t="s">
        <v>345</v>
      </c>
      <c r="I35" s="45" t="s">
        <v>1673</v>
      </c>
      <c r="J35" s="45">
        <v>529599253</v>
      </c>
      <c r="K35" s="45" t="s">
        <v>1071</v>
      </c>
      <c r="L35" s="48">
        <v>114.62</v>
      </c>
      <c r="M35" s="49">
        <v>20241107712</v>
      </c>
      <c r="N35" s="50" t="s">
        <v>28</v>
      </c>
      <c r="O35" s="50"/>
      <c r="P35" s="50"/>
      <c r="Q35" s="51"/>
      <c r="R35" s="50"/>
      <c r="S35" s="50"/>
      <c r="T35" s="51"/>
      <c r="U35" s="50"/>
    </row>
    <row r="36" spans="1:21" x14ac:dyDescent="0.25">
      <c r="A36" s="45" t="s">
        <v>29</v>
      </c>
      <c r="B36" s="46">
        <v>45701</v>
      </c>
      <c r="C36" s="45" t="s">
        <v>244</v>
      </c>
      <c r="D36" s="47" t="s">
        <v>114</v>
      </c>
      <c r="E36" s="45" t="s">
        <v>107</v>
      </c>
      <c r="F36" s="45" t="s">
        <v>108</v>
      </c>
      <c r="G36" s="45" t="s">
        <v>1674</v>
      </c>
      <c r="H36" s="45" t="s">
        <v>1675</v>
      </c>
      <c r="I36" s="45" t="s">
        <v>1676</v>
      </c>
      <c r="J36" s="45">
        <v>529599873</v>
      </c>
      <c r="K36" s="45" t="s">
        <v>48</v>
      </c>
      <c r="L36" s="48">
        <v>1153.83</v>
      </c>
      <c r="M36" s="49">
        <v>20241105767</v>
      </c>
      <c r="N36" s="50" t="s">
        <v>28</v>
      </c>
      <c r="O36" s="50"/>
      <c r="P36" s="50"/>
      <c r="Q36" s="51"/>
      <c r="R36" s="50"/>
      <c r="S36" s="50"/>
      <c r="T36" s="51"/>
      <c r="U36" s="50"/>
    </row>
    <row r="37" spans="1:21" x14ac:dyDescent="0.25">
      <c r="A37" s="45" t="s">
        <v>20</v>
      </c>
      <c r="B37" s="46">
        <v>45701</v>
      </c>
      <c r="C37" s="45" t="s">
        <v>244</v>
      </c>
      <c r="D37" s="47" t="s">
        <v>114</v>
      </c>
      <c r="E37" s="45" t="s">
        <v>107</v>
      </c>
      <c r="F37" s="45" t="s">
        <v>108</v>
      </c>
      <c r="G37" s="45" t="s">
        <v>1677</v>
      </c>
      <c r="H37" s="45" t="s">
        <v>341</v>
      </c>
      <c r="I37" s="45" t="s">
        <v>1678</v>
      </c>
      <c r="J37" s="45">
        <v>529694175</v>
      </c>
      <c r="K37" s="45" t="s">
        <v>416</v>
      </c>
      <c r="L37" s="48">
        <v>515.95000000000005</v>
      </c>
      <c r="M37" s="49">
        <v>20241108404</v>
      </c>
      <c r="N37" s="50" t="s">
        <v>28</v>
      </c>
      <c r="O37" s="50"/>
      <c r="P37" s="50"/>
      <c r="Q37" s="51"/>
      <c r="R37" s="50"/>
      <c r="S37" s="50"/>
      <c r="T37" s="51"/>
      <c r="U37" s="50"/>
    </row>
    <row r="38" spans="1:21" x14ac:dyDescent="0.25">
      <c r="A38" s="45" t="s">
        <v>20</v>
      </c>
      <c r="B38" s="46">
        <v>45701</v>
      </c>
      <c r="C38" s="45" t="s">
        <v>244</v>
      </c>
      <c r="D38" s="47" t="s">
        <v>114</v>
      </c>
      <c r="E38" s="45" t="s">
        <v>107</v>
      </c>
      <c r="F38" s="45" t="s">
        <v>108</v>
      </c>
      <c r="G38" s="45" t="s">
        <v>1679</v>
      </c>
      <c r="H38" s="45" t="s">
        <v>1680</v>
      </c>
      <c r="I38" s="45" t="s">
        <v>1656</v>
      </c>
      <c r="J38" s="45">
        <v>529754005</v>
      </c>
      <c r="K38" s="45" t="s">
        <v>1036</v>
      </c>
      <c r="L38" s="48">
        <v>1874.8</v>
      </c>
      <c r="M38" s="49">
        <v>20241107623</v>
      </c>
      <c r="N38" s="50" t="s">
        <v>28</v>
      </c>
      <c r="O38" s="50"/>
      <c r="P38" s="50"/>
      <c r="Q38" s="51"/>
      <c r="R38" s="50"/>
      <c r="S38" s="50"/>
      <c r="T38" s="51"/>
      <c r="U38" s="50"/>
    </row>
    <row r="39" spans="1:21" ht="30" x14ac:dyDescent="0.25">
      <c r="A39" s="45" t="s">
        <v>20</v>
      </c>
      <c r="B39" s="46">
        <v>45701</v>
      </c>
      <c r="C39" s="45" t="s">
        <v>244</v>
      </c>
      <c r="D39" s="47" t="s">
        <v>114</v>
      </c>
      <c r="E39" s="45" t="s">
        <v>107</v>
      </c>
      <c r="F39" s="45" t="s">
        <v>108</v>
      </c>
      <c r="G39" s="45" t="s">
        <v>1475</v>
      </c>
      <c r="H39" s="45" t="s">
        <v>1681</v>
      </c>
      <c r="I39" s="45" t="s">
        <v>1300</v>
      </c>
      <c r="J39" s="45">
        <v>529756837</v>
      </c>
      <c r="K39" s="45" t="s">
        <v>1682</v>
      </c>
      <c r="L39" s="48">
        <v>275.99</v>
      </c>
      <c r="M39" s="49">
        <v>20241105763</v>
      </c>
      <c r="N39" s="50"/>
      <c r="O39" s="50"/>
      <c r="P39" s="50" t="s">
        <v>304</v>
      </c>
      <c r="Q39" s="51" t="s">
        <v>1683</v>
      </c>
      <c r="R39" s="50"/>
      <c r="S39" s="50"/>
      <c r="T39" s="51"/>
      <c r="U39" s="50"/>
    </row>
    <row r="40" spans="1:21" x14ac:dyDescent="0.25">
      <c r="A40" s="45" t="s">
        <v>20</v>
      </c>
      <c r="B40" s="46">
        <v>45701</v>
      </c>
      <c r="C40" s="45" t="s">
        <v>34</v>
      </c>
      <c r="D40" s="47" t="s">
        <v>114</v>
      </c>
      <c r="E40" s="45" t="s">
        <v>107</v>
      </c>
      <c r="F40" s="45" t="s">
        <v>108</v>
      </c>
      <c r="G40" s="45" t="s">
        <v>1475</v>
      </c>
      <c r="H40" s="45" t="s">
        <v>1681</v>
      </c>
      <c r="I40" s="45" t="s">
        <v>1300</v>
      </c>
      <c r="J40" s="45">
        <v>529756837</v>
      </c>
      <c r="K40" s="45" t="s">
        <v>62</v>
      </c>
      <c r="L40" s="48">
        <v>680</v>
      </c>
      <c r="M40" s="49">
        <v>20241105765</v>
      </c>
      <c r="N40" s="50" t="s">
        <v>28</v>
      </c>
      <c r="O40" s="50"/>
      <c r="P40" s="50"/>
      <c r="Q40" s="51"/>
      <c r="R40" s="50"/>
      <c r="S40" s="50"/>
      <c r="T40" s="51"/>
      <c r="U40" s="50"/>
    </row>
    <row r="41" spans="1:21" x14ac:dyDescent="0.25">
      <c r="A41" s="45" t="s">
        <v>20</v>
      </c>
      <c r="B41" s="46">
        <v>45701</v>
      </c>
      <c r="C41" s="45" t="s">
        <v>34</v>
      </c>
      <c r="D41" s="47" t="s">
        <v>114</v>
      </c>
      <c r="E41" s="45" t="s">
        <v>107</v>
      </c>
      <c r="F41" s="45" t="s">
        <v>108</v>
      </c>
      <c r="G41" s="45" t="s">
        <v>1475</v>
      </c>
      <c r="H41" s="45" t="s">
        <v>1681</v>
      </c>
      <c r="I41" s="45" t="s">
        <v>1300</v>
      </c>
      <c r="J41" s="45">
        <v>529756837</v>
      </c>
      <c r="K41" s="45" t="s">
        <v>1491</v>
      </c>
      <c r="L41" s="48">
        <v>125</v>
      </c>
      <c r="M41" s="49">
        <v>20241105779</v>
      </c>
      <c r="N41" s="50" t="s">
        <v>28</v>
      </c>
      <c r="O41" s="50"/>
      <c r="P41" s="50"/>
      <c r="Q41" s="51"/>
      <c r="R41" s="50"/>
      <c r="S41" s="50"/>
      <c r="T41" s="51"/>
      <c r="U41" s="50"/>
    </row>
    <row r="42" spans="1:21" x14ac:dyDescent="0.25">
      <c r="A42" s="45" t="s">
        <v>20</v>
      </c>
      <c r="B42" s="46">
        <v>45701</v>
      </c>
      <c r="C42" s="45" t="s">
        <v>34</v>
      </c>
      <c r="D42" s="47" t="s">
        <v>114</v>
      </c>
      <c r="E42" s="45" t="s">
        <v>107</v>
      </c>
      <c r="F42" s="45" t="s">
        <v>108</v>
      </c>
      <c r="G42" s="45" t="s">
        <v>1684</v>
      </c>
      <c r="H42" s="45" t="s">
        <v>866</v>
      </c>
      <c r="I42" s="45" t="s">
        <v>1685</v>
      </c>
      <c r="J42" s="45">
        <v>529796020</v>
      </c>
      <c r="K42" s="45" t="s">
        <v>1686</v>
      </c>
      <c r="L42" s="48">
        <v>49.99</v>
      </c>
      <c r="M42" s="49">
        <v>20241106630</v>
      </c>
      <c r="N42" s="50" t="s">
        <v>28</v>
      </c>
      <c r="O42" s="50"/>
      <c r="P42" s="50"/>
      <c r="Q42" s="51"/>
      <c r="R42" s="50"/>
      <c r="S42" s="50"/>
      <c r="T42" s="51"/>
      <c r="U42" s="50"/>
    </row>
    <row r="43" spans="1:21" ht="45" x14ac:dyDescent="0.25">
      <c r="A43" s="45" t="s">
        <v>20</v>
      </c>
      <c r="B43" s="46">
        <v>45701</v>
      </c>
      <c r="C43" s="45" t="s">
        <v>34</v>
      </c>
      <c r="D43" s="47" t="s">
        <v>114</v>
      </c>
      <c r="E43" s="45" t="s">
        <v>107</v>
      </c>
      <c r="F43" s="45" t="s">
        <v>108</v>
      </c>
      <c r="G43" s="45" t="s">
        <v>1475</v>
      </c>
      <c r="H43" s="45" t="s">
        <v>1687</v>
      </c>
      <c r="I43" s="45" t="s">
        <v>1070</v>
      </c>
      <c r="J43" s="45">
        <v>529957418</v>
      </c>
      <c r="K43" s="45" t="s">
        <v>730</v>
      </c>
      <c r="L43" s="48">
        <v>398.18</v>
      </c>
      <c r="M43" s="49">
        <v>20241105781</v>
      </c>
      <c r="N43" s="50"/>
      <c r="O43" s="50" t="s">
        <v>124</v>
      </c>
      <c r="P43" s="50"/>
      <c r="Q43" s="51" t="s">
        <v>1688</v>
      </c>
      <c r="R43" s="50"/>
      <c r="S43" s="50"/>
      <c r="T43" s="51"/>
      <c r="U43" s="50"/>
    </row>
    <row r="44" spans="1:21" x14ac:dyDescent="0.25">
      <c r="A44" s="45" t="s">
        <v>20</v>
      </c>
      <c r="B44" s="46">
        <v>45701</v>
      </c>
      <c r="C44" s="45" t="s">
        <v>34</v>
      </c>
      <c r="D44" s="47" t="s">
        <v>114</v>
      </c>
      <c r="E44" s="45" t="s">
        <v>107</v>
      </c>
      <c r="F44" s="45" t="s">
        <v>108</v>
      </c>
      <c r="G44" s="45" t="s">
        <v>1689</v>
      </c>
      <c r="H44" s="45" t="s">
        <v>1690</v>
      </c>
      <c r="I44" s="45" t="s">
        <v>1691</v>
      </c>
      <c r="J44" s="45">
        <v>529957640</v>
      </c>
      <c r="K44" s="45" t="s">
        <v>53</v>
      </c>
      <c r="L44" s="48">
        <v>70</v>
      </c>
      <c r="M44" s="49">
        <v>20241108403</v>
      </c>
      <c r="N44" s="50" t="s">
        <v>28</v>
      </c>
      <c r="O44" s="50"/>
      <c r="P44" s="50"/>
      <c r="Q44" s="51"/>
      <c r="R44" s="50"/>
      <c r="S44" s="50"/>
      <c r="T44" s="51"/>
      <c r="U44" s="50"/>
    </row>
    <row r="45" spans="1:21" ht="45" x14ac:dyDescent="0.25">
      <c r="A45" s="45" t="s">
        <v>29</v>
      </c>
      <c r="B45" s="46">
        <v>45701</v>
      </c>
      <c r="C45" s="45" t="s">
        <v>34</v>
      </c>
      <c r="D45" s="47" t="s">
        <v>114</v>
      </c>
      <c r="E45" s="45" t="s">
        <v>107</v>
      </c>
      <c r="F45" s="45" t="s">
        <v>108</v>
      </c>
      <c r="G45" s="45" t="s">
        <v>1059</v>
      </c>
      <c r="H45" s="45" t="s">
        <v>1692</v>
      </c>
      <c r="I45" s="45" t="s">
        <v>1693</v>
      </c>
      <c r="J45" s="45">
        <v>529971773</v>
      </c>
      <c r="K45" s="45" t="s">
        <v>56</v>
      </c>
      <c r="L45" s="48">
        <v>315</v>
      </c>
      <c r="M45" s="49">
        <v>20241107443</v>
      </c>
      <c r="N45" s="50"/>
      <c r="O45" s="50" t="s">
        <v>124</v>
      </c>
      <c r="P45" s="50"/>
      <c r="Q45" s="51" t="s">
        <v>1694</v>
      </c>
      <c r="R45" s="50"/>
      <c r="S45" s="50"/>
      <c r="T45" s="51"/>
      <c r="U45" s="50"/>
    </row>
    <row r="46" spans="1:21" x14ac:dyDescent="0.25">
      <c r="A46" s="45" t="s">
        <v>756</v>
      </c>
      <c r="B46" s="46">
        <v>45701</v>
      </c>
      <c r="C46" s="45" t="s">
        <v>34</v>
      </c>
      <c r="D46" s="47" t="s">
        <v>114</v>
      </c>
      <c r="E46" s="45" t="s">
        <v>107</v>
      </c>
      <c r="F46" s="45" t="s">
        <v>108</v>
      </c>
      <c r="G46" s="45" t="s">
        <v>995</v>
      </c>
      <c r="H46" s="45" t="s">
        <v>1695</v>
      </c>
      <c r="I46" s="45" t="s">
        <v>1696</v>
      </c>
      <c r="J46" s="45">
        <v>530780412</v>
      </c>
      <c r="K46" s="45" t="s">
        <v>1358</v>
      </c>
      <c r="L46" s="48">
        <v>300</v>
      </c>
      <c r="M46" s="49">
        <v>20241107427</v>
      </c>
      <c r="N46" s="50" t="s">
        <v>28</v>
      </c>
      <c r="O46" s="50"/>
      <c r="P46" s="50"/>
      <c r="Q46" s="51"/>
      <c r="R46" s="50"/>
      <c r="S46" s="50"/>
      <c r="T46" s="51"/>
      <c r="U46" s="50"/>
    </row>
    <row r="47" spans="1:21" x14ac:dyDescent="0.25">
      <c r="A47" s="45" t="s">
        <v>20</v>
      </c>
      <c r="B47" s="46">
        <v>45701</v>
      </c>
      <c r="C47" s="45" t="s">
        <v>34</v>
      </c>
      <c r="D47" s="47" t="s">
        <v>114</v>
      </c>
      <c r="E47" s="45" t="s">
        <v>107</v>
      </c>
      <c r="F47" s="45" t="s">
        <v>108</v>
      </c>
      <c r="G47" s="45" t="s">
        <v>1697</v>
      </c>
      <c r="H47" s="45" t="s">
        <v>1698</v>
      </c>
      <c r="I47" s="45" t="s">
        <v>1699</v>
      </c>
      <c r="J47" s="45">
        <v>533430135</v>
      </c>
      <c r="K47" s="45" t="s">
        <v>1686</v>
      </c>
      <c r="L47" s="48">
        <v>130.88999999999999</v>
      </c>
      <c r="M47" s="49">
        <v>20241107454</v>
      </c>
      <c r="N47" s="50" t="s">
        <v>28</v>
      </c>
      <c r="O47" s="50"/>
      <c r="P47" s="50"/>
      <c r="Q47" s="51"/>
      <c r="R47" s="50"/>
      <c r="S47" s="50"/>
      <c r="T47" s="51"/>
      <c r="U47" s="50"/>
    </row>
    <row r="48" spans="1:21" x14ac:dyDescent="0.25">
      <c r="A48" s="45" t="s">
        <v>20</v>
      </c>
      <c r="B48" s="46">
        <v>45701</v>
      </c>
      <c r="C48" s="45" t="s">
        <v>34</v>
      </c>
      <c r="D48" s="47" t="s">
        <v>114</v>
      </c>
      <c r="E48" s="45" t="s">
        <v>155</v>
      </c>
      <c r="F48" s="45" t="s">
        <v>156</v>
      </c>
      <c r="G48" s="45" t="s">
        <v>326</v>
      </c>
      <c r="H48" s="45" t="s">
        <v>1700</v>
      </c>
      <c r="I48" s="45" t="s">
        <v>1701</v>
      </c>
      <c r="J48" s="45">
        <v>280723803</v>
      </c>
      <c r="K48" s="45" t="s">
        <v>1702</v>
      </c>
      <c r="L48" s="48">
        <v>275</v>
      </c>
      <c r="M48" s="49">
        <v>20241105808</v>
      </c>
      <c r="N48" s="50" t="s">
        <v>28</v>
      </c>
      <c r="O48" s="50"/>
      <c r="P48" s="50"/>
      <c r="Q48" s="51"/>
      <c r="R48" s="50"/>
      <c r="S48" s="50"/>
      <c r="T48" s="51"/>
      <c r="U48" s="50"/>
    </row>
    <row r="49" spans="1:21" x14ac:dyDescent="0.25">
      <c r="A49" s="45" t="s">
        <v>29</v>
      </c>
      <c r="B49" s="46">
        <v>45701</v>
      </c>
      <c r="C49" s="45" t="s">
        <v>34</v>
      </c>
      <c r="D49" s="47" t="s">
        <v>114</v>
      </c>
      <c r="E49" s="45" t="s">
        <v>176</v>
      </c>
      <c r="F49" s="45" t="s">
        <v>177</v>
      </c>
      <c r="G49" s="45" t="s">
        <v>1483</v>
      </c>
      <c r="H49" s="45" t="s">
        <v>1703</v>
      </c>
      <c r="I49" s="45" t="s">
        <v>1704</v>
      </c>
      <c r="J49" s="45">
        <v>529874541</v>
      </c>
      <c r="K49" s="45" t="s">
        <v>48</v>
      </c>
      <c r="L49" s="48">
        <v>416.66</v>
      </c>
      <c r="M49" s="49">
        <v>2024110484</v>
      </c>
      <c r="N49" s="50" t="s">
        <v>28</v>
      </c>
      <c r="O49" s="50"/>
      <c r="P49" s="50"/>
      <c r="Q49" s="51"/>
      <c r="R49" s="50"/>
      <c r="S49" s="50"/>
      <c r="T49" s="51"/>
      <c r="U49" s="50"/>
    </row>
    <row r="50" spans="1:21" ht="25.5" x14ac:dyDescent="0.25">
      <c r="A50" s="45" t="s">
        <v>29</v>
      </c>
      <c r="B50" s="46">
        <v>45701</v>
      </c>
      <c r="C50" s="45" t="s">
        <v>34</v>
      </c>
      <c r="D50" s="47" t="s">
        <v>114</v>
      </c>
      <c r="E50" s="45" t="s">
        <v>176</v>
      </c>
      <c r="F50" s="45" t="s">
        <v>177</v>
      </c>
      <c r="G50" s="45" t="s">
        <v>1705</v>
      </c>
      <c r="H50" s="45" t="s">
        <v>1706</v>
      </c>
      <c r="I50" s="45" t="s">
        <v>1707</v>
      </c>
      <c r="J50" s="45">
        <v>529911248</v>
      </c>
      <c r="K50" s="45" t="s">
        <v>56</v>
      </c>
      <c r="L50" s="48">
        <v>309</v>
      </c>
      <c r="M50" s="49">
        <v>20241106233</v>
      </c>
      <c r="N50" s="50" t="s">
        <v>28</v>
      </c>
      <c r="O50" s="50"/>
      <c r="P50" s="50"/>
      <c r="Q50" s="51"/>
      <c r="R50" s="50"/>
      <c r="S50" s="50"/>
      <c r="T50" s="51"/>
      <c r="U50" s="50"/>
    </row>
    <row r="51" spans="1:21" x14ac:dyDescent="0.25">
      <c r="A51" s="45" t="s">
        <v>29</v>
      </c>
      <c r="B51" s="46">
        <v>45701</v>
      </c>
      <c r="C51" s="45" t="s">
        <v>34</v>
      </c>
      <c r="D51" s="47" t="s">
        <v>114</v>
      </c>
      <c r="E51" s="45" t="s">
        <v>176</v>
      </c>
      <c r="F51" s="45" t="s">
        <v>177</v>
      </c>
      <c r="G51" s="45" t="s">
        <v>1483</v>
      </c>
      <c r="H51" s="45" t="s">
        <v>1708</v>
      </c>
      <c r="I51" s="45" t="s">
        <v>1709</v>
      </c>
      <c r="J51" s="45">
        <v>529914014</v>
      </c>
      <c r="K51" s="45" t="s">
        <v>1358</v>
      </c>
      <c r="L51" s="48">
        <v>525</v>
      </c>
      <c r="M51" s="49">
        <v>2024110483</v>
      </c>
      <c r="N51" s="50" t="s">
        <v>28</v>
      </c>
      <c r="O51" s="50"/>
      <c r="P51" s="50"/>
      <c r="Q51" s="51"/>
      <c r="R51" s="50"/>
      <c r="S51" s="50"/>
      <c r="T51" s="51"/>
      <c r="U51" s="50"/>
    </row>
    <row r="52" spans="1:21" x14ac:dyDescent="0.25">
      <c r="A52" s="45" t="s">
        <v>29</v>
      </c>
      <c r="B52" s="46">
        <v>45701</v>
      </c>
      <c r="C52" s="45" t="s">
        <v>34</v>
      </c>
      <c r="D52" s="47" t="s">
        <v>114</v>
      </c>
      <c r="E52" s="45" t="s">
        <v>176</v>
      </c>
      <c r="F52" s="45" t="s">
        <v>177</v>
      </c>
      <c r="G52" s="45" t="s">
        <v>1483</v>
      </c>
      <c r="H52" s="45" t="s">
        <v>1708</v>
      </c>
      <c r="I52" s="45" t="s">
        <v>1709</v>
      </c>
      <c r="J52" s="45">
        <v>529914014</v>
      </c>
      <c r="K52" s="45" t="s">
        <v>56</v>
      </c>
      <c r="L52" s="48">
        <v>525</v>
      </c>
      <c r="M52" s="49">
        <v>2024110482</v>
      </c>
      <c r="N52" s="50" t="s">
        <v>28</v>
      </c>
      <c r="O52" s="50"/>
      <c r="P52" s="50"/>
      <c r="Q52" s="51"/>
      <c r="R52" s="50"/>
      <c r="S52" s="50"/>
      <c r="T52" s="51"/>
      <c r="U52" s="50"/>
    </row>
    <row r="53" spans="1:21" x14ac:dyDescent="0.25">
      <c r="A53" s="45" t="s">
        <v>29</v>
      </c>
      <c r="B53" s="46">
        <v>45701</v>
      </c>
      <c r="C53" s="45" t="s">
        <v>34</v>
      </c>
      <c r="D53" s="47" t="s">
        <v>114</v>
      </c>
      <c r="E53" s="45" t="s">
        <v>176</v>
      </c>
      <c r="F53" s="45" t="s">
        <v>177</v>
      </c>
      <c r="G53" s="45" t="s">
        <v>1483</v>
      </c>
      <c r="H53" s="45" t="s">
        <v>1708</v>
      </c>
      <c r="I53" s="45" t="s">
        <v>1709</v>
      </c>
      <c r="J53" s="45">
        <v>529914014</v>
      </c>
      <c r="K53" s="45" t="s">
        <v>1358</v>
      </c>
      <c r="L53" s="48">
        <v>525</v>
      </c>
      <c r="M53" s="49">
        <v>2024110483</v>
      </c>
      <c r="N53" s="50" t="s">
        <v>28</v>
      </c>
      <c r="O53" s="50"/>
      <c r="P53" s="50"/>
      <c r="Q53" s="51"/>
      <c r="R53" s="50"/>
      <c r="S53" s="50"/>
      <c r="T53" s="51"/>
      <c r="U53" s="50"/>
    </row>
    <row r="54" spans="1:21" x14ac:dyDescent="0.25">
      <c r="A54" s="45" t="s">
        <v>29</v>
      </c>
      <c r="B54" s="46">
        <v>45701</v>
      </c>
      <c r="C54" s="45" t="s">
        <v>34</v>
      </c>
      <c r="D54" s="47" t="s">
        <v>114</v>
      </c>
      <c r="E54" s="45" t="s">
        <v>176</v>
      </c>
      <c r="F54" s="45" t="s">
        <v>177</v>
      </c>
      <c r="G54" s="45" t="s">
        <v>1710</v>
      </c>
      <c r="H54" s="45" t="s">
        <v>1711</v>
      </c>
      <c r="I54" s="45" t="s">
        <v>1712</v>
      </c>
      <c r="J54" s="45">
        <v>529937190</v>
      </c>
      <c r="K54" s="45" t="s">
        <v>301</v>
      </c>
      <c r="L54" s="48">
        <v>685</v>
      </c>
      <c r="M54" s="49">
        <v>20241106299</v>
      </c>
      <c r="N54" s="50" t="s">
        <v>28</v>
      </c>
      <c r="O54" s="50"/>
      <c r="P54" s="50"/>
      <c r="Q54" s="51"/>
      <c r="R54" s="50"/>
      <c r="S54" s="50"/>
      <c r="T54" s="51"/>
      <c r="U54" s="50"/>
    </row>
    <row r="55" spans="1:21" x14ac:dyDescent="0.25">
      <c r="A55" s="45" t="s">
        <v>20</v>
      </c>
      <c r="B55" s="46">
        <v>45701</v>
      </c>
      <c r="C55" s="45" t="s">
        <v>34</v>
      </c>
      <c r="D55" s="47" t="s">
        <v>114</v>
      </c>
      <c r="E55" s="45" t="s">
        <v>176</v>
      </c>
      <c r="F55" s="45" t="s">
        <v>177</v>
      </c>
      <c r="G55" s="45" t="s">
        <v>1713</v>
      </c>
      <c r="H55" s="45" t="s">
        <v>1714</v>
      </c>
      <c r="I55" s="45" t="s">
        <v>1715</v>
      </c>
      <c r="J55" s="45">
        <v>529970353</v>
      </c>
      <c r="K55" s="45" t="s">
        <v>1588</v>
      </c>
      <c r="L55" s="48">
        <v>387.9</v>
      </c>
      <c r="M55" s="49">
        <v>2024110486</v>
      </c>
      <c r="N55" s="50" t="s">
        <v>28</v>
      </c>
      <c r="O55" s="50"/>
      <c r="P55" s="50"/>
      <c r="Q55" s="51"/>
      <c r="R55" s="50"/>
      <c r="S55" s="50"/>
      <c r="T55" s="51"/>
      <c r="U55" s="50"/>
    </row>
    <row r="56" spans="1:21" x14ac:dyDescent="0.25">
      <c r="A56" s="45" t="s">
        <v>29</v>
      </c>
      <c r="B56" s="46">
        <v>45701</v>
      </c>
      <c r="C56" s="45" t="s">
        <v>34</v>
      </c>
      <c r="D56" s="47" t="s">
        <v>114</v>
      </c>
      <c r="E56" s="45" t="s">
        <v>176</v>
      </c>
      <c r="F56" s="45" t="s">
        <v>177</v>
      </c>
      <c r="G56" s="45" t="s">
        <v>878</v>
      </c>
      <c r="H56" s="45" t="s">
        <v>1716</v>
      </c>
      <c r="I56" s="45" t="s">
        <v>1717</v>
      </c>
      <c r="J56" s="45">
        <v>531021024</v>
      </c>
      <c r="K56" s="45" t="s">
        <v>56</v>
      </c>
      <c r="L56" s="48">
        <v>750</v>
      </c>
      <c r="M56" s="49">
        <v>20241105177</v>
      </c>
      <c r="N56" s="50" t="s">
        <v>28</v>
      </c>
      <c r="O56" s="50"/>
      <c r="P56" s="50"/>
      <c r="Q56" s="51"/>
      <c r="R56" s="50"/>
      <c r="S56" s="50"/>
      <c r="T56" s="51"/>
      <c r="U56" s="50"/>
    </row>
    <row r="57" spans="1:21" x14ac:dyDescent="0.25">
      <c r="A57" s="45" t="s">
        <v>1718</v>
      </c>
      <c r="B57" s="46">
        <v>45701</v>
      </c>
      <c r="C57" s="45" t="s">
        <v>34</v>
      </c>
      <c r="D57" s="47" t="s">
        <v>114</v>
      </c>
      <c r="E57" s="45" t="s">
        <v>176</v>
      </c>
      <c r="F57" s="45" t="s">
        <v>177</v>
      </c>
      <c r="G57" s="45" t="s">
        <v>878</v>
      </c>
      <c r="H57" s="45" t="s">
        <v>1716</v>
      </c>
      <c r="I57" s="45" t="s">
        <v>1717</v>
      </c>
      <c r="J57" s="45">
        <v>531021024</v>
      </c>
      <c r="K57" s="45" t="s">
        <v>56</v>
      </c>
      <c r="L57" s="48">
        <v>750</v>
      </c>
      <c r="M57" s="49">
        <v>20241105177</v>
      </c>
      <c r="N57" s="50" t="s">
        <v>28</v>
      </c>
      <c r="O57" s="50"/>
      <c r="P57" s="50"/>
      <c r="Q57" s="51"/>
      <c r="R57" s="50"/>
      <c r="S57" s="50"/>
      <c r="T57" s="51"/>
      <c r="U57" s="50"/>
    </row>
    <row r="58" spans="1:21" x14ac:dyDescent="0.25">
      <c r="A58" s="45" t="s">
        <v>29</v>
      </c>
      <c r="B58" s="46">
        <v>45701</v>
      </c>
      <c r="C58" s="45" t="s">
        <v>34</v>
      </c>
      <c r="D58" s="47" t="s">
        <v>114</v>
      </c>
      <c r="E58" s="45" t="s">
        <v>176</v>
      </c>
      <c r="F58" s="45" t="s">
        <v>177</v>
      </c>
      <c r="G58" s="45" t="s">
        <v>878</v>
      </c>
      <c r="H58" s="45" t="s">
        <v>1716</v>
      </c>
      <c r="I58" s="45" t="s">
        <v>1717</v>
      </c>
      <c r="J58" s="45">
        <v>531021024</v>
      </c>
      <c r="K58" s="45" t="s">
        <v>56</v>
      </c>
      <c r="L58" s="48">
        <v>750</v>
      </c>
      <c r="M58" s="49">
        <v>20241105181</v>
      </c>
      <c r="N58" s="50" t="s">
        <v>28</v>
      </c>
      <c r="O58" s="50"/>
      <c r="P58" s="50"/>
      <c r="Q58" s="51"/>
      <c r="R58" s="50"/>
      <c r="S58" s="50"/>
      <c r="T58" s="51"/>
      <c r="U58" s="50"/>
    </row>
    <row r="59" spans="1:21" x14ac:dyDescent="0.25">
      <c r="A59" s="45" t="s">
        <v>20</v>
      </c>
      <c r="B59" s="46">
        <v>45701</v>
      </c>
      <c r="C59" s="45" t="s">
        <v>34</v>
      </c>
      <c r="D59" s="47" t="s">
        <v>114</v>
      </c>
      <c r="E59" s="45" t="s">
        <v>176</v>
      </c>
      <c r="F59" s="45" t="s">
        <v>177</v>
      </c>
      <c r="G59" s="45" t="s">
        <v>1719</v>
      </c>
      <c r="H59" s="45" t="s">
        <v>616</v>
      </c>
      <c r="I59" s="45" t="s">
        <v>1720</v>
      </c>
      <c r="J59" s="45">
        <v>532766962</v>
      </c>
      <c r="K59" s="45" t="s">
        <v>1721</v>
      </c>
      <c r="L59" s="48">
        <v>115</v>
      </c>
      <c r="M59" s="49">
        <v>20241108781</v>
      </c>
      <c r="N59" s="50" t="s">
        <v>28</v>
      </c>
      <c r="O59" s="50"/>
      <c r="P59" s="50"/>
      <c r="Q59" s="51"/>
      <c r="R59" s="50"/>
      <c r="S59" s="50"/>
      <c r="T59" s="51"/>
      <c r="U59" s="50"/>
    </row>
    <row r="60" spans="1:21" x14ac:dyDescent="0.25">
      <c r="A60" s="45" t="s">
        <v>20</v>
      </c>
      <c r="B60" s="46">
        <v>45701</v>
      </c>
      <c r="C60" s="45" t="s">
        <v>34</v>
      </c>
      <c r="D60" s="47" t="s">
        <v>114</v>
      </c>
      <c r="E60" s="45" t="s">
        <v>176</v>
      </c>
      <c r="F60" s="45" t="s">
        <v>177</v>
      </c>
      <c r="G60" s="45" t="s">
        <v>1719</v>
      </c>
      <c r="H60" s="45" t="s">
        <v>616</v>
      </c>
      <c r="I60" s="45" t="s">
        <v>1720</v>
      </c>
      <c r="J60" s="45">
        <v>532766962</v>
      </c>
      <c r="K60" s="45" t="s">
        <v>1371</v>
      </c>
      <c r="L60" s="48">
        <v>115</v>
      </c>
      <c r="M60" s="49">
        <v>20241108776</v>
      </c>
      <c r="N60" s="50" t="s">
        <v>28</v>
      </c>
      <c r="O60" s="50"/>
      <c r="P60" s="50"/>
      <c r="Q60" s="51"/>
      <c r="R60" s="50"/>
      <c r="S60" s="50"/>
      <c r="T60" s="51"/>
      <c r="U60" s="50"/>
    </row>
    <row r="61" spans="1:21" x14ac:dyDescent="0.25">
      <c r="A61" s="45" t="s">
        <v>20</v>
      </c>
      <c r="B61" s="46">
        <v>45701</v>
      </c>
      <c r="C61" s="45" t="s">
        <v>34</v>
      </c>
      <c r="D61" s="47" t="s">
        <v>114</v>
      </c>
      <c r="E61" s="45" t="s">
        <v>176</v>
      </c>
      <c r="F61" s="45" t="s">
        <v>177</v>
      </c>
      <c r="G61" s="45" t="s">
        <v>1722</v>
      </c>
      <c r="H61" s="45" t="s">
        <v>696</v>
      </c>
      <c r="I61" s="45" t="s">
        <v>1436</v>
      </c>
      <c r="J61" s="45">
        <v>532782496</v>
      </c>
      <c r="K61" s="45" t="s">
        <v>1347</v>
      </c>
      <c r="L61" s="48">
        <v>152.69</v>
      </c>
      <c r="M61" s="49">
        <v>20241104793</v>
      </c>
      <c r="N61" s="50" t="s">
        <v>28</v>
      </c>
      <c r="O61" s="50"/>
      <c r="P61" s="50"/>
      <c r="Q61" s="51"/>
      <c r="R61" s="50"/>
      <c r="S61" s="50"/>
      <c r="T61" s="51"/>
      <c r="U61" s="50"/>
    </row>
    <row r="62" spans="1:21" x14ac:dyDescent="0.25">
      <c r="A62" s="45" t="s">
        <v>20</v>
      </c>
      <c r="B62" s="46">
        <v>45701</v>
      </c>
      <c r="C62" s="45" t="s">
        <v>34</v>
      </c>
      <c r="D62" s="47" t="s">
        <v>114</v>
      </c>
      <c r="E62" s="45" t="s">
        <v>176</v>
      </c>
      <c r="F62" s="45" t="s">
        <v>177</v>
      </c>
      <c r="G62" s="45" t="s">
        <v>1723</v>
      </c>
      <c r="H62" s="45" t="s">
        <v>1724</v>
      </c>
      <c r="I62" s="45" t="s">
        <v>1725</v>
      </c>
      <c r="J62" s="45">
        <v>532960713</v>
      </c>
      <c r="K62" s="45" t="s">
        <v>1358</v>
      </c>
      <c r="L62" s="48">
        <v>50</v>
      </c>
      <c r="M62" s="49">
        <v>20241105161</v>
      </c>
      <c r="N62" s="50" t="s">
        <v>28</v>
      </c>
      <c r="O62" s="50"/>
      <c r="P62" s="50"/>
      <c r="Q62" s="51"/>
      <c r="R62" s="50"/>
      <c r="S62" s="50"/>
      <c r="T62" s="51"/>
      <c r="U62" s="50"/>
    </row>
    <row r="63" spans="1:21" x14ac:dyDescent="0.25">
      <c r="A63" s="45" t="s">
        <v>20</v>
      </c>
      <c r="B63" s="46">
        <v>45701</v>
      </c>
      <c r="C63" s="45" t="s">
        <v>34</v>
      </c>
      <c r="D63" s="47" t="s">
        <v>114</v>
      </c>
      <c r="E63" s="45" t="s">
        <v>176</v>
      </c>
      <c r="F63" s="45" t="s">
        <v>177</v>
      </c>
      <c r="G63" s="45" t="s">
        <v>30</v>
      </c>
      <c r="H63" s="45" t="s">
        <v>1726</v>
      </c>
      <c r="I63" s="45" t="s">
        <v>1727</v>
      </c>
      <c r="J63" s="45">
        <v>536158929</v>
      </c>
      <c r="K63" s="45" t="s">
        <v>1347</v>
      </c>
      <c r="L63" s="48">
        <v>16.95</v>
      </c>
      <c r="M63" s="49">
        <v>20241106912</v>
      </c>
      <c r="N63" s="50" t="s">
        <v>28</v>
      </c>
      <c r="O63" s="50"/>
      <c r="P63" s="50"/>
      <c r="Q63" s="51"/>
      <c r="R63" s="50"/>
      <c r="S63" s="50"/>
      <c r="T63" s="51"/>
      <c r="U63" s="50"/>
    </row>
    <row r="64" spans="1:21" x14ac:dyDescent="0.25">
      <c r="A64" s="45" t="s">
        <v>29</v>
      </c>
      <c r="B64" s="46">
        <v>45701</v>
      </c>
      <c r="C64" s="45" t="s">
        <v>34</v>
      </c>
      <c r="D64" s="47" t="s">
        <v>168</v>
      </c>
      <c r="E64" s="45" t="s">
        <v>208</v>
      </c>
      <c r="F64" s="45" t="s">
        <v>209</v>
      </c>
      <c r="G64" s="45" t="s">
        <v>1728</v>
      </c>
      <c r="H64" s="45" t="s">
        <v>1729</v>
      </c>
      <c r="I64" s="45" t="s">
        <v>1730</v>
      </c>
      <c r="J64" s="45">
        <v>572437873</v>
      </c>
      <c r="K64" s="45" t="s">
        <v>406</v>
      </c>
      <c r="L64" s="48">
        <v>640</v>
      </c>
      <c r="M64" s="49">
        <v>20241106871</v>
      </c>
      <c r="N64" s="50" t="s">
        <v>28</v>
      </c>
      <c r="O64" s="50"/>
      <c r="P64" s="50"/>
      <c r="Q64" s="51"/>
      <c r="R64" s="50"/>
      <c r="S64" s="50"/>
      <c r="T64" s="51"/>
      <c r="U64" s="50"/>
    </row>
    <row r="65" spans="1:21" x14ac:dyDescent="0.25">
      <c r="A65" s="45" t="s">
        <v>29</v>
      </c>
      <c r="B65" s="46">
        <v>45701</v>
      </c>
      <c r="C65" s="45" t="s">
        <v>34</v>
      </c>
      <c r="D65" s="47" t="s">
        <v>168</v>
      </c>
      <c r="E65" s="45" t="s">
        <v>208</v>
      </c>
      <c r="F65" s="45" t="s">
        <v>209</v>
      </c>
      <c r="G65" s="45" t="s">
        <v>1728</v>
      </c>
      <c r="H65" s="45" t="s">
        <v>1729</v>
      </c>
      <c r="I65" s="45" t="s">
        <v>1730</v>
      </c>
      <c r="J65" s="45">
        <v>572437873</v>
      </c>
      <c r="K65" s="45" t="s">
        <v>276</v>
      </c>
      <c r="L65" s="48">
        <v>640</v>
      </c>
      <c r="M65" s="49">
        <v>20241106530</v>
      </c>
      <c r="N65" s="50" t="s">
        <v>28</v>
      </c>
      <c r="O65" s="50"/>
      <c r="P65" s="50"/>
      <c r="Q65" s="51"/>
      <c r="R65" s="50"/>
      <c r="S65" s="50"/>
      <c r="T65" s="51"/>
      <c r="U65" s="50"/>
    </row>
    <row r="66" spans="1:21" ht="25.5" x14ac:dyDescent="0.25">
      <c r="A66" s="45" t="s">
        <v>233</v>
      </c>
      <c r="B66" s="46">
        <v>45737</v>
      </c>
      <c r="C66" s="45" t="s">
        <v>34</v>
      </c>
      <c r="D66" s="47"/>
      <c r="E66" s="45" t="s">
        <v>208</v>
      </c>
      <c r="F66" s="45" t="s">
        <v>209</v>
      </c>
      <c r="G66" s="45" t="s">
        <v>1171</v>
      </c>
      <c r="H66" s="45" t="s">
        <v>1731</v>
      </c>
      <c r="I66" s="45" t="s">
        <v>1732</v>
      </c>
      <c r="J66" s="45">
        <v>572663157</v>
      </c>
      <c r="K66" s="45" t="s">
        <v>422</v>
      </c>
      <c r="L66" s="48">
        <v>121.6</v>
      </c>
      <c r="M66" s="49">
        <v>20241105686</v>
      </c>
      <c r="N66" s="50" t="s">
        <v>28</v>
      </c>
      <c r="O66" s="50"/>
      <c r="P66" s="50"/>
      <c r="Q66" s="51"/>
      <c r="R66" s="50"/>
      <c r="S66" s="50"/>
      <c r="T66" s="51"/>
      <c r="U66" s="50"/>
    </row>
    <row r="67" spans="1:21" ht="25.5" x14ac:dyDescent="0.25">
      <c r="A67" s="45" t="s">
        <v>233</v>
      </c>
      <c r="B67" s="46">
        <v>45737</v>
      </c>
      <c r="C67" s="45" t="s">
        <v>34</v>
      </c>
      <c r="D67" s="47"/>
      <c r="E67" s="45" t="s">
        <v>208</v>
      </c>
      <c r="F67" s="45" t="s">
        <v>209</v>
      </c>
      <c r="G67" s="45" t="s">
        <v>1171</v>
      </c>
      <c r="H67" s="45" t="s">
        <v>1731</v>
      </c>
      <c r="I67" s="45" t="s">
        <v>1732</v>
      </c>
      <c r="J67" s="45">
        <v>572663157</v>
      </c>
      <c r="K67" s="45" t="s">
        <v>978</v>
      </c>
      <c r="L67" s="48">
        <v>121.6</v>
      </c>
      <c r="M67" s="49">
        <v>20241105687</v>
      </c>
      <c r="N67" s="50" t="s">
        <v>28</v>
      </c>
      <c r="O67" s="50"/>
      <c r="P67" s="50"/>
      <c r="Q67" s="51"/>
      <c r="R67" s="50"/>
      <c r="S67" s="50"/>
      <c r="T67" s="51"/>
      <c r="U67" s="50"/>
    </row>
    <row r="68" spans="1:21" ht="25.5" x14ac:dyDescent="0.25">
      <c r="A68" s="45" t="s">
        <v>233</v>
      </c>
      <c r="B68" s="46">
        <v>45737</v>
      </c>
      <c r="C68" s="45" t="s">
        <v>34</v>
      </c>
      <c r="D68" s="47"/>
      <c r="E68" s="45" t="s">
        <v>208</v>
      </c>
      <c r="F68" s="45" t="s">
        <v>209</v>
      </c>
      <c r="G68" s="45" t="s">
        <v>1171</v>
      </c>
      <c r="H68" s="45" t="s">
        <v>1731</v>
      </c>
      <c r="I68" s="45" t="s">
        <v>1732</v>
      </c>
      <c r="J68" s="45">
        <v>572663157</v>
      </c>
      <c r="K68" s="45" t="s">
        <v>301</v>
      </c>
      <c r="L68" s="48">
        <v>121.6</v>
      </c>
      <c r="M68" s="49">
        <v>20241105688</v>
      </c>
      <c r="N68" s="50" t="s">
        <v>28</v>
      </c>
      <c r="O68" s="50"/>
      <c r="P68" s="50"/>
      <c r="Q68" s="51"/>
      <c r="R68" s="50"/>
      <c r="S68" s="50"/>
      <c r="T68" s="51"/>
      <c r="U68" s="50"/>
    </row>
    <row r="69" spans="1:21" ht="25.5" x14ac:dyDescent="0.25">
      <c r="A69" s="45" t="s">
        <v>233</v>
      </c>
      <c r="B69" s="46">
        <v>45622</v>
      </c>
      <c r="C69" s="45" t="s">
        <v>175</v>
      </c>
      <c r="D69" s="47"/>
      <c r="E69" s="45" t="s">
        <v>208</v>
      </c>
      <c r="F69" s="45" t="s">
        <v>209</v>
      </c>
      <c r="G69" s="45" t="s">
        <v>1171</v>
      </c>
      <c r="H69" s="45" t="s">
        <v>1731</v>
      </c>
      <c r="I69" s="45" t="s">
        <v>1732</v>
      </c>
      <c r="J69" s="45">
        <v>572663157</v>
      </c>
      <c r="K69" s="45" t="s">
        <v>48</v>
      </c>
      <c r="L69" s="48">
        <v>121.6</v>
      </c>
      <c r="M69" s="49">
        <v>20241105689</v>
      </c>
      <c r="N69" s="50" t="s">
        <v>28</v>
      </c>
      <c r="O69" s="50"/>
      <c r="P69" s="50"/>
      <c r="Q69" s="51"/>
      <c r="R69" s="50"/>
      <c r="S69" s="50"/>
      <c r="T69" s="51"/>
      <c r="U69" s="50"/>
    </row>
    <row r="70" spans="1:21" ht="25.5" x14ac:dyDescent="0.25">
      <c r="A70" s="45" t="s">
        <v>233</v>
      </c>
      <c r="B70" s="46">
        <v>45622</v>
      </c>
      <c r="C70" s="45" t="s">
        <v>175</v>
      </c>
      <c r="D70" s="47"/>
      <c r="E70" s="45" t="s">
        <v>208</v>
      </c>
      <c r="F70" s="45" t="s">
        <v>209</v>
      </c>
      <c r="G70" s="45" t="s">
        <v>1171</v>
      </c>
      <c r="H70" s="45" t="s">
        <v>1731</v>
      </c>
      <c r="I70" s="45" t="s">
        <v>1732</v>
      </c>
      <c r="J70" s="45">
        <v>572663157</v>
      </c>
      <c r="K70" s="45" t="s">
        <v>184</v>
      </c>
      <c r="L70" s="48">
        <v>121.6</v>
      </c>
      <c r="M70" s="49">
        <v>20241105690</v>
      </c>
      <c r="N70" s="50" t="s">
        <v>28</v>
      </c>
      <c r="O70" s="50"/>
      <c r="P70" s="50"/>
      <c r="Q70" s="51"/>
      <c r="R70" s="50"/>
      <c r="S70" s="50"/>
      <c r="T70" s="51"/>
      <c r="U70" s="50"/>
    </row>
    <row r="71" spans="1:21" ht="25.5" x14ac:dyDescent="0.25">
      <c r="A71" s="45" t="s">
        <v>233</v>
      </c>
      <c r="B71" s="46">
        <v>45622</v>
      </c>
      <c r="C71" s="45" t="s">
        <v>175</v>
      </c>
      <c r="D71" s="47"/>
      <c r="E71" s="45" t="s">
        <v>208</v>
      </c>
      <c r="F71" s="45" t="s">
        <v>209</v>
      </c>
      <c r="G71" s="45" t="s">
        <v>1171</v>
      </c>
      <c r="H71" s="45" t="s">
        <v>1731</v>
      </c>
      <c r="I71" s="45" t="s">
        <v>1732</v>
      </c>
      <c r="J71" s="45">
        <v>572663157</v>
      </c>
      <c r="K71" s="45" t="s">
        <v>56</v>
      </c>
      <c r="L71" s="48">
        <v>121.6</v>
      </c>
      <c r="M71" s="49">
        <v>20241105691</v>
      </c>
      <c r="N71" s="50" t="s">
        <v>28</v>
      </c>
      <c r="O71" s="50"/>
      <c r="P71" s="50"/>
      <c r="Q71" s="51"/>
      <c r="R71" s="50"/>
      <c r="S71" s="50"/>
      <c r="T71" s="51"/>
      <c r="U71" s="50"/>
    </row>
    <row r="72" spans="1:21" ht="25.5" x14ac:dyDescent="0.25">
      <c r="A72" s="45" t="s">
        <v>233</v>
      </c>
      <c r="B72" s="46">
        <v>45622</v>
      </c>
      <c r="C72" s="45" t="s">
        <v>175</v>
      </c>
      <c r="D72" s="47"/>
      <c r="E72" s="45" t="s">
        <v>208</v>
      </c>
      <c r="F72" s="45" t="s">
        <v>209</v>
      </c>
      <c r="G72" s="45" t="s">
        <v>1171</v>
      </c>
      <c r="H72" s="45" t="s">
        <v>1731</v>
      </c>
      <c r="I72" s="45" t="s">
        <v>1732</v>
      </c>
      <c r="J72" s="45">
        <v>572663157</v>
      </c>
      <c r="K72" s="45" t="s">
        <v>1358</v>
      </c>
      <c r="L72" s="48">
        <v>121.6</v>
      </c>
      <c r="M72" s="49">
        <v>20241105692</v>
      </c>
      <c r="N72" s="50" t="s">
        <v>28</v>
      </c>
      <c r="O72" s="50"/>
      <c r="P72" s="50"/>
      <c r="Q72" s="51"/>
      <c r="R72" s="50"/>
      <c r="S72" s="50"/>
      <c r="T72" s="51"/>
      <c r="U72" s="50"/>
    </row>
    <row r="73" spans="1:21" x14ac:dyDescent="0.25">
      <c r="A73" s="45" t="s">
        <v>20</v>
      </c>
      <c r="B73" s="46">
        <v>45622</v>
      </c>
      <c r="C73" s="45" t="s">
        <v>175</v>
      </c>
      <c r="D73" s="47"/>
      <c r="E73" s="45" t="s">
        <v>208</v>
      </c>
      <c r="F73" s="45" t="s">
        <v>209</v>
      </c>
      <c r="G73" s="45" t="s">
        <v>30</v>
      </c>
      <c r="H73" s="45" t="s">
        <v>1400</v>
      </c>
      <c r="I73" s="45" t="s">
        <v>1401</v>
      </c>
      <c r="J73" s="45">
        <v>575087789</v>
      </c>
      <c r="K73" s="45" t="s">
        <v>76</v>
      </c>
      <c r="L73" s="48">
        <v>66.33</v>
      </c>
      <c r="M73" s="49">
        <v>202411041219</v>
      </c>
      <c r="N73" s="50" t="s">
        <v>28</v>
      </c>
      <c r="O73" s="50"/>
      <c r="P73" s="50"/>
      <c r="Q73" s="51"/>
      <c r="R73" s="50"/>
      <c r="S73" s="50"/>
      <c r="T73" s="51"/>
      <c r="U73" s="50"/>
    </row>
    <row r="74" spans="1:21" x14ac:dyDescent="0.25">
      <c r="A74" s="45" t="s">
        <v>20</v>
      </c>
      <c r="B74" s="46">
        <v>45622</v>
      </c>
      <c r="C74" s="45" t="s">
        <v>175</v>
      </c>
      <c r="D74" s="47"/>
      <c r="E74" s="45" t="s">
        <v>208</v>
      </c>
      <c r="F74" s="45" t="s">
        <v>209</v>
      </c>
      <c r="G74" s="45" t="s">
        <v>30</v>
      </c>
      <c r="H74" s="45" t="s">
        <v>200</v>
      </c>
      <c r="I74" s="45" t="s">
        <v>1733</v>
      </c>
      <c r="J74" s="45">
        <v>575112218</v>
      </c>
      <c r="K74" s="45" t="s">
        <v>1734</v>
      </c>
      <c r="L74" s="48">
        <v>38.32</v>
      </c>
      <c r="M74" s="49">
        <v>20241107605</v>
      </c>
      <c r="N74" s="50" t="s">
        <v>28</v>
      </c>
      <c r="O74" s="50"/>
      <c r="P74" s="50"/>
      <c r="Q74" s="51"/>
      <c r="R74" s="50"/>
      <c r="S74" s="50"/>
      <c r="T74" s="51"/>
      <c r="U74" s="50"/>
    </row>
    <row r="75" spans="1:21" x14ac:dyDescent="0.25">
      <c r="A75" s="45" t="s">
        <v>20</v>
      </c>
      <c r="B75" s="46">
        <v>45622</v>
      </c>
      <c r="C75" s="45" t="s">
        <v>175</v>
      </c>
      <c r="D75" s="47"/>
      <c r="E75" s="45" t="s">
        <v>208</v>
      </c>
      <c r="F75" s="45" t="s">
        <v>209</v>
      </c>
      <c r="G75" s="45" t="s">
        <v>30</v>
      </c>
      <c r="H75" s="45" t="s">
        <v>1735</v>
      </c>
      <c r="I75" s="45" t="s">
        <v>1736</v>
      </c>
      <c r="J75" s="45">
        <v>575175561</v>
      </c>
      <c r="K75" s="45" t="s">
        <v>1686</v>
      </c>
      <c r="L75" s="48">
        <v>15.98</v>
      </c>
      <c r="M75" s="49">
        <v>20241106365</v>
      </c>
      <c r="N75" s="50" t="s">
        <v>28</v>
      </c>
      <c r="O75" s="50"/>
      <c r="P75" s="50"/>
      <c r="Q75" s="51"/>
      <c r="R75" s="50"/>
      <c r="S75" s="50"/>
      <c r="T75" s="51"/>
      <c r="U75" s="50"/>
    </row>
    <row r="76" spans="1:21" ht="180" x14ac:dyDescent="0.25">
      <c r="A76" s="45" t="s">
        <v>29</v>
      </c>
      <c r="B76" s="46">
        <v>45622</v>
      </c>
      <c r="C76" s="45" t="s">
        <v>175</v>
      </c>
      <c r="D76" s="47"/>
      <c r="E76" s="45" t="s">
        <v>208</v>
      </c>
      <c r="F76" s="45" t="s">
        <v>209</v>
      </c>
      <c r="G76" s="45" t="s">
        <v>30</v>
      </c>
      <c r="H76" s="45" t="s">
        <v>1737</v>
      </c>
      <c r="I76" s="45" t="s">
        <v>1738</v>
      </c>
      <c r="J76" s="45">
        <v>575197568</v>
      </c>
      <c r="K76" s="45" t="s">
        <v>126</v>
      </c>
      <c r="L76" s="48">
        <v>624.99</v>
      </c>
      <c r="M76" s="49">
        <v>202411041140</v>
      </c>
      <c r="N76" s="50" t="s">
        <v>124</v>
      </c>
      <c r="O76" s="50"/>
      <c r="P76" s="50"/>
      <c r="Q76" s="51" t="s">
        <v>1739</v>
      </c>
      <c r="R76" s="50"/>
      <c r="S76" s="50"/>
      <c r="T76" s="51"/>
      <c r="U76" s="50"/>
    </row>
    <row r="77" spans="1:21" x14ac:dyDescent="0.25">
      <c r="A77" s="45" t="s">
        <v>20</v>
      </c>
      <c r="B77" s="46">
        <v>45622</v>
      </c>
      <c r="C77" s="45" t="s">
        <v>175</v>
      </c>
      <c r="D77" s="47"/>
      <c r="E77" s="45" t="s">
        <v>208</v>
      </c>
      <c r="F77" s="45" t="s">
        <v>209</v>
      </c>
      <c r="G77" s="45" t="s">
        <v>1740</v>
      </c>
      <c r="H77" s="45" t="s">
        <v>1741</v>
      </c>
      <c r="I77" s="45" t="s">
        <v>842</v>
      </c>
      <c r="J77" s="45">
        <v>575199993</v>
      </c>
      <c r="K77" s="45" t="s">
        <v>1358</v>
      </c>
      <c r="L77" s="48">
        <v>765.96</v>
      </c>
      <c r="M77" s="49">
        <v>20241104338</v>
      </c>
      <c r="N77" s="50" t="s">
        <v>28</v>
      </c>
      <c r="O77" s="50"/>
      <c r="P77" s="50"/>
      <c r="Q77" s="51"/>
      <c r="R77" s="50"/>
      <c r="S77" s="50"/>
      <c r="T77" s="51"/>
      <c r="U77" s="50"/>
    </row>
    <row r="78" spans="1:21" x14ac:dyDescent="0.25">
      <c r="A78" s="45" t="s">
        <v>20</v>
      </c>
      <c r="B78" s="46">
        <v>45622</v>
      </c>
      <c r="C78" s="45" t="s">
        <v>175</v>
      </c>
      <c r="D78" s="47"/>
      <c r="E78" s="45" t="s">
        <v>208</v>
      </c>
      <c r="F78" s="45" t="s">
        <v>209</v>
      </c>
      <c r="G78" s="45" t="s">
        <v>1740</v>
      </c>
      <c r="H78" s="45" t="s">
        <v>1741</v>
      </c>
      <c r="I78" s="45" t="s">
        <v>842</v>
      </c>
      <c r="J78" s="45">
        <v>575199993</v>
      </c>
      <c r="K78" s="45" t="s">
        <v>1358</v>
      </c>
      <c r="L78" s="48">
        <v>3</v>
      </c>
      <c r="M78" s="49">
        <v>20241104351</v>
      </c>
      <c r="N78" s="50" t="s">
        <v>28</v>
      </c>
      <c r="O78" s="50"/>
      <c r="P78" s="50"/>
      <c r="Q78" s="51"/>
      <c r="R78" s="50"/>
      <c r="S78" s="50"/>
      <c r="T78" s="51"/>
      <c r="U78" s="50"/>
    </row>
    <row r="79" spans="1:21" x14ac:dyDescent="0.25">
      <c r="A79" s="45" t="s">
        <v>849</v>
      </c>
      <c r="B79" s="46">
        <v>45622</v>
      </c>
      <c r="C79" s="45" t="s">
        <v>175</v>
      </c>
      <c r="D79" s="47"/>
      <c r="E79" s="45" t="s">
        <v>245</v>
      </c>
      <c r="F79" s="45" t="s">
        <v>246</v>
      </c>
      <c r="G79" s="45" t="s">
        <v>1060</v>
      </c>
      <c r="H79" s="45" t="s">
        <v>1742</v>
      </c>
      <c r="I79" s="45" t="s">
        <v>1743</v>
      </c>
      <c r="J79" s="45">
        <v>618862156</v>
      </c>
      <c r="K79" s="45" t="s">
        <v>56</v>
      </c>
      <c r="L79" s="48">
        <v>48.51</v>
      </c>
      <c r="M79" s="49">
        <v>20241107333</v>
      </c>
      <c r="N79" s="50" t="s">
        <v>28</v>
      </c>
      <c r="O79" s="50"/>
      <c r="P79" s="50"/>
      <c r="Q79" s="51"/>
      <c r="R79" s="50"/>
      <c r="S79" s="50"/>
      <c r="T79" s="51"/>
      <c r="U79" s="50"/>
    </row>
    <row r="80" spans="1:21" x14ac:dyDescent="0.25">
      <c r="A80" s="45" t="s">
        <v>324</v>
      </c>
      <c r="B80" s="46">
        <v>45622</v>
      </c>
      <c r="C80" s="45" t="s">
        <v>175</v>
      </c>
      <c r="D80" s="47"/>
      <c r="E80" s="45" t="s">
        <v>245</v>
      </c>
      <c r="F80" s="45" t="s">
        <v>246</v>
      </c>
      <c r="G80" s="45" t="s">
        <v>1744</v>
      </c>
      <c r="H80" s="45" t="s">
        <v>1745</v>
      </c>
      <c r="I80" s="45" t="s">
        <v>1614</v>
      </c>
      <c r="J80" s="45">
        <v>619706426</v>
      </c>
      <c r="K80" s="45" t="s">
        <v>1358</v>
      </c>
      <c r="L80" s="48">
        <v>545.84</v>
      </c>
      <c r="M80" s="49">
        <v>20241104260</v>
      </c>
      <c r="N80" s="50" t="s">
        <v>28</v>
      </c>
      <c r="O80" s="50"/>
      <c r="P80" s="50"/>
      <c r="Q80" s="51"/>
      <c r="R80" s="50"/>
      <c r="S80" s="50"/>
      <c r="T80" s="51"/>
      <c r="U80" s="50"/>
    </row>
    <row r="81" spans="1:21" ht="25.5" x14ac:dyDescent="0.25">
      <c r="A81" s="45" t="s">
        <v>233</v>
      </c>
      <c r="B81" s="46">
        <v>45622</v>
      </c>
      <c r="C81" s="45" t="s">
        <v>175</v>
      </c>
      <c r="D81" s="47"/>
      <c r="E81" s="45" t="s">
        <v>245</v>
      </c>
      <c r="F81" s="45" t="s">
        <v>246</v>
      </c>
      <c r="G81" s="45" t="s">
        <v>263</v>
      </c>
      <c r="H81" s="45" t="s">
        <v>854</v>
      </c>
      <c r="I81" s="45" t="s">
        <v>855</v>
      </c>
      <c r="J81" s="45">
        <v>620405012</v>
      </c>
      <c r="K81" s="45" t="s">
        <v>1702</v>
      </c>
      <c r="L81" s="48">
        <v>18.86</v>
      </c>
      <c r="M81" s="49">
        <v>20241106703</v>
      </c>
      <c r="N81" s="50" t="s">
        <v>28</v>
      </c>
      <c r="O81" s="50"/>
      <c r="P81" s="50"/>
      <c r="Q81" s="51"/>
      <c r="R81" s="50"/>
      <c r="S81" s="50"/>
      <c r="T81" s="51"/>
      <c r="U81" s="50"/>
    </row>
    <row r="82" spans="1:21" x14ac:dyDescent="0.25">
      <c r="A82" s="45" t="s">
        <v>20</v>
      </c>
      <c r="B82" s="46">
        <v>45622</v>
      </c>
      <c r="C82" s="45" t="s">
        <v>175</v>
      </c>
      <c r="D82" s="47"/>
      <c r="E82" s="45" t="s">
        <v>245</v>
      </c>
      <c r="F82" s="45" t="s">
        <v>246</v>
      </c>
      <c r="G82" s="45" t="s">
        <v>178</v>
      </c>
      <c r="H82" s="45" t="s">
        <v>1746</v>
      </c>
      <c r="I82" s="45" t="s">
        <v>1747</v>
      </c>
      <c r="J82" s="45">
        <v>627400273</v>
      </c>
      <c r="K82" s="45" t="s">
        <v>416</v>
      </c>
      <c r="L82" s="48">
        <v>111.63</v>
      </c>
      <c r="M82" s="49">
        <v>202410311897</v>
      </c>
      <c r="N82" s="50" t="s">
        <v>28</v>
      </c>
      <c r="O82" s="50"/>
      <c r="P82" s="50"/>
      <c r="Q82" s="51"/>
      <c r="R82" s="50"/>
      <c r="S82" s="50"/>
      <c r="T82" s="51"/>
      <c r="U82" s="50"/>
    </row>
    <row r="83" spans="1:21" x14ac:dyDescent="0.25">
      <c r="A83" s="45" t="s">
        <v>233</v>
      </c>
      <c r="B83" s="46">
        <v>45622</v>
      </c>
      <c r="C83" s="45" t="s">
        <v>175</v>
      </c>
      <c r="D83" s="47"/>
      <c r="E83" s="45" t="s">
        <v>245</v>
      </c>
      <c r="F83" s="45" t="s">
        <v>246</v>
      </c>
      <c r="G83" s="45" t="s">
        <v>816</v>
      </c>
      <c r="H83" s="45" t="s">
        <v>1748</v>
      </c>
      <c r="I83" s="45" t="s">
        <v>1749</v>
      </c>
      <c r="J83" s="45">
        <v>635236817</v>
      </c>
      <c r="K83" s="45" t="s">
        <v>1750</v>
      </c>
      <c r="L83" s="48">
        <v>900</v>
      </c>
      <c r="M83" s="49">
        <v>20241106697</v>
      </c>
      <c r="N83" s="50" t="s">
        <v>28</v>
      </c>
      <c r="O83" s="50"/>
      <c r="P83" s="50"/>
      <c r="Q83" s="51"/>
      <c r="R83" s="50"/>
      <c r="S83" s="50"/>
      <c r="T83" s="51"/>
      <c r="U83" s="50"/>
    </row>
    <row r="84" spans="1:21" x14ac:dyDescent="0.25">
      <c r="A84" s="45" t="s">
        <v>233</v>
      </c>
      <c r="B84" s="46">
        <v>45757</v>
      </c>
      <c r="C84" s="45" t="s">
        <v>352</v>
      </c>
      <c r="D84" s="47" t="s">
        <v>34</v>
      </c>
      <c r="E84" s="45" t="s">
        <v>245</v>
      </c>
      <c r="F84" s="45" t="s">
        <v>246</v>
      </c>
      <c r="G84" s="45" t="s">
        <v>1294</v>
      </c>
      <c r="H84" s="45" t="s">
        <v>1286</v>
      </c>
      <c r="I84" s="45" t="s">
        <v>1751</v>
      </c>
      <c r="J84" s="45">
        <v>646055670</v>
      </c>
      <c r="K84" s="45" t="s">
        <v>436</v>
      </c>
      <c r="L84" s="48">
        <v>121.2</v>
      </c>
      <c r="M84" s="49">
        <v>20241108309</v>
      </c>
      <c r="N84" s="50" t="s">
        <v>28</v>
      </c>
      <c r="O84" s="50"/>
      <c r="P84" s="50"/>
      <c r="Q84" s="51"/>
      <c r="R84" s="50"/>
      <c r="S84" s="50"/>
      <c r="T84" s="51"/>
      <c r="U84" s="50"/>
    </row>
    <row r="85" spans="1:21" x14ac:dyDescent="0.25">
      <c r="A85" s="45" t="s">
        <v>233</v>
      </c>
      <c r="B85" s="46">
        <v>45757</v>
      </c>
      <c r="C85" s="45" t="s">
        <v>352</v>
      </c>
      <c r="D85" s="47" t="s">
        <v>34</v>
      </c>
      <c r="E85" s="45" t="s">
        <v>245</v>
      </c>
      <c r="F85" s="45" t="s">
        <v>246</v>
      </c>
      <c r="G85" s="45" t="s">
        <v>1294</v>
      </c>
      <c r="H85" s="45" t="s">
        <v>1286</v>
      </c>
      <c r="I85" s="45" t="s">
        <v>1751</v>
      </c>
      <c r="J85" s="45">
        <v>646055670</v>
      </c>
      <c r="K85" s="45" t="s">
        <v>56</v>
      </c>
      <c r="L85" s="48">
        <v>142.19999999999999</v>
      </c>
      <c r="M85" s="49">
        <v>20241108310</v>
      </c>
      <c r="N85" s="50" t="s">
        <v>28</v>
      </c>
      <c r="O85" s="50"/>
      <c r="P85" s="50"/>
      <c r="Q85" s="51"/>
      <c r="R85" s="50"/>
      <c r="S85" s="50"/>
      <c r="T85" s="51"/>
      <c r="U85" s="50"/>
    </row>
    <row r="86" spans="1:21" x14ac:dyDescent="0.25">
      <c r="A86" s="45" t="s">
        <v>233</v>
      </c>
      <c r="B86" s="46">
        <v>45757</v>
      </c>
      <c r="C86" s="45" t="s">
        <v>352</v>
      </c>
      <c r="D86" s="47" t="s">
        <v>34</v>
      </c>
      <c r="E86" s="45" t="s">
        <v>245</v>
      </c>
      <c r="F86" s="45" t="s">
        <v>246</v>
      </c>
      <c r="G86" s="45" t="s">
        <v>1294</v>
      </c>
      <c r="H86" s="45" t="s">
        <v>1752</v>
      </c>
      <c r="I86" s="45" t="s">
        <v>1753</v>
      </c>
      <c r="J86" s="45">
        <v>646321831</v>
      </c>
      <c r="K86" s="45" t="s">
        <v>311</v>
      </c>
      <c r="L86" s="48">
        <v>71.63</v>
      </c>
      <c r="M86" s="49">
        <v>20241104262</v>
      </c>
      <c r="N86" s="50" t="s">
        <v>28</v>
      </c>
      <c r="O86" s="50"/>
      <c r="P86" s="50"/>
      <c r="Q86" s="51"/>
      <c r="R86" s="50"/>
      <c r="S86" s="50"/>
      <c r="T86" s="51"/>
      <c r="U86" s="50"/>
    </row>
    <row r="87" spans="1:21" x14ac:dyDescent="0.25">
      <c r="A87" s="45" t="s">
        <v>233</v>
      </c>
      <c r="B87" s="46">
        <v>45757</v>
      </c>
      <c r="C87" s="45" t="s">
        <v>352</v>
      </c>
      <c r="D87" s="47" t="s">
        <v>34</v>
      </c>
      <c r="E87" s="45" t="s">
        <v>245</v>
      </c>
      <c r="F87" s="45" t="s">
        <v>246</v>
      </c>
      <c r="G87" s="45" t="s">
        <v>347</v>
      </c>
      <c r="H87" s="45" t="s">
        <v>1754</v>
      </c>
      <c r="I87" s="45" t="s">
        <v>1755</v>
      </c>
      <c r="J87" s="45">
        <v>647121338</v>
      </c>
      <c r="K87" s="45" t="s">
        <v>195</v>
      </c>
      <c r="L87" s="48">
        <v>135.33000000000001</v>
      </c>
      <c r="M87" s="49">
        <v>20241108317</v>
      </c>
      <c r="N87" s="50" t="s">
        <v>28</v>
      </c>
      <c r="O87" s="50"/>
      <c r="P87" s="50"/>
      <c r="Q87" s="51"/>
      <c r="R87" s="50"/>
      <c r="S87" s="50"/>
      <c r="T87" s="51"/>
      <c r="U87" s="50"/>
    </row>
    <row r="88" spans="1:21" x14ac:dyDescent="0.25">
      <c r="A88" s="45" t="s">
        <v>375</v>
      </c>
      <c r="B88" s="46">
        <v>45757</v>
      </c>
      <c r="C88" s="45" t="s">
        <v>352</v>
      </c>
      <c r="D88" s="47" t="s">
        <v>34</v>
      </c>
      <c r="E88" s="45" t="s">
        <v>245</v>
      </c>
      <c r="F88" s="45" t="s">
        <v>246</v>
      </c>
      <c r="G88" s="45" t="s">
        <v>376</v>
      </c>
      <c r="H88" s="45" t="s">
        <v>1756</v>
      </c>
      <c r="I88" s="45" t="s">
        <v>1757</v>
      </c>
      <c r="J88" s="45">
        <v>647381177</v>
      </c>
      <c r="K88" s="45" t="s">
        <v>104</v>
      </c>
      <c r="L88" s="48">
        <v>37.909999999999997</v>
      </c>
      <c r="M88" s="49">
        <v>20241023134</v>
      </c>
      <c r="N88" s="50" t="s">
        <v>28</v>
      </c>
      <c r="O88" s="50"/>
      <c r="P88" s="50"/>
      <c r="Q88" s="51"/>
      <c r="R88" s="50"/>
      <c r="S88" s="50"/>
      <c r="T88" s="51"/>
      <c r="U88" s="50"/>
    </row>
    <row r="89" spans="1:21" x14ac:dyDescent="0.25">
      <c r="A89" s="45" t="s">
        <v>20</v>
      </c>
      <c r="B89" s="46">
        <v>45701</v>
      </c>
      <c r="C89" s="45" t="s">
        <v>352</v>
      </c>
      <c r="D89" s="47" t="s">
        <v>168</v>
      </c>
      <c r="E89" s="45" t="s">
        <v>245</v>
      </c>
      <c r="F89" s="45" t="s">
        <v>246</v>
      </c>
      <c r="G89" s="45" t="s">
        <v>30</v>
      </c>
      <c r="H89" s="45" t="s">
        <v>1758</v>
      </c>
      <c r="I89" s="45" t="s">
        <v>1759</v>
      </c>
      <c r="J89" s="45">
        <v>703954985</v>
      </c>
      <c r="K89" s="45" t="s">
        <v>1540</v>
      </c>
      <c r="L89" s="48">
        <v>12.47</v>
      </c>
      <c r="M89" s="49">
        <v>202411011445</v>
      </c>
      <c r="N89" s="50" t="s">
        <v>28</v>
      </c>
      <c r="O89" s="50"/>
      <c r="P89" s="50"/>
      <c r="Q89" s="51"/>
      <c r="R89" s="50"/>
      <c r="S89" s="50"/>
      <c r="T89" s="51"/>
      <c r="U89" s="50"/>
    </row>
    <row r="90" spans="1:21" x14ac:dyDescent="0.25">
      <c r="A90" s="45" t="s">
        <v>233</v>
      </c>
      <c r="B90" s="46">
        <v>45757</v>
      </c>
      <c r="C90" s="45" t="s">
        <v>352</v>
      </c>
      <c r="D90" s="47" t="s">
        <v>34</v>
      </c>
      <c r="E90" s="45" t="s">
        <v>245</v>
      </c>
      <c r="F90" s="45" t="s">
        <v>246</v>
      </c>
      <c r="G90" s="45" t="s">
        <v>1760</v>
      </c>
      <c r="H90" s="45" t="s">
        <v>1761</v>
      </c>
      <c r="I90" s="45" t="s">
        <v>1762</v>
      </c>
      <c r="J90" s="45">
        <v>762467496</v>
      </c>
      <c r="K90" s="45" t="s">
        <v>1588</v>
      </c>
      <c r="L90" s="48">
        <v>15</v>
      </c>
      <c r="M90" s="49">
        <v>20241108327</v>
      </c>
      <c r="N90" s="50" t="s">
        <v>28</v>
      </c>
      <c r="O90" s="50"/>
      <c r="P90" s="50"/>
      <c r="Q90" s="51"/>
      <c r="R90" s="50"/>
      <c r="S90" s="50"/>
      <c r="T90" s="51"/>
      <c r="U90" s="50"/>
    </row>
    <row r="91" spans="1:21" x14ac:dyDescent="0.25">
      <c r="A91" s="45" t="s">
        <v>233</v>
      </c>
      <c r="B91" s="46">
        <v>45757</v>
      </c>
      <c r="C91" s="45" t="s">
        <v>352</v>
      </c>
      <c r="D91" s="47" t="s">
        <v>34</v>
      </c>
      <c r="E91" s="45" t="s">
        <v>245</v>
      </c>
      <c r="F91" s="45" t="s">
        <v>246</v>
      </c>
      <c r="G91" s="45" t="s">
        <v>1760</v>
      </c>
      <c r="H91" s="45" t="s">
        <v>1761</v>
      </c>
      <c r="I91" s="45" t="s">
        <v>1762</v>
      </c>
      <c r="J91" s="45">
        <v>762467496</v>
      </c>
      <c r="K91" s="45" t="s">
        <v>1460</v>
      </c>
      <c r="L91" s="48">
        <v>25</v>
      </c>
      <c r="M91" s="49">
        <v>20241108326</v>
      </c>
      <c r="N91" s="50" t="s">
        <v>28</v>
      </c>
      <c r="O91" s="50"/>
      <c r="P91" s="50"/>
      <c r="Q91" s="51"/>
      <c r="R91" s="50"/>
      <c r="S91" s="50"/>
      <c r="T91" s="51"/>
      <c r="U91" s="50"/>
    </row>
    <row r="92" spans="1:21" x14ac:dyDescent="0.25">
      <c r="A92" s="45" t="s">
        <v>1283</v>
      </c>
      <c r="B92" s="46">
        <v>45757</v>
      </c>
      <c r="C92" s="45" t="s">
        <v>352</v>
      </c>
      <c r="D92" s="47" t="s">
        <v>34</v>
      </c>
      <c r="E92" s="45" t="s">
        <v>245</v>
      </c>
      <c r="F92" s="45" t="s">
        <v>246</v>
      </c>
      <c r="G92" s="45" t="s">
        <v>1284</v>
      </c>
      <c r="H92" s="45" t="s">
        <v>1763</v>
      </c>
      <c r="I92" s="45" t="s">
        <v>1764</v>
      </c>
      <c r="J92" s="45">
        <v>868374381</v>
      </c>
      <c r="K92" s="45" t="s">
        <v>1319</v>
      </c>
      <c r="L92" s="48">
        <v>9</v>
      </c>
      <c r="M92" s="49">
        <v>20241106658</v>
      </c>
      <c r="N92" s="50" t="s">
        <v>28</v>
      </c>
      <c r="O92" s="50"/>
      <c r="P92" s="50"/>
      <c r="Q92" s="51"/>
      <c r="R92" s="50"/>
      <c r="S92" s="50"/>
      <c r="T92" s="51"/>
      <c r="U92" s="50"/>
    </row>
    <row r="93" spans="1:21" x14ac:dyDescent="0.25">
      <c r="A93" s="45" t="s">
        <v>1765</v>
      </c>
      <c r="B93" s="46">
        <v>45757</v>
      </c>
      <c r="C93" s="45" t="s">
        <v>352</v>
      </c>
      <c r="D93" s="47" t="s">
        <v>34</v>
      </c>
      <c r="E93" s="45" t="s">
        <v>245</v>
      </c>
      <c r="F93" s="45" t="s">
        <v>246</v>
      </c>
      <c r="G93" s="45" t="s">
        <v>1284</v>
      </c>
      <c r="H93" s="45" t="s">
        <v>1763</v>
      </c>
      <c r="I93" s="45" t="s">
        <v>1764</v>
      </c>
      <c r="J93" s="45">
        <v>868374381</v>
      </c>
      <c r="K93" s="45" t="s">
        <v>318</v>
      </c>
      <c r="L93" s="48">
        <v>24.65</v>
      </c>
      <c r="M93" s="49">
        <v>20241106544</v>
      </c>
      <c r="N93" s="50" t="s">
        <v>28</v>
      </c>
      <c r="O93" s="50"/>
      <c r="P93" s="50"/>
      <c r="Q93" s="51"/>
      <c r="R93" s="50"/>
      <c r="S93" s="50"/>
      <c r="T93" s="51"/>
      <c r="U93" s="50"/>
    </row>
    <row r="94" spans="1:21" x14ac:dyDescent="0.25">
      <c r="A94" s="45" t="s">
        <v>20</v>
      </c>
      <c r="B94" s="46">
        <v>45701</v>
      </c>
      <c r="C94" s="45" t="s">
        <v>352</v>
      </c>
      <c r="D94" s="47" t="s">
        <v>168</v>
      </c>
      <c r="E94" s="45" t="s">
        <v>277</v>
      </c>
      <c r="F94" s="45" t="s">
        <v>278</v>
      </c>
      <c r="G94" s="45" t="s">
        <v>164</v>
      </c>
      <c r="H94" s="45" t="s">
        <v>1766</v>
      </c>
      <c r="I94" s="45" t="s">
        <v>1767</v>
      </c>
      <c r="J94" s="45">
        <v>40496</v>
      </c>
      <c r="K94" s="45" t="s">
        <v>1347</v>
      </c>
      <c r="L94" s="48">
        <v>364.09</v>
      </c>
      <c r="M94" s="49">
        <v>20241106653</v>
      </c>
      <c r="N94" s="50" t="s">
        <v>28</v>
      </c>
      <c r="O94" s="50"/>
      <c r="P94" s="50"/>
      <c r="Q94" s="51"/>
      <c r="R94" s="50"/>
      <c r="S94" s="50"/>
      <c r="T94" s="51"/>
      <c r="U94" s="50"/>
    </row>
    <row r="95" spans="1:21" x14ac:dyDescent="0.25">
      <c r="A95" s="45" t="s">
        <v>20</v>
      </c>
      <c r="B95" s="46">
        <v>45701</v>
      </c>
      <c r="C95" s="45" t="s">
        <v>352</v>
      </c>
      <c r="D95" s="47" t="s">
        <v>168</v>
      </c>
      <c r="E95" s="45" t="s">
        <v>277</v>
      </c>
      <c r="F95" s="45" t="s">
        <v>278</v>
      </c>
      <c r="G95" s="45" t="s">
        <v>164</v>
      </c>
      <c r="H95" s="45" t="s">
        <v>1766</v>
      </c>
      <c r="I95" s="45" t="s">
        <v>1767</v>
      </c>
      <c r="J95" s="45">
        <v>40496</v>
      </c>
      <c r="K95" s="45" t="s">
        <v>891</v>
      </c>
      <c r="L95" s="48">
        <v>20</v>
      </c>
      <c r="M95" s="49">
        <v>20241106593</v>
      </c>
      <c r="N95" s="50" t="s">
        <v>28</v>
      </c>
      <c r="O95" s="50"/>
      <c r="P95" s="50"/>
      <c r="Q95" s="51"/>
      <c r="R95" s="50"/>
      <c r="S95" s="50"/>
      <c r="T95" s="51"/>
      <c r="U95" s="50"/>
    </row>
    <row r="96" spans="1:21" x14ac:dyDescent="0.25">
      <c r="A96" s="45" t="s">
        <v>20</v>
      </c>
      <c r="B96" s="46">
        <v>45701</v>
      </c>
      <c r="C96" s="45" t="s">
        <v>352</v>
      </c>
      <c r="D96" s="47" t="s">
        <v>168</v>
      </c>
      <c r="E96" s="45" t="s">
        <v>277</v>
      </c>
      <c r="F96" s="45" t="s">
        <v>278</v>
      </c>
      <c r="G96" s="45" t="s">
        <v>164</v>
      </c>
      <c r="H96" s="45" t="s">
        <v>1766</v>
      </c>
      <c r="I96" s="45" t="s">
        <v>1767</v>
      </c>
      <c r="J96" s="45">
        <v>40496</v>
      </c>
      <c r="K96" s="45" t="s">
        <v>891</v>
      </c>
      <c r="L96" s="48">
        <v>20</v>
      </c>
      <c r="M96" s="49">
        <v>20241106594</v>
      </c>
      <c r="N96" s="50" t="s">
        <v>28</v>
      </c>
      <c r="O96" s="50"/>
      <c r="P96" s="50"/>
      <c r="Q96" s="51"/>
      <c r="R96" s="50"/>
      <c r="S96" s="50"/>
      <c r="T96" s="51"/>
      <c r="U96" s="50"/>
    </row>
    <row r="97" spans="1:21" x14ac:dyDescent="0.25">
      <c r="A97" s="45" t="s">
        <v>20</v>
      </c>
      <c r="B97" s="46">
        <v>45701</v>
      </c>
      <c r="C97" s="45" t="s">
        <v>352</v>
      </c>
      <c r="D97" s="47" t="s">
        <v>168</v>
      </c>
      <c r="E97" s="45" t="s">
        <v>277</v>
      </c>
      <c r="F97" s="45" t="s">
        <v>278</v>
      </c>
      <c r="G97" s="45" t="s">
        <v>164</v>
      </c>
      <c r="H97" s="45" t="s">
        <v>1766</v>
      </c>
      <c r="I97" s="45" t="s">
        <v>1767</v>
      </c>
      <c r="J97" s="45">
        <v>40496</v>
      </c>
      <c r="K97" s="45" t="s">
        <v>250</v>
      </c>
      <c r="L97" s="48">
        <v>20</v>
      </c>
      <c r="M97" s="49">
        <v>20241106595</v>
      </c>
      <c r="N97" s="50" t="s">
        <v>28</v>
      </c>
      <c r="O97" s="50"/>
      <c r="P97" s="50"/>
      <c r="Q97" s="51"/>
      <c r="R97" s="50"/>
      <c r="S97" s="50"/>
      <c r="T97" s="51"/>
      <c r="U97" s="50"/>
    </row>
    <row r="98" spans="1:21" x14ac:dyDescent="0.25">
      <c r="A98" s="45" t="s">
        <v>20</v>
      </c>
      <c r="B98" s="46">
        <v>45701</v>
      </c>
      <c r="C98" s="45" t="s">
        <v>352</v>
      </c>
      <c r="D98" s="47" t="s">
        <v>168</v>
      </c>
      <c r="E98" s="45" t="s">
        <v>277</v>
      </c>
      <c r="F98" s="45" t="s">
        <v>278</v>
      </c>
      <c r="G98" s="45" t="s">
        <v>164</v>
      </c>
      <c r="H98" s="45" t="s">
        <v>1766</v>
      </c>
      <c r="I98" s="45" t="s">
        <v>1767</v>
      </c>
      <c r="J98" s="45">
        <v>40496</v>
      </c>
      <c r="K98" s="45" t="s">
        <v>891</v>
      </c>
      <c r="L98" s="48">
        <v>30</v>
      </c>
      <c r="M98" s="49">
        <v>20241106596</v>
      </c>
      <c r="N98" s="50" t="s">
        <v>28</v>
      </c>
      <c r="O98" s="50"/>
      <c r="P98" s="50"/>
      <c r="Q98" s="51"/>
      <c r="R98" s="50"/>
      <c r="S98" s="50"/>
      <c r="T98" s="51"/>
      <c r="U98" s="50"/>
    </row>
    <row r="99" spans="1:21" x14ac:dyDescent="0.25">
      <c r="A99" s="45" t="s">
        <v>20</v>
      </c>
      <c r="B99" s="46">
        <v>45701</v>
      </c>
      <c r="C99" s="45" t="s">
        <v>352</v>
      </c>
      <c r="D99" s="47" t="s">
        <v>168</v>
      </c>
      <c r="E99" s="45" t="s">
        <v>277</v>
      </c>
      <c r="F99" s="45" t="s">
        <v>278</v>
      </c>
      <c r="G99" s="45" t="s">
        <v>164</v>
      </c>
      <c r="H99" s="45" t="s">
        <v>1766</v>
      </c>
      <c r="I99" s="45" t="s">
        <v>1767</v>
      </c>
      <c r="J99" s="45">
        <v>40496</v>
      </c>
      <c r="K99" s="45" t="s">
        <v>270</v>
      </c>
      <c r="L99" s="48">
        <v>20</v>
      </c>
      <c r="M99" s="49">
        <v>20241106597</v>
      </c>
      <c r="N99" s="50" t="s">
        <v>28</v>
      </c>
      <c r="O99" s="50"/>
      <c r="P99" s="50"/>
      <c r="Q99" s="51"/>
      <c r="R99" s="50"/>
      <c r="S99" s="50"/>
      <c r="T99" s="51"/>
      <c r="U99" s="50"/>
    </row>
    <row r="100" spans="1:21" ht="45" x14ac:dyDescent="0.25">
      <c r="A100" s="45" t="s">
        <v>20</v>
      </c>
      <c r="B100" s="46">
        <v>45701</v>
      </c>
      <c r="C100" s="45" t="s">
        <v>352</v>
      </c>
      <c r="D100" s="47" t="s">
        <v>168</v>
      </c>
      <c r="E100" s="45" t="s">
        <v>277</v>
      </c>
      <c r="F100" s="45" t="s">
        <v>278</v>
      </c>
      <c r="G100" s="45" t="s">
        <v>164</v>
      </c>
      <c r="H100" s="45" t="s">
        <v>1766</v>
      </c>
      <c r="I100" s="45" t="s">
        <v>1767</v>
      </c>
      <c r="J100" s="45">
        <v>40496</v>
      </c>
      <c r="K100" s="45" t="s">
        <v>310</v>
      </c>
      <c r="L100" s="48">
        <v>377.48</v>
      </c>
      <c r="M100" s="49">
        <v>20241106598</v>
      </c>
      <c r="N100" s="50"/>
      <c r="O100" s="50"/>
      <c r="P100" s="50" t="s">
        <v>304</v>
      </c>
      <c r="Q100" s="51" t="s">
        <v>1768</v>
      </c>
      <c r="R100" s="50"/>
      <c r="S100" s="50"/>
      <c r="T100" s="51"/>
      <c r="U100" s="50"/>
    </row>
    <row r="101" spans="1:21" x14ac:dyDescent="0.25">
      <c r="A101" s="45" t="s">
        <v>20</v>
      </c>
      <c r="B101" s="46">
        <v>45701</v>
      </c>
      <c r="C101" s="45" t="s">
        <v>352</v>
      </c>
      <c r="D101" s="47" t="s">
        <v>168</v>
      </c>
      <c r="E101" s="45" t="s">
        <v>277</v>
      </c>
      <c r="F101" s="45" t="s">
        <v>278</v>
      </c>
      <c r="G101" s="45" t="s">
        <v>164</v>
      </c>
      <c r="H101" s="45" t="s">
        <v>1766</v>
      </c>
      <c r="I101" s="45" t="s">
        <v>1767</v>
      </c>
      <c r="J101" s="45">
        <v>40496</v>
      </c>
      <c r="K101" s="45" t="s">
        <v>815</v>
      </c>
      <c r="L101" s="48">
        <v>20</v>
      </c>
      <c r="M101" s="49">
        <v>20241106599</v>
      </c>
      <c r="N101" s="50" t="s">
        <v>28</v>
      </c>
      <c r="O101" s="50"/>
      <c r="P101" s="50"/>
      <c r="Q101" s="51"/>
      <c r="R101" s="50"/>
      <c r="S101" s="50"/>
      <c r="T101" s="51"/>
      <c r="U101" s="50"/>
    </row>
    <row r="102" spans="1:21" x14ac:dyDescent="0.25">
      <c r="A102" s="45" t="s">
        <v>20</v>
      </c>
      <c r="B102" s="46">
        <v>45701</v>
      </c>
      <c r="C102" s="45" t="s">
        <v>352</v>
      </c>
      <c r="D102" s="47" t="s">
        <v>168</v>
      </c>
      <c r="E102" s="45" t="s">
        <v>277</v>
      </c>
      <c r="F102" s="45" t="s">
        <v>278</v>
      </c>
      <c r="G102" s="45" t="s">
        <v>164</v>
      </c>
      <c r="H102" s="45" t="s">
        <v>1766</v>
      </c>
      <c r="I102" s="45" t="s">
        <v>1767</v>
      </c>
      <c r="J102" s="45">
        <v>40496</v>
      </c>
      <c r="K102" s="45" t="s">
        <v>1543</v>
      </c>
      <c r="L102" s="48">
        <v>20</v>
      </c>
      <c r="M102" s="49">
        <v>20241106600</v>
      </c>
      <c r="N102" s="50" t="s">
        <v>28</v>
      </c>
      <c r="O102" s="50"/>
      <c r="P102" s="50"/>
      <c r="Q102" s="51"/>
      <c r="R102" s="50"/>
      <c r="S102" s="50"/>
      <c r="T102" s="51"/>
      <c r="U102" s="50"/>
    </row>
    <row r="103" spans="1:21" x14ac:dyDescent="0.25">
      <c r="A103" s="45" t="s">
        <v>20</v>
      </c>
      <c r="B103" s="46">
        <v>45701</v>
      </c>
      <c r="C103" s="45" t="s">
        <v>352</v>
      </c>
      <c r="D103" s="47" t="s">
        <v>168</v>
      </c>
      <c r="E103" s="45" t="s">
        <v>277</v>
      </c>
      <c r="F103" s="45" t="s">
        <v>278</v>
      </c>
      <c r="G103" s="45" t="s">
        <v>164</v>
      </c>
      <c r="H103" s="45" t="s">
        <v>1766</v>
      </c>
      <c r="I103" s="45" t="s">
        <v>1767</v>
      </c>
      <c r="J103" s="45">
        <v>40496</v>
      </c>
      <c r="K103" s="45" t="s">
        <v>119</v>
      </c>
      <c r="L103" s="48">
        <v>20</v>
      </c>
      <c r="M103" s="49">
        <v>20241106601</v>
      </c>
      <c r="N103" s="50" t="s">
        <v>28</v>
      </c>
      <c r="O103" s="50"/>
      <c r="P103" s="50"/>
      <c r="Q103" s="51"/>
      <c r="R103" s="50"/>
      <c r="S103" s="50"/>
      <c r="T103" s="51"/>
      <c r="U103" s="50"/>
    </row>
    <row r="104" spans="1:21" x14ac:dyDescent="0.25">
      <c r="A104" s="45" t="s">
        <v>20</v>
      </c>
      <c r="B104" s="46">
        <v>45701</v>
      </c>
      <c r="C104" s="45" t="s">
        <v>352</v>
      </c>
      <c r="D104" s="47" t="s">
        <v>168</v>
      </c>
      <c r="E104" s="45" t="s">
        <v>277</v>
      </c>
      <c r="F104" s="45" t="s">
        <v>278</v>
      </c>
      <c r="G104" s="45" t="s">
        <v>164</v>
      </c>
      <c r="H104" s="45" t="s">
        <v>1766</v>
      </c>
      <c r="I104" s="45" t="s">
        <v>1767</v>
      </c>
      <c r="J104" s="45">
        <v>40496</v>
      </c>
      <c r="K104" s="45" t="s">
        <v>781</v>
      </c>
      <c r="L104" s="48">
        <v>76.94</v>
      </c>
      <c r="M104" s="49">
        <v>20241106643</v>
      </c>
      <c r="N104" s="50" t="s">
        <v>28</v>
      </c>
      <c r="O104" s="50"/>
      <c r="P104" s="50"/>
      <c r="Q104" s="51"/>
      <c r="R104" s="50"/>
      <c r="S104" s="50"/>
      <c r="T104" s="51"/>
      <c r="U104" s="50"/>
    </row>
    <row r="105" spans="1:21" x14ac:dyDescent="0.25">
      <c r="A105" s="45" t="s">
        <v>20</v>
      </c>
      <c r="B105" s="46">
        <v>45701</v>
      </c>
      <c r="C105" s="45" t="s">
        <v>352</v>
      </c>
      <c r="D105" s="47" t="s">
        <v>168</v>
      </c>
      <c r="E105" s="45" t="s">
        <v>277</v>
      </c>
      <c r="F105" s="45" t="s">
        <v>278</v>
      </c>
      <c r="G105" s="45" t="s">
        <v>164</v>
      </c>
      <c r="H105" s="45" t="s">
        <v>1766</v>
      </c>
      <c r="I105" s="45" t="s">
        <v>1767</v>
      </c>
      <c r="J105" s="45">
        <v>40496</v>
      </c>
      <c r="K105" s="45" t="s">
        <v>815</v>
      </c>
      <c r="L105" s="48">
        <v>30</v>
      </c>
      <c r="M105" s="49">
        <v>20241106644</v>
      </c>
      <c r="N105" s="50" t="s">
        <v>28</v>
      </c>
      <c r="O105" s="50"/>
      <c r="P105" s="50"/>
      <c r="Q105" s="51"/>
      <c r="R105" s="50"/>
      <c r="S105" s="50"/>
      <c r="T105" s="51"/>
      <c r="U105" s="50"/>
    </row>
    <row r="106" spans="1:21" x14ac:dyDescent="0.25">
      <c r="A106" s="45" t="s">
        <v>20</v>
      </c>
      <c r="B106" s="46">
        <v>45701</v>
      </c>
      <c r="C106" s="45" t="s">
        <v>352</v>
      </c>
      <c r="D106" s="47" t="s">
        <v>168</v>
      </c>
      <c r="E106" s="45" t="s">
        <v>277</v>
      </c>
      <c r="F106" s="45" t="s">
        <v>278</v>
      </c>
      <c r="G106" s="45" t="s">
        <v>164</v>
      </c>
      <c r="H106" s="45" t="s">
        <v>1766</v>
      </c>
      <c r="I106" s="45" t="s">
        <v>1767</v>
      </c>
      <c r="J106" s="45">
        <v>40496</v>
      </c>
      <c r="K106" s="45" t="s">
        <v>928</v>
      </c>
      <c r="L106" s="48">
        <v>20</v>
      </c>
      <c r="M106" s="49">
        <v>20241106645</v>
      </c>
      <c r="N106" s="50" t="s">
        <v>28</v>
      </c>
      <c r="O106" s="50"/>
      <c r="P106" s="50"/>
      <c r="Q106" s="51"/>
      <c r="R106" s="50"/>
      <c r="S106" s="50"/>
      <c r="T106" s="51"/>
      <c r="U106" s="50"/>
    </row>
    <row r="107" spans="1:21" x14ac:dyDescent="0.25">
      <c r="A107" s="45" t="s">
        <v>20</v>
      </c>
      <c r="B107" s="46">
        <v>45701</v>
      </c>
      <c r="C107" s="45" t="s">
        <v>352</v>
      </c>
      <c r="D107" s="47" t="s">
        <v>168</v>
      </c>
      <c r="E107" s="45" t="s">
        <v>277</v>
      </c>
      <c r="F107" s="45" t="s">
        <v>278</v>
      </c>
      <c r="G107" s="45" t="s">
        <v>164</v>
      </c>
      <c r="H107" s="45" t="s">
        <v>1766</v>
      </c>
      <c r="I107" s="45" t="s">
        <v>1767</v>
      </c>
      <c r="J107" s="45">
        <v>40496</v>
      </c>
      <c r="K107" s="45" t="s">
        <v>928</v>
      </c>
      <c r="L107" s="48">
        <v>20</v>
      </c>
      <c r="M107" s="49">
        <v>20241106646</v>
      </c>
      <c r="N107" s="50" t="s">
        <v>28</v>
      </c>
      <c r="O107" s="50"/>
      <c r="P107" s="50"/>
      <c r="Q107" s="51"/>
      <c r="R107" s="50"/>
      <c r="S107" s="50"/>
      <c r="T107" s="51"/>
      <c r="U107" s="50"/>
    </row>
    <row r="108" spans="1:21" x14ac:dyDescent="0.25">
      <c r="A108" s="45" t="s">
        <v>20</v>
      </c>
      <c r="B108" s="46">
        <v>45701</v>
      </c>
      <c r="C108" s="45" t="s">
        <v>352</v>
      </c>
      <c r="D108" s="47" t="s">
        <v>168</v>
      </c>
      <c r="E108" s="45" t="s">
        <v>277</v>
      </c>
      <c r="F108" s="45" t="s">
        <v>278</v>
      </c>
      <c r="G108" s="45" t="s">
        <v>164</v>
      </c>
      <c r="H108" s="45" t="s">
        <v>1766</v>
      </c>
      <c r="I108" s="45" t="s">
        <v>1767</v>
      </c>
      <c r="J108" s="45">
        <v>40496</v>
      </c>
      <c r="K108" s="45" t="s">
        <v>765</v>
      </c>
      <c r="L108" s="48">
        <v>20</v>
      </c>
      <c r="M108" s="49">
        <v>20241106647</v>
      </c>
      <c r="N108" s="50" t="s">
        <v>28</v>
      </c>
      <c r="O108" s="50"/>
      <c r="P108" s="50"/>
      <c r="Q108" s="51"/>
      <c r="R108" s="50"/>
      <c r="S108" s="50"/>
      <c r="T108" s="51"/>
      <c r="U108" s="50"/>
    </row>
    <row r="109" spans="1:21" x14ac:dyDescent="0.25">
      <c r="A109" s="45" t="s">
        <v>20</v>
      </c>
      <c r="B109" s="46">
        <v>45701</v>
      </c>
      <c r="C109" s="45" t="s">
        <v>352</v>
      </c>
      <c r="D109" s="47" t="s">
        <v>168</v>
      </c>
      <c r="E109" s="45" t="s">
        <v>296</v>
      </c>
      <c r="F109" s="45" t="s">
        <v>297</v>
      </c>
      <c r="G109" s="45" t="s">
        <v>109</v>
      </c>
      <c r="H109" s="45" t="s">
        <v>1769</v>
      </c>
      <c r="I109" s="45" t="s">
        <v>1770</v>
      </c>
      <c r="J109" s="45">
        <v>575768997</v>
      </c>
      <c r="K109" s="45" t="s">
        <v>1734</v>
      </c>
      <c r="L109" s="48">
        <v>2094.2399999999998</v>
      </c>
      <c r="M109" s="49">
        <v>20241108567</v>
      </c>
      <c r="N109" s="50" t="s">
        <v>28</v>
      </c>
      <c r="O109" s="50"/>
      <c r="P109" s="50"/>
      <c r="Q109" s="51"/>
      <c r="R109" s="50"/>
      <c r="S109" s="50"/>
      <c r="T109" s="51"/>
      <c r="U109" s="50"/>
    </row>
    <row r="110" spans="1:21" x14ac:dyDescent="0.25">
      <c r="A110" s="45" t="s">
        <v>20</v>
      </c>
      <c r="B110" s="46">
        <v>45609</v>
      </c>
      <c r="C110" s="45" t="s">
        <v>114</v>
      </c>
      <c r="D110" s="47"/>
      <c r="E110" s="45" t="s">
        <v>296</v>
      </c>
      <c r="F110" s="45" t="s">
        <v>297</v>
      </c>
      <c r="G110" s="45" t="s">
        <v>109</v>
      </c>
      <c r="H110" s="45" t="s">
        <v>1769</v>
      </c>
      <c r="I110" s="45" t="s">
        <v>1770</v>
      </c>
      <c r="J110" s="45">
        <v>575768997</v>
      </c>
      <c r="K110" s="45" t="s">
        <v>1686</v>
      </c>
      <c r="L110" s="48">
        <v>852.48</v>
      </c>
      <c r="M110" s="49">
        <v>20241108513</v>
      </c>
      <c r="N110" s="50" t="s">
        <v>28</v>
      </c>
      <c r="O110" s="50"/>
      <c r="P110" s="50"/>
      <c r="Q110" s="51"/>
      <c r="R110" s="50"/>
      <c r="S110" s="50"/>
      <c r="T110" s="51"/>
      <c r="U110" s="50"/>
    </row>
    <row r="111" spans="1:21" x14ac:dyDescent="0.25">
      <c r="A111" s="45" t="s">
        <v>70</v>
      </c>
      <c r="B111" s="46">
        <v>45609</v>
      </c>
      <c r="C111" s="45" t="s">
        <v>114</v>
      </c>
      <c r="D111" s="47"/>
      <c r="E111" s="45" t="s">
        <v>296</v>
      </c>
      <c r="F111" s="45" t="s">
        <v>297</v>
      </c>
      <c r="G111" s="45" t="s">
        <v>1771</v>
      </c>
      <c r="H111" s="45" t="s">
        <v>1772</v>
      </c>
      <c r="I111" s="45" t="s">
        <v>1773</v>
      </c>
      <c r="J111" s="45">
        <v>575822122</v>
      </c>
      <c r="K111" s="45" t="s">
        <v>840</v>
      </c>
      <c r="L111" s="48">
        <v>3</v>
      </c>
      <c r="M111" s="49">
        <v>20241105711</v>
      </c>
      <c r="N111" s="50" t="s">
        <v>28</v>
      </c>
      <c r="O111" s="50"/>
      <c r="P111" s="50"/>
      <c r="Q111" s="51"/>
      <c r="R111" s="50"/>
      <c r="S111" s="50"/>
      <c r="T111" s="51"/>
      <c r="U111" s="50"/>
    </row>
    <row r="112" spans="1:21" x14ac:dyDescent="0.25">
      <c r="A112" s="45" t="s">
        <v>20</v>
      </c>
      <c r="B112" s="46">
        <v>45609</v>
      </c>
      <c r="C112" s="45" t="s">
        <v>114</v>
      </c>
      <c r="D112" s="47"/>
      <c r="E112" s="45" t="s">
        <v>296</v>
      </c>
      <c r="F112" s="45" t="s">
        <v>297</v>
      </c>
      <c r="G112" s="45" t="s">
        <v>1771</v>
      </c>
      <c r="H112" s="45" t="s">
        <v>1772</v>
      </c>
      <c r="I112" s="45" t="s">
        <v>1773</v>
      </c>
      <c r="J112" s="45">
        <v>575822122</v>
      </c>
      <c r="K112" s="45" t="s">
        <v>1296</v>
      </c>
      <c r="L112" s="48">
        <v>13.39</v>
      </c>
      <c r="M112" s="49">
        <v>20241105709</v>
      </c>
      <c r="N112" s="50" t="s">
        <v>28</v>
      </c>
      <c r="O112" s="50"/>
      <c r="P112" s="50"/>
      <c r="Q112" s="51"/>
      <c r="R112" s="50"/>
      <c r="S112" s="50"/>
      <c r="T112" s="51"/>
      <c r="U112" s="50"/>
    </row>
    <row r="113" spans="1:21" x14ac:dyDescent="0.25">
      <c r="A113" s="45" t="s">
        <v>20</v>
      </c>
      <c r="B113" s="46">
        <v>45609</v>
      </c>
      <c r="C113" s="45" t="s">
        <v>114</v>
      </c>
      <c r="D113" s="47"/>
      <c r="E113" s="45" t="s">
        <v>296</v>
      </c>
      <c r="F113" s="45" t="s">
        <v>297</v>
      </c>
      <c r="G113" s="45" t="s">
        <v>1771</v>
      </c>
      <c r="H113" s="45" t="s">
        <v>1772</v>
      </c>
      <c r="I113" s="45" t="s">
        <v>1773</v>
      </c>
      <c r="J113" s="45">
        <v>575822122</v>
      </c>
      <c r="K113" s="45" t="s">
        <v>1005</v>
      </c>
      <c r="L113" s="48">
        <v>12.38</v>
      </c>
      <c r="M113" s="49">
        <v>20241105710</v>
      </c>
      <c r="N113" s="29" t="s">
        <v>28</v>
      </c>
      <c r="O113" s="50"/>
      <c r="P113" s="50"/>
      <c r="Q113" s="51"/>
      <c r="R113" s="50"/>
      <c r="S113" s="50"/>
      <c r="T113" s="51"/>
      <c r="U113" s="50"/>
    </row>
    <row r="114" spans="1:21" x14ac:dyDescent="0.25">
      <c r="A114" s="45" t="s">
        <v>20</v>
      </c>
      <c r="B114" s="46">
        <v>45609</v>
      </c>
      <c r="C114" s="45" t="s">
        <v>114</v>
      </c>
      <c r="D114" s="47"/>
      <c r="E114" s="45" t="s">
        <v>296</v>
      </c>
      <c r="F114" s="45" t="s">
        <v>297</v>
      </c>
      <c r="G114" s="45" t="s">
        <v>1771</v>
      </c>
      <c r="H114" s="45" t="s">
        <v>1772</v>
      </c>
      <c r="I114" s="45" t="s">
        <v>1773</v>
      </c>
      <c r="J114" s="45">
        <v>575822122</v>
      </c>
      <c r="K114" s="45" t="s">
        <v>1143</v>
      </c>
      <c r="L114" s="48">
        <v>7</v>
      </c>
      <c r="M114" s="49">
        <v>20241105712</v>
      </c>
      <c r="N114" s="50" t="s">
        <v>28</v>
      </c>
      <c r="O114" s="50"/>
      <c r="P114" s="50"/>
      <c r="Q114" s="51"/>
      <c r="R114" s="50"/>
      <c r="S114" s="50"/>
      <c r="T114" s="51"/>
      <c r="U114" s="50"/>
    </row>
    <row r="115" spans="1:21" x14ac:dyDescent="0.25">
      <c r="A115" s="45" t="s">
        <v>20</v>
      </c>
      <c r="B115" s="46">
        <v>45609</v>
      </c>
      <c r="C115" s="45" t="s">
        <v>114</v>
      </c>
      <c r="D115" s="47"/>
      <c r="E115" s="45" t="s">
        <v>296</v>
      </c>
      <c r="F115" s="45" t="s">
        <v>297</v>
      </c>
      <c r="G115" s="45" t="s">
        <v>1771</v>
      </c>
      <c r="H115" s="45" t="s">
        <v>1772</v>
      </c>
      <c r="I115" s="45" t="s">
        <v>1773</v>
      </c>
      <c r="J115" s="45">
        <v>575822122</v>
      </c>
      <c r="K115" s="45" t="s">
        <v>241</v>
      </c>
      <c r="L115" s="48">
        <v>13.39</v>
      </c>
      <c r="M115" s="49">
        <v>20241105713</v>
      </c>
      <c r="N115" s="50" t="s">
        <v>28</v>
      </c>
      <c r="O115" s="50"/>
      <c r="P115" s="50"/>
      <c r="Q115" s="51"/>
      <c r="R115" s="50"/>
      <c r="S115" s="50"/>
      <c r="T115" s="51"/>
      <c r="U115" s="50"/>
    </row>
    <row r="116" spans="1:21" x14ac:dyDescent="0.25">
      <c r="A116" s="45" t="s">
        <v>20</v>
      </c>
      <c r="B116" s="46">
        <v>45609</v>
      </c>
      <c r="C116" s="45" t="s">
        <v>114</v>
      </c>
      <c r="D116" s="47"/>
      <c r="E116" s="45" t="s">
        <v>296</v>
      </c>
      <c r="F116" s="45" t="s">
        <v>297</v>
      </c>
      <c r="G116" s="45" t="s">
        <v>1771</v>
      </c>
      <c r="H116" s="45" t="s">
        <v>1772</v>
      </c>
      <c r="I116" s="45" t="s">
        <v>1773</v>
      </c>
      <c r="J116" s="45">
        <v>575822122</v>
      </c>
      <c r="K116" s="45" t="s">
        <v>1774</v>
      </c>
      <c r="L116" s="48">
        <v>13.39</v>
      </c>
      <c r="M116" s="49">
        <v>20241105708</v>
      </c>
      <c r="N116" s="50" t="s">
        <v>28</v>
      </c>
      <c r="O116" s="50"/>
      <c r="P116" s="50"/>
      <c r="Q116" s="51"/>
      <c r="R116" s="50"/>
      <c r="S116" s="50"/>
      <c r="T116" s="51"/>
      <c r="U116" s="50"/>
    </row>
    <row r="117" spans="1:21" x14ac:dyDescent="0.25">
      <c r="A117" s="45" t="s">
        <v>20</v>
      </c>
      <c r="B117" s="46">
        <v>45609</v>
      </c>
      <c r="C117" s="45" t="s">
        <v>114</v>
      </c>
      <c r="D117" s="47"/>
      <c r="E117" s="45" t="s">
        <v>296</v>
      </c>
      <c r="F117" s="45" t="s">
        <v>297</v>
      </c>
      <c r="G117" s="45" t="s">
        <v>1339</v>
      </c>
      <c r="H117" s="45" t="s">
        <v>1775</v>
      </c>
      <c r="I117" s="45" t="s">
        <v>1776</v>
      </c>
      <c r="J117" s="45">
        <v>575921911</v>
      </c>
      <c r="K117" s="45" t="s">
        <v>1777</v>
      </c>
      <c r="L117" s="48">
        <v>49.13</v>
      </c>
      <c r="M117" s="49">
        <v>20241108349</v>
      </c>
      <c r="N117" s="50" t="s">
        <v>28</v>
      </c>
      <c r="O117" s="50"/>
      <c r="P117" s="50"/>
      <c r="Q117" s="51"/>
      <c r="R117" s="50"/>
      <c r="S117" s="50"/>
      <c r="T117" s="51"/>
      <c r="U117" s="50"/>
    </row>
    <row r="118" spans="1:21" x14ac:dyDescent="0.25">
      <c r="A118" s="45" t="s">
        <v>20</v>
      </c>
      <c r="B118" s="46">
        <v>45609</v>
      </c>
      <c r="C118" s="45" t="s">
        <v>114</v>
      </c>
      <c r="D118" s="47"/>
      <c r="E118" s="45" t="s">
        <v>296</v>
      </c>
      <c r="F118" s="45" t="s">
        <v>297</v>
      </c>
      <c r="G118" s="45" t="s">
        <v>1339</v>
      </c>
      <c r="H118" s="45" t="s">
        <v>1775</v>
      </c>
      <c r="I118" s="45" t="s">
        <v>1776</v>
      </c>
      <c r="J118" s="45">
        <v>575921911</v>
      </c>
      <c r="K118" s="45" t="s">
        <v>225</v>
      </c>
      <c r="L118" s="48">
        <v>14</v>
      </c>
      <c r="M118" s="49">
        <v>20241108353</v>
      </c>
      <c r="N118" s="50" t="s">
        <v>28</v>
      </c>
      <c r="O118" s="50"/>
      <c r="P118" s="50"/>
      <c r="Q118" s="51"/>
      <c r="R118" s="50"/>
      <c r="S118" s="50"/>
      <c r="T118" s="51"/>
      <c r="U118" s="50"/>
    </row>
    <row r="119" spans="1:21" x14ac:dyDescent="0.25">
      <c r="A119" s="45" t="s">
        <v>20</v>
      </c>
      <c r="B119" s="46">
        <v>45609</v>
      </c>
      <c r="C119" s="45" t="s">
        <v>114</v>
      </c>
      <c r="D119" s="47"/>
      <c r="E119" s="45" t="s">
        <v>296</v>
      </c>
      <c r="F119" s="45" t="s">
        <v>297</v>
      </c>
      <c r="G119" s="45" t="s">
        <v>1339</v>
      </c>
      <c r="H119" s="45" t="s">
        <v>1775</v>
      </c>
      <c r="I119" s="45" t="s">
        <v>1776</v>
      </c>
      <c r="J119" s="45">
        <v>575921911</v>
      </c>
      <c r="K119" s="45" t="s">
        <v>1778</v>
      </c>
      <c r="L119" s="48">
        <v>6.78</v>
      </c>
      <c r="M119" s="49">
        <v>20241108359</v>
      </c>
      <c r="N119" s="50" t="s">
        <v>28</v>
      </c>
      <c r="O119" s="50"/>
      <c r="P119" s="50"/>
      <c r="Q119" s="51"/>
      <c r="R119" s="50"/>
      <c r="S119" s="50"/>
      <c r="T119" s="51"/>
      <c r="U119" s="50"/>
    </row>
    <row r="120" spans="1:21" x14ac:dyDescent="0.25">
      <c r="A120" s="45" t="s">
        <v>20</v>
      </c>
      <c r="B120" s="46">
        <v>45609</v>
      </c>
      <c r="C120" s="45" t="s">
        <v>114</v>
      </c>
      <c r="D120" s="47"/>
      <c r="E120" s="45" t="s">
        <v>296</v>
      </c>
      <c r="F120" s="45" t="s">
        <v>297</v>
      </c>
      <c r="G120" s="45" t="s">
        <v>1339</v>
      </c>
      <c r="H120" s="45" t="s">
        <v>1775</v>
      </c>
      <c r="I120" s="45" t="s">
        <v>1776</v>
      </c>
      <c r="J120" s="45">
        <v>575921911</v>
      </c>
      <c r="K120" s="45" t="s">
        <v>1779</v>
      </c>
      <c r="L120" s="48">
        <v>2.29</v>
      </c>
      <c r="M120" s="49">
        <v>20241108368</v>
      </c>
      <c r="N120" s="50" t="s">
        <v>28</v>
      </c>
      <c r="O120" s="50"/>
      <c r="P120" s="50"/>
      <c r="Q120" s="51"/>
      <c r="R120" s="50"/>
      <c r="S120" s="50"/>
      <c r="T120" s="51"/>
      <c r="U120" s="50"/>
    </row>
    <row r="121" spans="1:21" x14ac:dyDescent="0.25">
      <c r="A121" s="45" t="s">
        <v>20</v>
      </c>
      <c r="B121" s="46">
        <v>45609</v>
      </c>
      <c r="C121" s="45" t="s">
        <v>114</v>
      </c>
      <c r="D121" s="47"/>
      <c r="E121" s="45" t="s">
        <v>296</v>
      </c>
      <c r="F121" s="45" t="s">
        <v>297</v>
      </c>
      <c r="G121" s="45" t="s">
        <v>1339</v>
      </c>
      <c r="H121" s="45" t="s">
        <v>1775</v>
      </c>
      <c r="I121" s="45" t="s">
        <v>1776</v>
      </c>
      <c r="J121" s="45">
        <v>575921911</v>
      </c>
      <c r="K121" s="45" t="s">
        <v>224</v>
      </c>
      <c r="L121" s="48">
        <v>42.43</v>
      </c>
      <c r="M121" s="49">
        <v>20241108362</v>
      </c>
      <c r="N121" s="50" t="s">
        <v>28</v>
      </c>
      <c r="O121" s="50"/>
      <c r="P121" s="50"/>
      <c r="Q121" s="51"/>
      <c r="R121" s="50"/>
      <c r="S121" s="50"/>
      <c r="T121" s="51"/>
      <c r="U121" s="50"/>
    </row>
    <row r="122" spans="1:21" x14ac:dyDescent="0.25">
      <c r="A122" s="45" t="s">
        <v>20</v>
      </c>
      <c r="B122" s="46">
        <v>45609</v>
      </c>
      <c r="C122" s="45" t="s">
        <v>114</v>
      </c>
      <c r="D122" s="47"/>
      <c r="E122" s="45" t="s">
        <v>296</v>
      </c>
      <c r="F122" s="45" t="s">
        <v>297</v>
      </c>
      <c r="G122" s="45" t="s">
        <v>1339</v>
      </c>
      <c r="H122" s="45" t="s">
        <v>1775</v>
      </c>
      <c r="I122" s="45" t="s">
        <v>1776</v>
      </c>
      <c r="J122" s="45">
        <v>575921911</v>
      </c>
      <c r="K122" s="45" t="s">
        <v>1112</v>
      </c>
      <c r="L122" s="48">
        <v>60.29</v>
      </c>
      <c r="M122" s="49">
        <v>20241108365</v>
      </c>
      <c r="N122" s="50" t="s">
        <v>28</v>
      </c>
      <c r="O122" s="50"/>
      <c r="P122" s="50"/>
      <c r="Q122" s="51"/>
      <c r="R122" s="50"/>
      <c r="S122" s="50"/>
      <c r="T122" s="51"/>
      <c r="U122" s="50"/>
    </row>
    <row r="123" spans="1:21" x14ac:dyDescent="0.25">
      <c r="A123" s="45" t="s">
        <v>20</v>
      </c>
      <c r="B123" s="46">
        <v>45609</v>
      </c>
      <c r="C123" s="45" t="s">
        <v>114</v>
      </c>
      <c r="D123" s="47"/>
      <c r="E123" s="45" t="s">
        <v>296</v>
      </c>
      <c r="F123" s="45" t="s">
        <v>297</v>
      </c>
      <c r="G123" s="45" t="s">
        <v>1339</v>
      </c>
      <c r="H123" s="45" t="s">
        <v>1775</v>
      </c>
      <c r="I123" s="45" t="s">
        <v>1776</v>
      </c>
      <c r="J123" s="45">
        <v>575921911</v>
      </c>
      <c r="K123" s="45" t="s">
        <v>840</v>
      </c>
      <c r="L123" s="48">
        <v>14</v>
      </c>
      <c r="M123" s="49">
        <v>20241108335</v>
      </c>
      <c r="N123" s="50" t="s">
        <v>28</v>
      </c>
      <c r="O123" s="50"/>
      <c r="P123" s="50"/>
      <c r="Q123" s="51"/>
      <c r="R123" s="50"/>
      <c r="S123" s="50"/>
      <c r="T123" s="51"/>
      <c r="U123" s="50"/>
    </row>
    <row r="124" spans="1:21" ht="25.5" x14ac:dyDescent="0.25">
      <c r="A124" s="45" t="s">
        <v>20</v>
      </c>
      <c r="B124" s="46">
        <v>45609</v>
      </c>
      <c r="C124" s="45" t="s">
        <v>114</v>
      </c>
      <c r="D124" s="47"/>
      <c r="E124" s="45" t="s">
        <v>264</v>
      </c>
      <c r="F124" s="45" t="s">
        <v>650</v>
      </c>
      <c r="G124" s="45" t="s">
        <v>361</v>
      </c>
      <c r="H124" s="45" t="s">
        <v>1052</v>
      </c>
      <c r="I124" s="45" t="s">
        <v>1780</v>
      </c>
      <c r="J124" s="45">
        <v>576459945</v>
      </c>
      <c r="K124" s="45" t="s">
        <v>83</v>
      </c>
      <c r="L124" s="48">
        <v>3</v>
      </c>
      <c r="M124" s="49">
        <v>202410012062</v>
      </c>
      <c r="N124" s="50" t="s">
        <v>28</v>
      </c>
      <c r="O124" s="50"/>
      <c r="P124" s="50"/>
      <c r="Q124" s="51"/>
      <c r="R124" s="50"/>
      <c r="S124" s="50"/>
      <c r="T124" s="51"/>
      <c r="U124" s="50"/>
    </row>
    <row r="125" spans="1:21" x14ac:dyDescent="0.25">
      <c r="A125" s="45" t="s">
        <v>1138</v>
      </c>
      <c r="B125" s="46">
        <v>45617</v>
      </c>
      <c r="C125" s="45" t="s">
        <v>294</v>
      </c>
      <c r="D125" s="47"/>
      <c r="E125" s="45" t="s">
        <v>325</v>
      </c>
      <c r="F125" s="45" t="s">
        <v>278</v>
      </c>
      <c r="G125" s="45" t="s">
        <v>1781</v>
      </c>
      <c r="H125" s="45" t="s">
        <v>1782</v>
      </c>
      <c r="I125" s="45" t="s">
        <v>1783</v>
      </c>
      <c r="J125" s="45">
        <v>518513568</v>
      </c>
      <c r="K125" s="45" t="s">
        <v>1784</v>
      </c>
      <c r="L125" s="48">
        <v>3470.76</v>
      </c>
      <c r="M125" s="49">
        <v>20241106858</v>
      </c>
      <c r="N125" s="50" t="s">
        <v>28</v>
      </c>
      <c r="O125" s="50"/>
      <c r="P125" s="50"/>
      <c r="Q125" s="51"/>
      <c r="R125" s="50"/>
      <c r="S125" s="50"/>
      <c r="T125" s="51"/>
      <c r="U125" s="50"/>
    </row>
    <row r="126" spans="1:21" x14ac:dyDescent="0.25">
      <c r="A126" s="45" t="s">
        <v>407</v>
      </c>
      <c r="B126" s="46">
        <v>45617</v>
      </c>
      <c r="C126" s="45" t="s">
        <v>294</v>
      </c>
      <c r="D126" s="47"/>
      <c r="E126" s="45" t="s">
        <v>325</v>
      </c>
      <c r="F126" s="45" t="s">
        <v>278</v>
      </c>
      <c r="G126" s="45" t="s">
        <v>1781</v>
      </c>
      <c r="H126" s="45" t="s">
        <v>1782</v>
      </c>
      <c r="I126" s="45" t="s">
        <v>1783</v>
      </c>
      <c r="J126" s="45">
        <v>518513568</v>
      </c>
      <c r="K126" s="45" t="s">
        <v>1784</v>
      </c>
      <c r="L126" s="48">
        <v>0</v>
      </c>
      <c r="M126" s="49">
        <v>20241106855</v>
      </c>
      <c r="N126" s="50" t="s">
        <v>28</v>
      </c>
      <c r="O126" s="50"/>
      <c r="P126" s="50"/>
      <c r="Q126" s="51"/>
      <c r="R126" s="50"/>
      <c r="S126" s="50"/>
      <c r="T126" s="51"/>
      <c r="U126" s="50"/>
    </row>
    <row r="127" spans="1:21" x14ac:dyDescent="0.25">
      <c r="A127" s="45" t="s">
        <v>407</v>
      </c>
      <c r="B127" s="46">
        <v>45617</v>
      </c>
      <c r="C127" s="45" t="s">
        <v>294</v>
      </c>
      <c r="D127" s="47"/>
      <c r="E127" s="45" t="s">
        <v>325</v>
      </c>
      <c r="F127" s="45" t="s">
        <v>278</v>
      </c>
      <c r="G127" s="45" t="s">
        <v>1781</v>
      </c>
      <c r="H127" s="45" t="s">
        <v>1782</v>
      </c>
      <c r="I127" s="45" t="s">
        <v>1783</v>
      </c>
      <c r="J127" s="45">
        <v>518513568</v>
      </c>
      <c r="K127" s="45" t="s">
        <v>1784</v>
      </c>
      <c r="L127" s="48">
        <v>3470.76</v>
      </c>
      <c r="M127" s="49">
        <v>20241106858</v>
      </c>
      <c r="N127" s="50" t="s">
        <v>28</v>
      </c>
      <c r="O127" s="50"/>
      <c r="P127" s="50"/>
      <c r="Q127" s="51"/>
      <c r="R127" s="50"/>
      <c r="S127" s="50"/>
      <c r="T127" s="51"/>
      <c r="U127" s="50"/>
    </row>
    <row r="128" spans="1:21" x14ac:dyDescent="0.25">
      <c r="A128" s="45" t="s">
        <v>407</v>
      </c>
      <c r="B128" s="46">
        <v>45617</v>
      </c>
      <c r="C128" s="45" t="s">
        <v>294</v>
      </c>
      <c r="D128" s="47"/>
      <c r="E128" s="45" t="s">
        <v>325</v>
      </c>
      <c r="F128" s="45" t="s">
        <v>278</v>
      </c>
      <c r="G128" s="45" t="s">
        <v>1113</v>
      </c>
      <c r="H128" s="45" t="s">
        <v>1785</v>
      </c>
      <c r="I128" s="45" t="s">
        <v>1786</v>
      </c>
      <c r="J128" s="45">
        <v>519351786</v>
      </c>
      <c r="K128" s="45" t="s">
        <v>840</v>
      </c>
      <c r="L128" s="48">
        <v>217.75</v>
      </c>
      <c r="M128" s="49">
        <v>202411041274</v>
      </c>
      <c r="N128" s="50" t="s">
        <v>28</v>
      </c>
      <c r="O128" s="50"/>
      <c r="P128" s="50"/>
      <c r="Q128" s="51"/>
      <c r="R128" s="50"/>
      <c r="S128" s="50"/>
      <c r="T128" s="51"/>
      <c r="U128" s="50"/>
    </row>
    <row r="129" spans="1:21" x14ac:dyDescent="0.25">
      <c r="A129" s="45" t="s">
        <v>324</v>
      </c>
      <c r="B129" s="46">
        <v>45617</v>
      </c>
      <c r="C129" s="45" t="s">
        <v>294</v>
      </c>
      <c r="D129" s="47"/>
      <c r="E129" s="45" t="s">
        <v>325</v>
      </c>
      <c r="F129" s="45" t="s">
        <v>278</v>
      </c>
      <c r="G129" s="45" t="s">
        <v>326</v>
      </c>
      <c r="H129" s="45" t="s">
        <v>1787</v>
      </c>
      <c r="I129" s="45" t="s">
        <v>753</v>
      </c>
      <c r="J129" s="45">
        <v>522637106</v>
      </c>
      <c r="K129" s="45" t="s">
        <v>1358</v>
      </c>
      <c r="L129" s="48">
        <v>590.46</v>
      </c>
      <c r="M129" s="49">
        <v>202411041281</v>
      </c>
      <c r="N129" s="50" t="s">
        <v>28</v>
      </c>
      <c r="O129" s="50"/>
      <c r="P129" s="50"/>
      <c r="Q129" s="51"/>
      <c r="R129" s="50"/>
      <c r="S129" s="50"/>
      <c r="T129" s="51"/>
      <c r="U129" s="50"/>
    </row>
    <row r="130" spans="1:21" x14ac:dyDescent="0.25">
      <c r="A130" s="45" t="s">
        <v>29</v>
      </c>
      <c r="B130" s="46">
        <v>45639</v>
      </c>
      <c r="C130" s="45" t="s">
        <v>168</v>
      </c>
      <c r="D130" s="47"/>
      <c r="E130" s="45" t="s">
        <v>325</v>
      </c>
      <c r="F130" s="45" t="s">
        <v>278</v>
      </c>
      <c r="G130" s="45" t="s">
        <v>900</v>
      </c>
      <c r="H130" s="45" t="s">
        <v>1518</v>
      </c>
      <c r="I130" s="45" t="s">
        <v>1788</v>
      </c>
      <c r="J130" s="45">
        <v>528613256</v>
      </c>
      <c r="K130" s="45" t="s">
        <v>56</v>
      </c>
      <c r="L130" s="48">
        <v>416.67</v>
      </c>
      <c r="M130" s="49">
        <v>20241106904</v>
      </c>
      <c r="N130" s="50" t="s">
        <v>28</v>
      </c>
      <c r="O130" s="50"/>
      <c r="P130" s="50"/>
      <c r="Q130" s="51"/>
      <c r="R130" s="50"/>
      <c r="S130" s="50"/>
      <c r="T130" s="51"/>
      <c r="U130" s="50"/>
    </row>
    <row r="131" spans="1:21" x14ac:dyDescent="0.25">
      <c r="A131" s="45" t="s">
        <v>29</v>
      </c>
      <c r="B131" s="46">
        <v>45639</v>
      </c>
      <c r="C131" s="45" t="s">
        <v>168</v>
      </c>
      <c r="D131" s="47"/>
      <c r="E131" s="45" t="s">
        <v>325</v>
      </c>
      <c r="F131" s="45" t="s">
        <v>278</v>
      </c>
      <c r="G131" s="45" t="s">
        <v>900</v>
      </c>
      <c r="H131" s="45" t="s">
        <v>1789</v>
      </c>
      <c r="I131" s="45" t="s">
        <v>1790</v>
      </c>
      <c r="J131" s="45">
        <v>528757064</v>
      </c>
      <c r="K131" s="45" t="s">
        <v>56</v>
      </c>
      <c r="L131" s="48">
        <v>416</v>
      </c>
      <c r="M131" s="49">
        <v>20241106964</v>
      </c>
      <c r="N131" s="50" t="s">
        <v>28</v>
      </c>
      <c r="O131" s="50"/>
      <c r="P131" s="50"/>
      <c r="Q131" s="51"/>
      <c r="R131" s="50"/>
      <c r="S131" s="50"/>
      <c r="T131" s="51"/>
      <c r="U131" s="50"/>
    </row>
    <row r="132" spans="1:21" x14ac:dyDescent="0.25">
      <c r="A132" s="45" t="s">
        <v>29</v>
      </c>
      <c r="B132" s="46">
        <v>45639</v>
      </c>
      <c r="C132" s="45" t="s">
        <v>168</v>
      </c>
      <c r="D132" s="47"/>
      <c r="E132" s="45" t="s">
        <v>325</v>
      </c>
      <c r="F132" s="45" t="s">
        <v>278</v>
      </c>
      <c r="G132" s="45" t="s">
        <v>900</v>
      </c>
      <c r="H132" s="45" t="s">
        <v>901</v>
      </c>
      <c r="I132" s="45" t="s">
        <v>902</v>
      </c>
      <c r="J132" s="45">
        <v>528871622</v>
      </c>
      <c r="K132" s="45" t="s">
        <v>56</v>
      </c>
      <c r="L132" s="48">
        <v>229</v>
      </c>
      <c r="M132" s="49">
        <v>20241106958</v>
      </c>
      <c r="N132" s="50" t="s">
        <v>28</v>
      </c>
      <c r="O132" s="50"/>
      <c r="P132" s="50"/>
      <c r="Q132" s="51"/>
      <c r="R132" s="50"/>
      <c r="S132" s="50"/>
      <c r="T132" s="51"/>
      <c r="U132" s="50"/>
    </row>
    <row r="133" spans="1:21" x14ac:dyDescent="0.25">
      <c r="A133" s="45" t="s">
        <v>29</v>
      </c>
      <c r="B133" s="46">
        <v>45639</v>
      </c>
      <c r="C133" s="45" t="s">
        <v>168</v>
      </c>
      <c r="D133" s="47"/>
      <c r="E133" s="45" t="s">
        <v>325</v>
      </c>
      <c r="F133" s="45" t="s">
        <v>278</v>
      </c>
      <c r="G133" s="45" t="s">
        <v>900</v>
      </c>
      <c r="H133" s="45" t="s">
        <v>903</v>
      </c>
      <c r="I133" s="45" t="s">
        <v>904</v>
      </c>
      <c r="J133" s="45">
        <v>528917013</v>
      </c>
      <c r="K133" s="45" t="s">
        <v>56</v>
      </c>
      <c r="L133" s="48">
        <v>416.67</v>
      </c>
      <c r="M133" s="49">
        <v>20241106940</v>
      </c>
      <c r="N133" s="50" t="s">
        <v>28</v>
      </c>
      <c r="O133" s="50"/>
      <c r="P133" s="50"/>
      <c r="Q133" s="51"/>
      <c r="R133" s="50"/>
      <c r="S133" s="50"/>
      <c r="T133" s="51"/>
      <c r="U133" s="50"/>
    </row>
    <row r="134" spans="1:21" x14ac:dyDescent="0.25">
      <c r="A134" s="45" t="s">
        <v>29</v>
      </c>
      <c r="B134" s="46">
        <v>45639</v>
      </c>
      <c r="C134" s="45" t="s">
        <v>168</v>
      </c>
      <c r="D134" s="47"/>
      <c r="E134" s="45" t="s">
        <v>325</v>
      </c>
      <c r="F134" s="45" t="s">
        <v>278</v>
      </c>
      <c r="G134" s="45" t="s">
        <v>900</v>
      </c>
      <c r="H134" s="45" t="s">
        <v>905</v>
      </c>
      <c r="I134" s="45" t="s">
        <v>906</v>
      </c>
      <c r="J134" s="45">
        <v>528973252</v>
      </c>
      <c r="K134" s="45" t="s">
        <v>56</v>
      </c>
      <c r="L134" s="48">
        <v>291.66000000000003</v>
      </c>
      <c r="M134" s="49">
        <v>20241106967</v>
      </c>
      <c r="N134" s="50" t="s">
        <v>28</v>
      </c>
      <c r="O134" s="50"/>
      <c r="P134" s="50"/>
      <c r="Q134" s="51"/>
      <c r="R134" s="50"/>
      <c r="S134" s="50"/>
      <c r="T134" s="51"/>
      <c r="U134" s="50"/>
    </row>
    <row r="135" spans="1:21" x14ac:dyDescent="0.25">
      <c r="A135" s="45" t="s">
        <v>29</v>
      </c>
      <c r="B135" s="46">
        <v>45639</v>
      </c>
      <c r="C135" s="45" t="s">
        <v>168</v>
      </c>
      <c r="D135" s="47"/>
      <c r="E135" s="45" t="s">
        <v>325</v>
      </c>
      <c r="F135" s="45" t="s">
        <v>278</v>
      </c>
      <c r="G135" s="45" t="s">
        <v>900</v>
      </c>
      <c r="H135" s="45" t="s">
        <v>907</v>
      </c>
      <c r="I135" s="45" t="s">
        <v>908</v>
      </c>
      <c r="J135" s="45">
        <v>529633564</v>
      </c>
      <c r="K135" s="45" t="s">
        <v>56</v>
      </c>
      <c r="L135" s="48">
        <v>416.66</v>
      </c>
      <c r="M135" s="49">
        <v>20241106930</v>
      </c>
      <c r="N135" s="50" t="s">
        <v>28</v>
      </c>
      <c r="O135" s="50"/>
      <c r="P135" s="50"/>
      <c r="Q135" s="51"/>
      <c r="R135" s="50"/>
      <c r="S135" s="50"/>
      <c r="T135" s="51"/>
      <c r="U135" s="50"/>
    </row>
    <row r="136" spans="1:21" x14ac:dyDescent="0.25">
      <c r="A136" s="45" t="s">
        <v>29</v>
      </c>
      <c r="B136" s="46">
        <v>45639</v>
      </c>
      <c r="C136" s="45" t="s">
        <v>168</v>
      </c>
      <c r="D136" s="47"/>
      <c r="E136" s="45" t="s">
        <v>325</v>
      </c>
      <c r="F136" s="45" t="s">
        <v>278</v>
      </c>
      <c r="G136" s="45" t="s">
        <v>900</v>
      </c>
      <c r="H136" s="45" t="s">
        <v>909</v>
      </c>
      <c r="I136" s="45" t="s">
        <v>910</v>
      </c>
      <c r="J136" s="45">
        <v>529772153</v>
      </c>
      <c r="K136" s="45" t="s">
        <v>56</v>
      </c>
      <c r="L136" s="48">
        <v>416.66</v>
      </c>
      <c r="M136" s="49">
        <v>20241106942</v>
      </c>
      <c r="N136" s="50" t="s">
        <v>28</v>
      </c>
      <c r="O136" s="50"/>
      <c r="P136" s="50"/>
      <c r="Q136" s="51"/>
      <c r="R136" s="50"/>
      <c r="S136" s="50"/>
      <c r="T136" s="51"/>
      <c r="U136" s="50"/>
    </row>
    <row r="137" spans="1:21" x14ac:dyDescent="0.25">
      <c r="A137" s="45" t="s">
        <v>29</v>
      </c>
      <c r="B137" s="46">
        <v>45639</v>
      </c>
      <c r="C137" s="45" t="s">
        <v>168</v>
      </c>
      <c r="D137" s="47"/>
      <c r="E137" s="45" t="s">
        <v>325</v>
      </c>
      <c r="F137" s="45" t="s">
        <v>278</v>
      </c>
      <c r="G137" s="45" t="s">
        <v>900</v>
      </c>
      <c r="H137" s="45" t="s">
        <v>911</v>
      </c>
      <c r="I137" s="45" t="s">
        <v>912</v>
      </c>
      <c r="J137" s="45">
        <v>536135873</v>
      </c>
      <c r="K137" s="45" t="s">
        <v>56</v>
      </c>
      <c r="L137" s="48">
        <v>291.67</v>
      </c>
      <c r="M137" s="49">
        <v>20241106952</v>
      </c>
      <c r="N137" s="50" t="s">
        <v>28</v>
      </c>
      <c r="O137" s="50"/>
      <c r="P137" s="50"/>
      <c r="Q137" s="51"/>
      <c r="R137" s="50"/>
      <c r="S137" s="50"/>
      <c r="T137" s="51"/>
      <c r="U137" s="50"/>
    </row>
    <row r="138" spans="1:21" x14ac:dyDescent="0.25">
      <c r="A138" s="45" t="s">
        <v>29</v>
      </c>
      <c r="B138" s="46">
        <v>45639</v>
      </c>
      <c r="C138" s="45" t="s">
        <v>168</v>
      </c>
      <c r="D138" s="47"/>
      <c r="E138" s="45" t="s">
        <v>325</v>
      </c>
      <c r="F138" s="45" t="s">
        <v>278</v>
      </c>
      <c r="G138" s="45" t="s">
        <v>900</v>
      </c>
      <c r="H138" s="45" t="s">
        <v>913</v>
      </c>
      <c r="I138" s="45" t="s">
        <v>914</v>
      </c>
      <c r="J138" s="45">
        <v>537040201</v>
      </c>
      <c r="K138" s="45" t="s">
        <v>56</v>
      </c>
      <c r="L138" s="48">
        <v>416</v>
      </c>
      <c r="M138" s="49">
        <v>20241106959</v>
      </c>
      <c r="N138" s="50" t="s">
        <v>28</v>
      </c>
      <c r="O138" s="50"/>
      <c r="P138" s="50"/>
      <c r="Q138" s="51"/>
      <c r="R138" s="50"/>
      <c r="S138" s="50"/>
      <c r="T138" s="51"/>
      <c r="U138" s="50"/>
    </row>
    <row r="139" spans="1:21" x14ac:dyDescent="0.25">
      <c r="A139" s="45" t="s">
        <v>324</v>
      </c>
      <c r="B139" s="46">
        <v>45617</v>
      </c>
      <c r="C139" s="45" t="s">
        <v>294</v>
      </c>
      <c r="D139" s="47"/>
      <c r="E139" s="45" t="s">
        <v>325</v>
      </c>
      <c r="F139" s="45" t="s">
        <v>278</v>
      </c>
      <c r="G139" s="45" t="s">
        <v>326</v>
      </c>
      <c r="H139" s="45" t="s">
        <v>1121</v>
      </c>
      <c r="I139" s="45" t="s">
        <v>1122</v>
      </c>
      <c r="J139" s="45">
        <v>567618337</v>
      </c>
      <c r="K139" s="45" t="s">
        <v>1358</v>
      </c>
      <c r="L139" s="48">
        <v>685</v>
      </c>
      <c r="M139" s="49">
        <v>20241105819</v>
      </c>
      <c r="N139" s="50" t="s">
        <v>28</v>
      </c>
      <c r="O139" s="50"/>
      <c r="P139" s="50"/>
      <c r="Q139" s="51"/>
      <c r="R139" s="50"/>
      <c r="S139" s="50"/>
      <c r="T139" s="51"/>
      <c r="U139" s="50"/>
    </row>
    <row r="140" spans="1:21" x14ac:dyDescent="0.25">
      <c r="A140" s="45" t="s">
        <v>70</v>
      </c>
      <c r="B140" s="46">
        <v>45639</v>
      </c>
      <c r="C140" s="45" t="s">
        <v>168</v>
      </c>
      <c r="D140" s="47"/>
      <c r="E140" s="45" t="s">
        <v>353</v>
      </c>
      <c r="F140" s="45" t="s">
        <v>354</v>
      </c>
      <c r="G140" s="45" t="s">
        <v>798</v>
      </c>
      <c r="H140" s="45" t="s">
        <v>1791</v>
      </c>
      <c r="I140" s="45" t="s">
        <v>1792</v>
      </c>
      <c r="J140" s="45">
        <v>117928731</v>
      </c>
      <c r="K140" s="45" t="s">
        <v>972</v>
      </c>
      <c r="L140" s="48">
        <v>50.75</v>
      </c>
      <c r="M140" s="49">
        <v>20241106493</v>
      </c>
      <c r="N140" s="50" t="s">
        <v>28</v>
      </c>
      <c r="O140" s="50"/>
      <c r="P140" s="50"/>
      <c r="Q140" s="51"/>
      <c r="R140" s="50"/>
      <c r="S140" s="50"/>
      <c r="T140" s="51"/>
      <c r="U140" s="50"/>
    </row>
    <row r="141" spans="1:21" x14ac:dyDescent="0.25">
      <c r="A141" s="45" t="s">
        <v>314</v>
      </c>
      <c r="B141" s="46">
        <v>45639</v>
      </c>
      <c r="C141" s="45" t="s">
        <v>168</v>
      </c>
      <c r="D141" s="47"/>
      <c r="E141" s="45" t="s">
        <v>353</v>
      </c>
      <c r="F141" s="45" t="s">
        <v>354</v>
      </c>
      <c r="G141" s="45" t="s">
        <v>178</v>
      </c>
      <c r="H141" s="45" t="s">
        <v>1042</v>
      </c>
      <c r="I141" s="45" t="s">
        <v>1043</v>
      </c>
      <c r="J141" s="45">
        <v>121803585</v>
      </c>
      <c r="K141" s="45" t="s">
        <v>1347</v>
      </c>
      <c r="L141" s="48">
        <v>216</v>
      </c>
      <c r="M141" s="49">
        <v>20241106191</v>
      </c>
      <c r="N141" s="50" t="s">
        <v>28</v>
      </c>
      <c r="O141" s="50"/>
      <c r="P141" s="50"/>
      <c r="Q141" s="51"/>
      <c r="R141" s="50"/>
      <c r="S141" s="50"/>
      <c r="T141" s="51"/>
      <c r="U141" s="50"/>
    </row>
    <row r="142" spans="1:21" x14ac:dyDescent="0.25">
      <c r="A142" s="45" t="s">
        <v>20</v>
      </c>
      <c r="B142" s="46">
        <v>45639</v>
      </c>
      <c r="C142" s="45" t="s">
        <v>168</v>
      </c>
      <c r="D142" s="47"/>
      <c r="E142" s="45" t="s">
        <v>353</v>
      </c>
      <c r="F142" s="45" t="s">
        <v>354</v>
      </c>
      <c r="G142" s="45" t="s">
        <v>191</v>
      </c>
      <c r="H142" s="45" t="s">
        <v>1793</v>
      </c>
      <c r="I142" s="45" t="s">
        <v>1794</v>
      </c>
      <c r="J142" s="45">
        <v>121849134</v>
      </c>
      <c r="K142" s="45" t="s">
        <v>1460</v>
      </c>
      <c r="L142" s="48">
        <v>10</v>
      </c>
      <c r="M142" s="49">
        <v>20241104795</v>
      </c>
      <c r="N142" s="50" t="s">
        <v>28</v>
      </c>
      <c r="O142" s="50"/>
      <c r="P142" s="50"/>
      <c r="Q142" s="51"/>
      <c r="R142" s="50"/>
      <c r="S142" s="50"/>
      <c r="T142" s="51"/>
      <c r="U142" s="50"/>
    </row>
    <row r="143" spans="1:21" x14ac:dyDescent="0.25">
      <c r="A143" s="45" t="s">
        <v>29</v>
      </c>
      <c r="B143" s="46">
        <v>45639</v>
      </c>
      <c r="C143" s="45" t="s">
        <v>168</v>
      </c>
      <c r="D143" s="47"/>
      <c r="E143" s="45" t="s">
        <v>353</v>
      </c>
      <c r="F143" s="45" t="s">
        <v>354</v>
      </c>
      <c r="G143" s="45" t="s">
        <v>178</v>
      </c>
      <c r="H143" s="45" t="s">
        <v>110</v>
      </c>
      <c r="I143" s="45" t="s">
        <v>1795</v>
      </c>
      <c r="J143" s="45">
        <v>141804484</v>
      </c>
      <c r="K143" s="45" t="s">
        <v>184</v>
      </c>
      <c r="L143" s="48">
        <v>1675</v>
      </c>
      <c r="M143" s="49">
        <v>20241106204</v>
      </c>
      <c r="N143" s="50" t="s">
        <v>28</v>
      </c>
      <c r="O143" s="50"/>
      <c r="P143" s="50"/>
      <c r="Q143" s="51"/>
      <c r="R143" s="50"/>
      <c r="S143" s="50"/>
      <c r="T143" s="51"/>
      <c r="U143" s="50"/>
    </row>
    <row r="144" spans="1:21" x14ac:dyDescent="0.25">
      <c r="A144" s="45" t="s">
        <v>29</v>
      </c>
      <c r="B144" s="46">
        <v>45639</v>
      </c>
      <c r="C144" s="45" t="s">
        <v>168</v>
      </c>
      <c r="D144" s="47"/>
      <c r="E144" s="45" t="s">
        <v>353</v>
      </c>
      <c r="F144" s="45" t="s">
        <v>354</v>
      </c>
      <c r="G144" s="45" t="s">
        <v>178</v>
      </c>
      <c r="H144" s="45" t="s">
        <v>110</v>
      </c>
      <c r="I144" s="45" t="s">
        <v>1795</v>
      </c>
      <c r="J144" s="45">
        <v>141804484</v>
      </c>
      <c r="K144" s="45" t="s">
        <v>56</v>
      </c>
      <c r="L144" s="48">
        <v>1675</v>
      </c>
      <c r="M144" s="49">
        <v>20241106203</v>
      </c>
      <c r="N144" s="50" t="s">
        <v>28</v>
      </c>
      <c r="O144" s="50"/>
      <c r="P144" s="50"/>
      <c r="Q144" s="51"/>
      <c r="R144" s="50"/>
      <c r="S144" s="50"/>
      <c r="T144" s="51"/>
      <c r="U144" s="50"/>
    </row>
    <row r="145" spans="1:21" x14ac:dyDescent="0.25">
      <c r="A145" s="45" t="s">
        <v>29</v>
      </c>
      <c r="B145" s="46">
        <v>45639</v>
      </c>
      <c r="C145" s="45" t="s">
        <v>168</v>
      </c>
      <c r="D145" s="47"/>
      <c r="E145" s="45" t="s">
        <v>353</v>
      </c>
      <c r="F145" s="45" t="s">
        <v>354</v>
      </c>
      <c r="G145" s="45" t="s">
        <v>178</v>
      </c>
      <c r="H145" s="45" t="s">
        <v>1796</v>
      </c>
      <c r="I145" s="45" t="s">
        <v>1797</v>
      </c>
      <c r="J145" s="45">
        <v>143648558</v>
      </c>
      <c r="K145" s="45" t="s">
        <v>56</v>
      </c>
      <c r="L145" s="48">
        <v>759</v>
      </c>
      <c r="M145" s="49">
        <v>20241106188</v>
      </c>
      <c r="N145" s="50" t="s">
        <v>28</v>
      </c>
      <c r="O145" s="50"/>
      <c r="P145" s="50"/>
      <c r="Q145" s="51"/>
      <c r="R145" s="50"/>
      <c r="S145" s="50"/>
      <c r="T145" s="51"/>
      <c r="U145" s="50"/>
    </row>
    <row r="146" spans="1:21" x14ac:dyDescent="0.25">
      <c r="A146" s="45" t="s">
        <v>29</v>
      </c>
      <c r="B146" s="46">
        <v>45639</v>
      </c>
      <c r="C146" s="45" t="s">
        <v>168</v>
      </c>
      <c r="D146" s="47"/>
      <c r="E146" s="45" t="s">
        <v>353</v>
      </c>
      <c r="F146" s="45" t="s">
        <v>354</v>
      </c>
      <c r="G146" s="45" t="s">
        <v>178</v>
      </c>
      <c r="H146" s="45" t="s">
        <v>1796</v>
      </c>
      <c r="I146" s="45" t="s">
        <v>1797</v>
      </c>
      <c r="J146" s="45">
        <v>143648558</v>
      </c>
      <c r="K146" s="45" t="s">
        <v>48</v>
      </c>
      <c r="L146" s="48">
        <v>800</v>
      </c>
      <c r="M146" s="49">
        <v>20241106206</v>
      </c>
      <c r="N146" s="50" t="s">
        <v>28</v>
      </c>
      <c r="O146" s="50"/>
      <c r="P146" s="50"/>
      <c r="Q146" s="51"/>
      <c r="R146" s="50"/>
      <c r="S146" s="50"/>
      <c r="T146" s="51"/>
      <c r="U146" s="50"/>
    </row>
    <row r="147" spans="1:21" x14ac:dyDescent="0.25">
      <c r="A147" s="45" t="s">
        <v>20</v>
      </c>
      <c r="B147" s="46">
        <v>45639</v>
      </c>
      <c r="C147" s="45" t="s">
        <v>168</v>
      </c>
      <c r="D147" s="47"/>
      <c r="E147" s="45" t="s">
        <v>353</v>
      </c>
      <c r="F147" s="45" t="s">
        <v>354</v>
      </c>
      <c r="G147" s="45" t="s">
        <v>376</v>
      </c>
      <c r="H147" s="45" t="s">
        <v>616</v>
      </c>
      <c r="I147" s="45" t="s">
        <v>1798</v>
      </c>
      <c r="J147" s="45">
        <v>155110786</v>
      </c>
      <c r="K147" s="45" t="s">
        <v>276</v>
      </c>
      <c r="L147" s="48">
        <v>80</v>
      </c>
      <c r="M147" s="49">
        <v>20241104169</v>
      </c>
      <c r="N147" s="50" t="s">
        <v>28</v>
      </c>
      <c r="O147" s="50"/>
      <c r="P147" s="50"/>
      <c r="Q147" s="51"/>
      <c r="R147" s="50"/>
      <c r="S147" s="50"/>
      <c r="T147" s="51"/>
      <c r="U147" s="50"/>
    </row>
    <row r="148" spans="1:21" x14ac:dyDescent="0.25">
      <c r="A148" s="45" t="s">
        <v>20</v>
      </c>
      <c r="B148" s="46">
        <v>45639</v>
      </c>
      <c r="C148" s="45" t="s">
        <v>168</v>
      </c>
      <c r="D148" s="47"/>
      <c r="E148" s="45" t="s">
        <v>353</v>
      </c>
      <c r="F148" s="45" t="s">
        <v>354</v>
      </c>
      <c r="G148" s="45" t="s">
        <v>30</v>
      </c>
      <c r="H148" s="45" t="s">
        <v>1799</v>
      </c>
      <c r="I148" s="45" t="s">
        <v>1800</v>
      </c>
      <c r="J148" s="45">
        <v>178606592</v>
      </c>
      <c r="K148" s="45" t="s">
        <v>301</v>
      </c>
      <c r="L148" s="48">
        <v>727.36</v>
      </c>
      <c r="M148" s="49">
        <v>20241106384</v>
      </c>
      <c r="N148" s="50" t="s">
        <v>28</v>
      </c>
      <c r="O148" s="50"/>
      <c r="P148" s="50"/>
      <c r="Q148" s="51"/>
      <c r="R148" s="50"/>
      <c r="S148" s="50"/>
      <c r="T148" s="51"/>
      <c r="U148" s="50"/>
    </row>
    <row r="149" spans="1:21" x14ac:dyDescent="0.25">
      <c r="A149" s="45" t="s">
        <v>29</v>
      </c>
      <c r="B149" s="46">
        <v>45639</v>
      </c>
      <c r="C149" s="45" t="s">
        <v>168</v>
      </c>
      <c r="D149" s="47"/>
      <c r="E149" s="45" t="s">
        <v>353</v>
      </c>
      <c r="F149" s="45" t="s">
        <v>354</v>
      </c>
      <c r="G149" s="45" t="s">
        <v>178</v>
      </c>
      <c r="H149" s="45" t="s">
        <v>838</v>
      </c>
      <c r="I149" s="45" t="s">
        <v>1801</v>
      </c>
      <c r="J149" s="45">
        <v>194685889</v>
      </c>
      <c r="K149" s="45" t="s">
        <v>123</v>
      </c>
      <c r="L149" s="48">
        <v>900</v>
      </c>
      <c r="M149" s="49">
        <v>20241105336</v>
      </c>
      <c r="N149" s="50" t="s">
        <v>28</v>
      </c>
      <c r="O149" s="50"/>
      <c r="P149" s="50"/>
      <c r="Q149" s="51"/>
      <c r="R149" s="50"/>
      <c r="S149" s="50"/>
      <c r="T149" s="51"/>
      <c r="U149" s="50"/>
    </row>
    <row r="150" spans="1:21" x14ac:dyDescent="0.25">
      <c r="A150" s="45" t="s">
        <v>29</v>
      </c>
      <c r="B150" s="46">
        <v>45639</v>
      </c>
      <c r="C150" s="45" t="s">
        <v>168</v>
      </c>
      <c r="D150" s="47"/>
      <c r="E150" s="45" t="s">
        <v>353</v>
      </c>
      <c r="F150" s="45" t="s">
        <v>354</v>
      </c>
      <c r="G150" s="45" t="s">
        <v>178</v>
      </c>
      <c r="H150" s="45" t="s">
        <v>1676</v>
      </c>
      <c r="I150" s="45" t="s">
        <v>1802</v>
      </c>
      <c r="J150" s="45">
        <v>214675699</v>
      </c>
      <c r="K150" s="45" t="s">
        <v>422</v>
      </c>
      <c r="L150" s="48">
        <v>1153.8599999999999</v>
      </c>
      <c r="M150" s="49">
        <v>20241106207</v>
      </c>
      <c r="N150" s="50" t="s">
        <v>28</v>
      </c>
      <c r="O150" s="50"/>
      <c r="P150" s="50"/>
      <c r="Q150" s="51"/>
      <c r="R150" s="50"/>
      <c r="S150" s="50"/>
      <c r="T150" s="51"/>
      <c r="U150" s="50"/>
    </row>
    <row r="151" spans="1:21" x14ac:dyDescent="0.25">
      <c r="A151" s="45" t="s">
        <v>314</v>
      </c>
      <c r="B151" s="46">
        <v>45639</v>
      </c>
      <c r="C151" s="45" t="s">
        <v>168</v>
      </c>
      <c r="D151" s="47"/>
      <c r="E151" s="45" t="s">
        <v>353</v>
      </c>
      <c r="F151" s="45" t="s">
        <v>354</v>
      </c>
      <c r="G151" s="45" t="s">
        <v>178</v>
      </c>
      <c r="H151" s="45" t="s">
        <v>1803</v>
      </c>
      <c r="I151" s="45" t="s">
        <v>1804</v>
      </c>
      <c r="J151" s="45">
        <v>215172596</v>
      </c>
      <c r="K151" s="45" t="s">
        <v>759</v>
      </c>
      <c r="L151" s="48">
        <v>100</v>
      </c>
      <c r="M151" s="49">
        <v>20241105332</v>
      </c>
      <c r="N151" s="50" t="s">
        <v>28</v>
      </c>
      <c r="O151" s="50"/>
      <c r="P151" s="50"/>
      <c r="Q151" s="51"/>
      <c r="R151" s="50"/>
      <c r="S151" s="50"/>
      <c r="T151" s="51"/>
      <c r="U151" s="50"/>
    </row>
    <row r="152" spans="1:21" x14ac:dyDescent="0.25">
      <c r="A152" s="45" t="s">
        <v>29</v>
      </c>
      <c r="B152" s="46">
        <v>45639</v>
      </c>
      <c r="C152" s="45" t="s">
        <v>168</v>
      </c>
      <c r="D152" s="47"/>
      <c r="E152" s="45" t="s">
        <v>353</v>
      </c>
      <c r="F152" s="45" t="s">
        <v>354</v>
      </c>
      <c r="G152" s="45" t="s">
        <v>178</v>
      </c>
      <c r="H152" s="45" t="s">
        <v>603</v>
      </c>
      <c r="I152" s="45" t="s">
        <v>1805</v>
      </c>
      <c r="J152" s="45">
        <v>216151954</v>
      </c>
      <c r="K152" s="45" t="s">
        <v>1806</v>
      </c>
      <c r="L152" s="48">
        <v>320</v>
      </c>
      <c r="M152" s="49">
        <v>20241106205</v>
      </c>
      <c r="N152" s="50" t="s">
        <v>28</v>
      </c>
      <c r="O152" s="50"/>
      <c r="P152" s="50"/>
      <c r="Q152" s="51"/>
      <c r="R152" s="50"/>
      <c r="S152" s="50"/>
      <c r="T152" s="51"/>
      <c r="U152" s="50"/>
    </row>
    <row r="153" spans="1:21" x14ac:dyDescent="0.25">
      <c r="A153" s="45" t="s">
        <v>29</v>
      </c>
      <c r="B153" s="46">
        <v>45639</v>
      </c>
      <c r="C153" s="45" t="s">
        <v>168</v>
      </c>
      <c r="D153" s="47"/>
      <c r="E153" s="45" t="s">
        <v>353</v>
      </c>
      <c r="F153" s="45" t="s">
        <v>354</v>
      </c>
      <c r="G153" s="45" t="s">
        <v>178</v>
      </c>
      <c r="H153" s="45" t="s">
        <v>883</v>
      </c>
      <c r="I153" s="45" t="s">
        <v>944</v>
      </c>
      <c r="J153" s="45">
        <v>219158713</v>
      </c>
      <c r="K153" s="45" t="s">
        <v>184</v>
      </c>
      <c r="L153" s="48">
        <v>385</v>
      </c>
      <c r="M153" s="49">
        <v>20241106209</v>
      </c>
      <c r="N153" s="50" t="s">
        <v>28</v>
      </c>
      <c r="O153" s="50"/>
      <c r="P153" s="50"/>
      <c r="Q153" s="51"/>
      <c r="R153" s="50"/>
      <c r="S153" s="50"/>
      <c r="T153" s="51"/>
      <c r="U153" s="50"/>
    </row>
    <row r="154" spans="1:21" x14ac:dyDescent="0.25">
      <c r="A154" s="45" t="s">
        <v>29</v>
      </c>
      <c r="B154" s="46">
        <v>45639</v>
      </c>
      <c r="C154" s="45" t="s">
        <v>168</v>
      </c>
      <c r="D154" s="47"/>
      <c r="E154" s="45" t="s">
        <v>353</v>
      </c>
      <c r="F154" s="45" t="s">
        <v>354</v>
      </c>
      <c r="G154" s="45" t="s">
        <v>178</v>
      </c>
      <c r="H154" s="45" t="s">
        <v>883</v>
      </c>
      <c r="I154" s="45" t="s">
        <v>944</v>
      </c>
      <c r="J154" s="45">
        <v>219158713</v>
      </c>
      <c r="K154" s="45" t="s">
        <v>781</v>
      </c>
      <c r="L154" s="48">
        <v>50</v>
      </c>
      <c r="M154" s="49">
        <v>20241106208</v>
      </c>
      <c r="N154" s="50" t="s">
        <v>28</v>
      </c>
      <c r="O154" s="50"/>
      <c r="P154" s="50"/>
      <c r="Q154" s="51"/>
      <c r="R154" s="50"/>
      <c r="S154" s="50"/>
      <c r="T154" s="51"/>
      <c r="U154" s="50"/>
    </row>
    <row r="155" spans="1:21" ht="25.5" x14ac:dyDescent="0.25">
      <c r="A155" s="45" t="s">
        <v>233</v>
      </c>
      <c r="B155" s="46">
        <v>45617</v>
      </c>
      <c r="C155" s="45" t="s">
        <v>294</v>
      </c>
      <c r="D155" s="47"/>
      <c r="E155" s="45" t="s">
        <v>371</v>
      </c>
      <c r="F155" s="45" t="s">
        <v>372</v>
      </c>
      <c r="G155" s="45" t="s">
        <v>863</v>
      </c>
      <c r="H155" s="45" t="s">
        <v>1807</v>
      </c>
      <c r="I155" s="45" t="s">
        <v>1808</v>
      </c>
      <c r="J155" s="45">
        <v>10659</v>
      </c>
      <c r="K155" s="45" t="s">
        <v>1227</v>
      </c>
      <c r="L155" s="48">
        <v>88.99</v>
      </c>
      <c r="M155" s="49">
        <v>202411041107</v>
      </c>
      <c r="N155" s="50" t="s">
        <v>28</v>
      </c>
      <c r="O155" s="50"/>
      <c r="P155" s="50"/>
      <c r="Q155" s="51"/>
      <c r="R155" s="50"/>
      <c r="S155" s="50"/>
      <c r="T155" s="51"/>
      <c r="U155" s="50"/>
    </row>
    <row r="156" spans="1:21" x14ac:dyDescent="0.25">
      <c r="A156" s="45" t="s">
        <v>233</v>
      </c>
      <c r="B156" s="46">
        <v>45617</v>
      </c>
      <c r="C156" s="45" t="s">
        <v>294</v>
      </c>
      <c r="D156" s="47"/>
      <c r="E156" s="45" t="s">
        <v>371</v>
      </c>
      <c r="F156" s="45" t="s">
        <v>372</v>
      </c>
      <c r="G156" s="45" t="s">
        <v>298</v>
      </c>
      <c r="H156" s="45" t="s">
        <v>1379</v>
      </c>
      <c r="I156" s="45" t="s">
        <v>1380</v>
      </c>
      <c r="J156" s="45">
        <v>15874</v>
      </c>
      <c r="K156" s="45" t="s">
        <v>1734</v>
      </c>
      <c r="L156" s="48">
        <v>19.47</v>
      </c>
      <c r="M156" s="49">
        <v>20241108231</v>
      </c>
      <c r="N156" s="50" t="s">
        <v>28</v>
      </c>
      <c r="O156" s="50"/>
      <c r="P156" s="50"/>
      <c r="Q156" s="51"/>
      <c r="R156" s="50"/>
      <c r="S156" s="50"/>
      <c r="T156" s="51"/>
      <c r="U156" s="50"/>
    </row>
    <row r="157" spans="1:21" x14ac:dyDescent="0.25">
      <c r="A157" s="45" t="s">
        <v>324</v>
      </c>
      <c r="B157" s="46">
        <v>45617</v>
      </c>
      <c r="C157" s="45" t="s">
        <v>294</v>
      </c>
      <c r="D157" s="47"/>
      <c r="E157" s="45" t="s">
        <v>371</v>
      </c>
      <c r="F157" s="45" t="s">
        <v>372</v>
      </c>
      <c r="G157" s="45" t="s">
        <v>298</v>
      </c>
      <c r="H157" s="45" t="s">
        <v>1008</v>
      </c>
      <c r="I157" s="45" t="s">
        <v>1381</v>
      </c>
      <c r="J157" s="45">
        <v>15898</v>
      </c>
      <c r="K157" s="45" t="s">
        <v>1338</v>
      </c>
      <c r="L157" s="48">
        <v>40</v>
      </c>
      <c r="M157" s="49">
        <v>20241108230</v>
      </c>
      <c r="N157" s="50" t="s">
        <v>28</v>
      </c>
      <c r="O157" s="50"/>
      <c r="P157" s="50"/>
      <c r="Q157" s="51"/>
      <c r="R157" s="50"/>
      <c r="S157" s="50"/>
      <c r="T157" s="51"/>
      <c r="U157" s="50"/>
    </row>
    <row r="158" spans="1:21" x14ac:dyDescent="0.25">
      <c r="A158" s="45" t="s">
        <v>324</v>
      </c>
      <c r="B158" s="46">
        <v>45617</v>
      </c>
      <c r="C158" s="45" t="s">
        <v>294</v>
      </c>
      <c r="D158" s="47"/>
      <c r="E158" s="45" t="s">
        <v>371</v>
      </c>
      <c r="F158" s="45" t="s">
        <v>372</v>
      </c>
      <c r="G158" s="45" t="s">
        <v>298</v>
      </c>
      <c r="H158" s="45" t="s">
        <v>1008</v>
      </c>
      <c r="I158" s="45" t="s">
        <v>1381</v>
      </c>
      <c r="J158" s="45">
        <v>15898</v>
      </c>
      <c r="K158" s="45" t="s">
        <v>1358</v>
      </c>
      <c r="L158" s="48">
        <v>44</v>
      </c>
      <c r="M158" s="49">
        <v>20241105303</v>
      </c>
      <c r="N158" s="50" t="s">
        <v>28</v>
      </c>
      <c r="O158" s="50"/>
      <c r="P158" s="50"/>
      <c r="Q158" s="51"/>
      <c r="R158" s="50"/>
      <c r="S158" s="50"/>
      <c r="T158" s="51"/>
      <c r="U158" s="50"/>
    </row>
    <row r="159" spans="1:21" ht="25.5" x14ac:dyDescent="0.25">
      <c r="A159" s="45" t="s">
        <v>233</v>
      </c>
      <c r="B159" s="46">
        <v>45617</v>
      </c>
      <c r="C159" s="45" t="s">
        <v>294</v>
      </c>
      <c r="D159" s="47"/>
      <c r="E159" s="45" t="s">
        <v>371</v>
      </c>
      <c r="F159" s="45" t="s">
        <v>372</v>
      </c>
      <c r="G159" s="45" t="s">
        <v>863</v>
      </c>
      <c r="H159" s="45" t="s">
        <v>1809</v>
      </c>
      <c r="I159" s="45" t="s">
        <v>1810</v>
      </c>
      <c r="J159" s="45">
        <v>16504</v>
      </c>
      <c r="K159" s="45" t="s">
        <v>1686</v>
      </c>
      <c r="L159" s="48">
        <v>62.81</v>
      </c>
      <c r="M159" s="49">
        <v>20241108256</v>
      </c>
      <c r="N159" s="50" t="s">
        <v>28</v>
      </c>
      <c r="O159" s="50"/>
      <c r="P159" s="50"/>
      <c r="Q159" s="51"/>
      <c r="R159" s="50"/>
      <c r="S159" s="50"/>
      <c r="T159" s="51"/>
      <c r="U159" s="50"/>
    </row>
    <row r="160" spans="1:21" x14ac:dyDescent="0.25">
      <c r="A160" s="45" t="s">
        <v>375</v>
      </c>
      <c r="B160" s="46">
        <v>45617</v>
      </c>
      <c r="C160" s="45" t="s">
        <v>294</v>
      </c>
      <c r="D160" s="47"/>
      <c r="E160" s="45" t="s">
        <v>371</v>
      </c>
      <c r="F160" s="45" t="s">
        <v>372</v>
      </c>
      <c r="G160" s="45" t="s">
        <v>376</v>
      </c>
      <c r="H160" s="45" t="s">
        <v>1811</v>
      </c>
      <c r="I160" s="45" t="s">
        <v>1812</v>
      </c>
      <c r="J160" s="45">
        <v>711558116</v>
      </c>
      <c r="K160" s="45" t="s">
        <v>1219</v>
      </c>
      <c r="L160" s="48">
        <v>40</v>
      </c>
      <c r="M160" s="49">
        <v>20241108224</v>
      </c>
      <c r="N160" s="50" t="s">
        <v>28</v>
      </c>
      <c r="O160" s="50"/>
      <c r="P160" s="50"/>
      <c r="Q160" s="51"/>
      <c r="R160" s="50"/>
      <c r="S160" s="50"/>
      <c r="T160" s="51"/>
      <c r="U160" s="50"/>
    </row>
    <row r="161" spans="1:21" ht="30" x14ac:dyDescent="0.25">
      <c r="A161" s="45" t="s">
        <v>375</v>
      </c>
      <c r="B161" s="46">
        <v>45617</v>
      </c>
      <c r="C161" s="45" t="s">
        <v>294</v>
      </c>
      <c r="D161" s="47"/>
      <c r="E161" s="45" t="s">
        <v>371</v>
      </c>
      <c r="F161" s="45" t="s">
        <v>372</v>
      </c>
      <c r="G161" s="45" t="s">
        <v>376</v>
      </c>
      <c r="H161" s="45" t="s">
        <v>1385</v>
      </c>
      <c r="I161" s="45" t="s">
        <v>1386</v>
      </c>
      <c r="J161" s="45">
        <v>741668328</v>
      </c>
      <c r="K161" s="45" t="s">
        <v>358</v>
      </c>
      <c r="L161" s="48">
        <v>279.81</v>
      </c>
      <c r="M161" s="49">
        <v>20241104749</v>
      </c>
      <c r="N161" s="50"/>
      <c r="O161" s="50"/>
      <c r="P161" s="50" t="s">
        <v>304</v>
      </c>
      <c r="Q161" s="51" t="s">
        <v>1813</v>
      </c>
      <c r="R161" s="50"/>
      <c r="S161" s="50"/>
      <c r="T161" s="51"/>
      <c r="U161" s="50"/>
    </row>
    <row r="162" spans="1:21" x14ac:dyDescent="0.25">
      <c r="A162" s="45" t="s">
        <v>375</v>
      </c>
      <c r="B162" s="46">
        <v>45617</v>
      </c>
      <c r="C162" s="45" t="s">
        <v>294</v>
      </c>
      <c r="D162" s="47"/>
      <c r="E162" s="45" t="s">
        <v>371</v>
      </c>
      <c r="F162" s="45" t="s">
        <v>372</v>
      </c>
      <c r="G162" s="45" t="s">
        <v>376</v>
      </c>
      <c r="H162" s="45" t="s">
        <v>1385</v>
      </c>
      <c r="I162" s="45" t="s">
        <v>1386</v>
      </c>
      <c r="J162" s="45">
        <v>741668328</v>
      </c>
      <c r="K162" s="45" t="s">
        <v>106</v>
      </c>
      <c r="L162" s="48">
        <v>1563.31</v>
      </c>
      <c r="M162" s="49">
        <v>20241104804</v>
      </c>
      <c r="N162" s="50" t="s">
        <v>28</v>
      </c>
      <c r="O162" s="50"/>
      <c r="P162" s="50"/>
      <c r="Q162" s="51"/>
      <c r="R162" s="50"/>
      <c r="S162" s="50"/>
      <c r="T162" s="51"/>
      <c r="U162" s="50"/>
    </row>
    <row r="163" spans="1:21" x14ac:dyDescent="0.25">
      <c r="A163" s="45" t="s">
        <v>324</v>
      </c>
      <c r="B163" s="46">
        <v>45617</v>
      </c>
      <c r="C163" s="45" t="s">
        <v>294</v>
      </c>
      <c r="D163" s="47"/>
      <c r="E163" s="45" t="s">
        <v>371</v>
      </c>
      <c r="F163" s="45" t="s">
        <v>372</v>
      </c>
      <c r="G163" s="45" t="s">
        <v>274</v>
      </c>
      <c r="H163" s="45" t="s">
        <v>1814</v>
      </c>
      <c r="I163" s="45" t="s">
        <v>1815</v>
      </c>
      <c r="J163" s="45">
        <v>769039497</v>
      </c>
      <c r="K163" s="45" t="s">
        <v>1686</v>
      </c>
      <c r="L163" s="48">
        <v>49.99</v>
      </c>
      <c r="M163" s="49">
        <v>20241108259</v>
      </c>
      <c r="N163" s="50" t="s">
        <v>28</v>
      </c>
      <c r="O163" s="50"/>
      <c r="P163" s="50"/>
      <c r="Q163" s="51"/>
      <c r="R163" s="50"/>
      <c r="S163" s="50"/>
      <c r="T163" s="51"/>
      <c r="U163" s="50"/>
    </row>
    <row r="164" spans="1:21" x14ac:dyDescent="0.25">
      <c r="A164" s="45" t="s">
        <v>324</v>
      </c>
      <c r="B164" s="46">
        <v>45617</v>
      </c>
      <c r="C164" s="45" t="s">
        <v>294</v>
      </c>
      <c r="D164" s="47"/>
      <c r="E164" s="45" t="s">
        <v>371</v>
      </c>
      <c r="F164" s="45" t="s">
        <v>372</v>
      </c>
      <c r="G164" s="45" t="s">
        <v>274</v>
      </c>
      <c r="H164" s="45" t="s">
        <v>1816</v>
      </c>
      <c r="I164" s="45" t="s">
        <v>1817</v>
      </c>
      <c r="J164" s="45">
        <v>771101683</v>
      </c>
      <c r="K164" s="45" t="s">
        <v>370</v>
      </c>
      <c r="L164" s="48">
        <v>99</v>
      </c>
      <c r="M164" s="49">
        <v>20241107399</v>
      </c>
      <c r="N164" s="50" t="s">
        <v>28</v>
      </c>
      <c r="O164" s="50"/>
      <c r="P164" s="50"/>
      <c r="Q164" s="51"/>
      <c r="R164" s="50"/>
      <c r="S164" s="50"/>
      <c r="T164" s="51"/>
      <c r="U164" s="50"/>
    </row>
    <row r="165" spans="1:21" x14ac:dyDescent="0.25">
      <c r="A165" s="45" t="s">
        <v>324</v>
      </c>
      <c r="B165" s="46">
        <v>45617</v>
      </c>
      <c r="C165" s="45" t="s">
        <v>294</v>
      </c>
      <c r="D165" s="47"/>
      <c r="E165" s="45" t="s">
        <v>371</v>
      </c>
      <c r="F165" s="45" t="s">
        <v>372</v>
      </c>
      <c r="G165" s="45" t="s">
        <v>274</v>
      </c>
      <c r="H165" s="45" t="s">
        <v>1816</v>
      </c>
      <c r="I165" s="45" t="s">
        <v>1817</v>
      </c>
      <c r="J165" s="45">
        <v>771101683</v>
      </c>
      <c r="K165" s="45" t="s">
        <v>1818</v>
      </c>
      <c r="L165" s="48">
        <v>99</v>
      </c>
      <c r="M165" s="49">
        <v>20241107392</v>
      </c>
      <c r="N165" s="50" t="s">
        <v>28</v>
      </c>
      <c r="O165" s="50"/>
      <c r="P165" s="50"/>
      <c r="Q165" s="51"/>
      <c r="R165" s="50"/>
      <c r="S165" s="50"/>
      <c r="T165" s="51"/>
      <c r="U165" s="50"/>
    </row>
    <row r="166" spans="1:21" x14ac:dyDescent="0.25">
      <c r="A166" s="45" t="s">
        <v>324</v>
      </c>
      <c r="B166" s="46">
        <v>45617</v>
      </c>
      <c r="C166" s="45" t="s">
        <v>294</v>
      </c>
      <c r="D166" s="47"/>
      <c r="E166" s="45" t="s">
        <v>371</v>
      </c>
      <c r="F166" s="45" t="s">
        <v>372</v>
      </c>
      <c r="G166" s="45" t="s">
        <v>274</v>
      </c>
      <c r="H166" s="45" t="s">
        <v>1816</v>
      </c>
      <c r="I166" s="45" t="s">
        <v>1817</v>
      </c>
      <c r="J166" s="45">
        <v>771101683</v>
      </c>
      <c r="K166" s="45" t="s">
        <v>1491</v>
      </c>
      <c r="L166" s="48">
        <v>99</v>
      </c>
      <c r="M166" s="49">
        <v>20241107396</v>
      </c>
      <c r="N166" s="50" t="s">
        <v>28</v>
      </c>
      <c r="O166" s="50"/>
      <c r="P166" s="50"/>
      <c r="Q166" s="51"/>
      <c r="R166" s="50"/>
      <c r="S166" s="50"/>
      <c r="T166" s="51"/>
      <c r="U166" s="50"/>
    </row>
    <row r="167" spans="1:21" x14ac:dyDescent="0.25">
      <c r="A167" s="45" t="s">
        <v>324</v>
      </c>
      <c r="B167" s="46">
        <v>45617</v>
      </c>
      <c r="C167" s="45" t="s">
        <v>294</v>
      </c>
      <c r="D167" s="47"/>
      <c r="E167" s="45" t="s">
        <v>371</v>
      </c>
      <c r="F167" s="45" t="s">
        <v>372</v>
      </c>
      <c r="G167" s="45" t="s">
        <v>274</v>
      </c>
      <c r="H167" s="45" t="s">
        <v>1816</v>
      </c>
      <c r="I167" s="45" t="s">
        <v>1817</v>
      </c>
      <c r="J167" s="45">
        <v>771101683</v>
      </c>
      <c r="K167" s="45" t="s">
        <v>406</v>
      </c>
      <c r="L167" s="48">
        <v>99</v>
      </c>
      <c r="M167" s="49">
        <v>20241107406</v>
      </c>
      <c r="N167" s="50" t="s">
        <v>28</v>
      </c>
      <c r="O167" s="50"/>
      <c r="P167" s="50"/>
      <c r="Q167" s="51"/>
      <c r="R167" s="50"/>
      <c r="S167" s="50"/>
      <c r="T167" s="51"/>
      <c r="U167" s="50"/>
    </row>
    <row r="168" spans="1:21" x14ac:dyDescent="0.25">
      <c r="A168" s="45" t="s">
        <v>324</v>
      </c>
      <c r="B168" s="46">
        <v>45617</v>
      </c>
      <c r="C168" s="45" t="s">
        <v>294</v>
      </c>
      <c r="D168" s="47"/>
      <c r="E168" s="45" t="s">
        <v>371</v>
      </c>
      <c r="F168" s="45" t="s">
        <v>372</v>
      </c>
      <c r="G168" s="45" t="s">
        <v>274</v>
      </c>
      <c r="H168" s="45" t="s">
        <v>1816</v>
      </c>
      <c r="I168" s="45" t="s">
        <v>1817</v>
      </c>
      <c r="J168" s="45">
        <v>771101683</v>
      </c>
      <c r="K168" s="45" t="s">
        <v>831</v>
      </c>
      <c r="L168" s="48">
        <v>99</v>
      </c>
      <c r="M168" s="49">
        <v>20241107402</v>
      </c>
      <c r="N168" s="50" t="s">
        <v>28</v>
      </c>
      <c r="O168" s="50"/>
      <c r="P168" s="50"/>
      <c r="Q168" s="51"/>
      <c r="R168" s="50"/>
      <c r="S168" s="50"/>
      <c r="T168" s="51"/>
      <c r="U168" s="50"/>
    </row>
    <row r="169" spans="1:21" x14ac:dyDescent="0.25">
      <c r="A169" s="45" t="s">
        <v>324</v>
      </c>
      <c r="B169" s="46">
        <v>45617</v>
      </c>
      <c r="C169" s="45" t="s">
        <v>294</v>
      </c>
      <c r="D169" s="47"/>
      <c r="E169" s="45" t="s">
        <v>371</v>
      </c>
      <c r="F169" s="45" t="s">
        <v>372</v>
      </c>
      <c r="G169" s="45" t="s">
        <v>274</v>
      </c>
      <c r="H169" s="45" t="s">
        <v>1819</v>
      </c>
      <c r="I169" s="45" t="s">
        <v>1820</v>
      </c>
      <c r="J169" s="45">
        <v>796412880</v>
      </c>
      <c r="K169" s="45" t="s">
        <v>1358</v>
      </c>
      <c r="L169" s="48">
        <v>23.99</v>
      </c>
      <c r="M169" s="49">
        <v>202411041145</v>
      </c>
      <c r="N169" s="50" t="s">
        <v>28</v>
      </c>
      <c r="O169" s="50"/>
      <c r="P169" s="50"/>
      <c r="Q169" s="51"/>
      <c r="R169" s="50"/>
      <c r="S169" s="50"/>
      <c r="T169" s="51"/>
      <c r="U169" s="50"/>
    </row>
    <row r="170" spans="1:21" ht="25.5" x14ac:dyDescent="0.25">
      <c r="A170" s="45" t="s">
        <v>233</v>
      </c>
      <c r="B170" s="46">
        <v>45617</v>
      </c>
      <c r="C170" s="45" t="s">
        <v>294</v>
      </c>
      <c r="D170" s="47"/>
      <c r="E170" s="45" t="s">
        <v>362</v>
      </c>
      <c r="F170" s="45" t="s">
        <v>394</v>
      </c>
      <c r="G170" s="45" t="s">
        <v>263</v>
      </c>
      <c r="H170" s="45" t="s">
        <v>1821</v>
      </c>
      <c r="I170" s="45" t="s">
        <v>1822</v>
      </c>
      <c r="J170" s="45">
        <v>194541566</v>
      </c>
      <c r="K170" s="45" t="s">
        <v>790</v>
      </c>
      <c r="L170" s="48">
        <v>1998</v>
      </c>
      <c r="M170" s="49">
        <v>20241107665</v>
      </c>
      <c r="N170" s="50" t="s">
        <v>28</v>
      </c>
      <c r="O170" s="50"/>
      <c r="P170" s="50"/>
      <c r="Q170" s="51"/>
      <c r="R170" s="50"/>
      <c r="S170" s="50"/>
      <c r="T170" s="51"/>
      <c r="U170" s="50"/>
    </row>
    <row r="171" spans="1:21" x14ac:dyDescent="0.25">
      <c r="A171" s="45" t="s">
        <v>233</v>
      </c>
      <c r="B171" s="46">
        <v>45617</v>
      </c>
      <c r="C171" s="45" t="s">
        <v>294</v>
      </c>
      <c r="D171" s="47"/>
      <c r="E171" s="45" t="s">
        <v>362</v>
      </c>
      <c r="F171" s="45" t="s">
        <v>394</v>
      </c>
      <c r="G171" s="45" t="s">
        <v>395</v>
      </c>
      <c r="H171" s="45" t="s">
        <v>616</v>
      </c>
      <c r="I171" s="45" t="s">
        <v>1823</v>
      </c>
      <c r="J171" s="45">
        <v>258334489</v>
      </c>
      <c r="K171" s="45" t="s">
        <v>783</v>
      </c>
      <c r="L171" s="48">
        <v>10</v>
      </c>
      <c r="M171" s="49">
        <v>20241104531</v>
      </c>
      <c r="N171" s="50" t="s">
        <v>28</v>
      </c>
      <c r="O171" s="50"/>
      <c r="P171" s="50"/>
      <c r="Q171" s="51"/>
      <c r="R171" s="50"/>
      <c r="S171" s="50"/>
      <c r="T171" s="51"/>
      <c r="U171" s="50"/>
    </row>
    <row r="172" spans="1:21" x14ac:dyDescent="0.25">
      <c r="A172" s="45" t="s">
        <v>20</v>
      </c>
      <c r="B172" s="46">
        <v>45639</v>
      </c>
      <c r="C172" s="45" t="s">
        <v>168</v>
      </c>
      <c r="D172" s="47"/>
      <c r="E172" s="45" t="s">
        <v>362</v>
      </c>
      <c r="F172" s="45" t="s">
        <v>394</v>
      </c>
      <c r="G172" s="45" t="s">
        <v>395</v>
      </c>
      <c r="H172" s="45" t="s">
        <v>616</v>
      </c>
      <c r="I172" s="45" t="s">
        <v>1823</v>
      </c>
      <c r="J172" s="45">
        <v>258334489</v>
      </c>
      <c r="K172" s="45" t="s">
        <v>272</v>
      </c>
      <c r="L172" s="48">
        <v>100.79</v>
      </c>
      <c r="M172" s="49">
        <v>20241104517</v>
      </c>
      <c r="N172" s="50" t="s">
        <v>28</v>
      </c>
      <c r="O172" s="50"/>
      <c r="P172" s="50"/>
      <c r="Q172" s="51"/>
      <c r="R172" s="50"/>
      <c r="S172" s="50"/>
      <c r="T172" s="51"/>
      <c r="U172" s="50"/>
    </row>
    <row r="173" spans="1:21" x14ac:dyDescent="0.25">
      <c r="A173" s="45" t="s">
        <v>233</v>
      </c>
      <c r="B173" s="46">
        <v>45617</v>
      </c>
      <c r="C173" s="45" t="s">
        <v>294</v>
      </c>
      <c r="D173" s="47"/>
      <c r="E173" s="45" t="s">
        <v>362</v>
      </c>
      <c r="F173" s="45" t="s">
        <v>394</v>
      </c>
      <c r="G173" s="45" t="s">
        <v>395</v>
      </c>
      <c r="H173" s="45" t="s">
        <v>616</v>
      </c>
      <c r="I173" s="45" t="s">
        <v>1823</v>
      </c>
      <c r="J173" s="45">
        <v>258334489</v>
      </c>
      <c r="K173" s="45" t="s">
        <v>272</v>
      </c>
      <c r="L173" s="48">
        <v>32.83</v>
      </c>
      <c r="M173" s="49">
        <v>20241104525</v>
      </c>
      <c r="N173" s="50" t="s">
        <v>28</v>
      </c>
      <c r="O173" s="50"/>
      <c r="P173" s="50"/>
      <c r="Q173" s="51"/>
      <c r="R173" s="50"/>
      <c r="S173" s="50"/>
      <c r="T173" s="51"/>
      <c r="U173" s="50"/>
    </row>
    <row r="174" spans="1:21" x14ac:dyDescent="0.25">
      <c r="A174" s="45" t="s">
        <v>233</v>
      </c>
      <c r="B174" s="46">
        <v>45617</v>
      </c>
      <c r="C174" s="45" t="s">
        <v>294</v>
      </c>
      <c r="D174" s="47"/>
      <c r="E174" s="45" t="s">
        <v>362</v>
      </c>
      <c r="F174" s="45" t="s">
        <v>394</v>
      </c>
      <c r="G174" s="45" t="s">
        <v>395</v>
      </c>
      <c r="H174" s="45" t="s">
        <v>616</v>
      </c>
      <c r="I174" s="45" t="s">
        <v>1823</v>
      </c>
      <c r="J174" s="45">
        <v>258334489</v>
      </c>
      <c r="K174" s="45" t="s">
        <v>384</v>
      </c>
      <c r="L174" s="48">
        <v>51</v>
      </c>
      <c r="M174" s="49">
        <v>20241104484</v>
      </c>
      <c r="N174" s="50" t="s">
        <v>28</v>
      </c>
      <c r="O174" s="50"/>
      <c r="P174" s="50"/>
      <c r="Q174" s="51"/>
      <c r="R174" s="50"/>
      <c r="S174" s="50"/>
      <c r="T174" s="51"/>
      <c r="U174" s="50"/>
    </row>
    <row r="175" spans="1:21" x14ac:dyDescent="0.25">
      <c r="A175" s="45" t="s">
        <v>324</v>
      </c>
      <c r="B175" s="46">
        <v>45617</v>
      </c>
      <c r="C175" s="45" t="s">
        <v>294</v>
      </c>
      <c r="D175" s="47"/>
      <c r="E175" s="45" t="s">
        <v>362</v>
      </c>
      <c r="F175" s="45" t="s">
        <v>394</v>
      </c>
      <c r="G175" s="45" t="s">
        <v>274</v>
      </c>
      <c r="H175" s="45" t="s">
        <v>1824</v>
      </c>
      <c r="I175" s="45" t="s">
        <v>1825</v>
      </c>
      <c r="J175" s="45">
        <v>454796264</v>
      </c>
      <c r="K175" s="45" t="s">
        <v>1826</v>
      </c>
      <c r="L175" s="48">
        <v>272.66000000000003</v>
      </c>
      <c r="M175" s="49">
        <v>20241106738</v>
      </c>
      <c r="N175" s="50" t="s">
        <v>28</v>
      </c>
      <c r="O175" s="50"/>
      <c r="P175" s="50"/>
      <c r="Q175" s="51"/>
      <c r="R175" s="50"/>
      <c r="S175" s="50"/>
      <c r="T175" s="51"/>
      <c r="U175" s="50"/>
    </row>
    <row r="176" spans="1:21" x14ac:dyDescent="0.25">
      <c r="A176" s="45" t="s">
        <v>324</v>
      </c>
      <c r="B176" s="46">
        <v>45617</v>
      </c>
      <c r="C176" s="45" t="s">
        <v>294</v>
      </c>
      <c r="D176" s="47"/>
      <c r="E176" s="45" t="s">
        <v>362</v>
      </c>
      <c r="F176" s="45" t="s">
        <v>394</v>
      </c>
      <c r="G176" s="45" t="s">
        <v>326</v>
      </c>
      <c r="H176" s="45" t="s">
        <v>1560</v>
      </c>
      <c r="I176" s="45" t="s">
        <v>1561</v>
      </c>
      <c r="J176" s="45">
        <v>458536078</v>
      </c>
      <c r="K176" s="45" t="s">
        <v>1358</v>
      </c>
      <c r="L176" s="48">
        <v>368.21</v>
      </c>
      <c r="M176" s="49">
        <v>202411041280</v>
      </c>
      <c r="N176" s="50" t="s">
        <v>28</v>
      </c>
      <c r="O176" s="50"/>
      <c r="P176" s="50"/>
      <c r="Q176" s="51"/>
      <c r="R176" s="50"/>
      <c r="S176" s="50"/>
      <c r="T176" s="51"/>
      <c r="U176" s="50"/>
    </row>
    <row r="177" spans="1:21" ht="25.5" x14ac:dyDescent="0.25">
      <c r="A177" s="45" t="s">
        <v>29</v>
      </c>
      <c r="B177" s="46">
        <v>45639</v>
      </c>
      <c r="C177" s="45" t="s">
        <v>168</v>
      </c>
      <c r="D177" s="47"/>
      <c r="E177" s="45" t="s">
        <v>362</v>
      </c>
      <c r="F177" s="45" t="s">
        <v>394</v>
      </c>
      <c r="G177" s="45" t="s">
        <v>1827</v>
      </c>
      <c r="H177" s="45" t="s">
        <v>1828</v>
      </c>
      <c r="I177" s="45" t="s">
        <v>1829</v>
      </c>
      <c r="J177" s="45">
        <v>514968435</v>
      </c>
      <c r="K177" s="45" t="s">
        <v>76</v>
      </c>
      <c r="L177" s="48">
        <v>1</v>
      </c>
      <c r="M177" s="49">
        <v>20241105766</v>
      </c>
      <c r="N177" s="50" t="s">
        <v>28</v>
      </c>
      <c r="O177" s="50"/>
      <c r="P177" s="50"/>
      <c r="Q177" s="51"/>
      <c r="R177" s="50"/>
      <c r="S177" s="50"/>
      <c r="T177" s="51"/>
      <c r="U177" s="50"/>
    </row>
    <row r="178" spans="1:21" x14ac:dyDescent="0.25">
      <c r="A178" s="45" t="s">
        <v>233</v>
      </c>
      <c r="B178" s="46">
        <v>45617</v>
      </c>
      <c r="C178" s="45" t="s">
        <v>294</v>
      </c>
      <c r="D178" s="47"/>
      <c r="E178" s="45" t="s">
        <v>362</v>
      </c>
      <c r="F178" s="45" t="s">
        <v>394</v>
      </c>
      <c r="G178" s="45" t="s">
        <v>1294</v>
      </c>
      <c r="H178" s="45" t="s">
        <v>1830</v>
      </c>
      <c r="I178" s="45" t="s">
        <v>1831</v>
      </c>
      <c r="J178" s="45">
        <v>528418306</v>
      </c>
      <c r="K178" s="45" t="s">
        <v>56</v>
      </c>
      <c r="L178" s="48">
        <v>17.39</v>
      </c>
      <c r="M178" s="49">
        <v>20241106660</v>
      </c>
      <c r="N178" s="50" t="s">
        <v>28</v>
      </c>
      <c r="O178" s="50"/>
      <c r="P178" s="50"/>
      <c r="Q178" s="51"/>
      <c r="R178" s="50"/>
      <c r="S178" s="50"/>
      <c r="T178" s="51"/>
      <c r="U178" s="50"/>
    </row>
    <row r="179" spans="1:21" x14ac:dyDescent="0.25">
      <c r="A179" s="45" t="s">
        <v>233</v>
      </c>
      <c r="B179" s="46">
        <v>45617</v>
      </c>
      <c r="C179" s="45" t="s">
        <v>294</v>
      </c>
      <c r="D179" s="47"/>
      <c r="E179" s="45" t="s">
        <v>362</v>
      </c>
      <c r="F179" s="45" t="s">
        <v>394</v>
      </c>
      <c r="G179" s="45" t="s">
        <v>234</v>
      </c>
      <c r="H179" s="45" t="s">
        <v>1342</v>
      </c>
      <c r="I179" s="45" t="s">
        <v>1479</v>
      </c>
      <c r="J179" s="45">
        <v>528442966</v>
      </c>
      <c r="K179" s="45" t="s">
        <v>1832</v>
      </c>
      <c r="L179" s="48">
        <v>11.7</v>
      </c>
      <c r="M179" s="49">
        <v>20241108606</v>
      </c>
      <c r="N179" s="50" t="s">
        <v>28</v>
      </c>
      <c r="O179" s="50"/>
      <c r="P179" s="50"/>
      <c r="Q179" s="51"/>
      <c r="R179" s="50"/>
      <c r="S179" s="50"/>
      <c r="T179" s="51"/>
      <c r="U179" s="50"/>
    </row>
    <row r="180" spans="1:21" x14ac:dyDescent="0.25">
      <c r="A180" s="45" t="s">
        <v>233</v>
      </c>
      <c r="B180" s="46">
        <v>45737</v>
      </c>
      <c r="C180" s="45" t="s">
        <v>21</v>
      </c>
      <c r="D180" s="47" t="s">
        <v>34</v>
      </c>
      <c r="E180" s="45" t="s">
        <v>362</v>
      </c>
      <c r="F180" s="45" t="s">
        <v>394</v>
      </c>
      <c r="G180" s="45" t="s">
        <v>234</v>
      </c>
      <c r="H180" s="45" t="s">
        <v>1342</v>
      </c>
      <c r="I180" s="45" t="s">
        <v>1479</v>
      </c>
      <c r="J180" s="45">
        <v>528442966</v>
      </c>
      <c r="K180" s="45" t="s">
        <v>1098</v>
      </c>
      <c r="L180" s="48">
        <v>20</v>
      </c>
      <c r="M180" s="49">
        <v>20241108607</v>
      </c>
      <c r="N180" s="50" t="s">
        <v>28</v>
      </c>
      <c r="O180" s="50"/>
      <c r="P180" s="50"/>
      <c r="Q180" s="51"/>
      <c r="R180" s="50"/>
      <c r="S180" s="50"/>
      <c r="T180" s="51"/>
      <c r="U180" s="50"/>
    </row>
    <row r="181" spans="1:21" x14ac:dyDescent="0.25">
      <c r="A181" s="45" t="s">
        <v>233</v>
      </c>
      <c r="B181" s="46">
        <v>45737</v>
      </c>
      <c r="C181" s="45" t="s">
        <v>21</v>
      </c>
      <c r="D181" s="47" t="s">
        <v>34</v>
      </c>
      <c r="E181" s="45" t="s">
        <v>362</v>
      </c>
      <c r="F181" s="45" t="s">
        <v>394</v>
      </c>
      <c r="G181" s="45" t="s">
        <v>234</v>
      </c>
      <c r="H181" s="45" t="s">
        <v>1342</v>
      </c>
      <c r="I181" s="45" t="s">
        <v>1479</v>
      </c>
      <c r="J181" s="45">
        <v>528442966</v>
      </c>
      <c r="K181" s="45" t="s">
        <v>1098</v>
      </c>
      <c r="L181" s="48">
        <v>20</v>
      </c>
      <c r="M181" s="49">
        <v>20241108608</v>
      </c>
      <c r="N181" s="50" t="s">
        <v>28</v>
      </c>
      <c r="O181" s="50"/>
      <c r="P181" s="50"/>
      <c r="Q181" s="51"/>
      <c r="R181" s="50"/>
      <c r="S181" s="50"/>
      <c r="T181" s="51"/>
      <c r="U181" s="50"/>
    </row>
    <row r="182" spans="1:21" x14ac:dyDescent="0.25">
      <c r="A182" s="45" t="s">
        <v>233</v>
      </c>
      <c r="B182" s="46">
        <v>45737</v>
      </c>
      <c r="C182" s="45" t="s">
        <v>21</v>
      </c>
      <c r="D182" s="47" t="s">
        <v>34</v>
      </c>
      <c r="E182" s="45" t="s">
        <v>362</v>
      </c>
      <c r="F182" s="45" t="s">
        <v>394</v>
      </c>
      <c r="G182" s="45" t="s">
        <v>234</v>
      </c>
      <c r="H182" s="45" t="s">
        <v>1342</v>
      </c>
      <c r="I182" s="45" t="s">
        <v>1479</v>
      </c>
      <c r="J182" s="45">
        <v>528442966</v>
      </c>
      <c r="K182" s="45" t="s">
        <v>1833</v>
      </c>
      <c r="L182" s="48">
        <v>12.19</v>
      </c>
      <c r="M182" s="49">
        <v>20241108609</v>
      </c>
      <c r="N182" s="50" t="s">
        <v>28</v>
      </c>
      <c r="O182" s="50"/>
      <c r="P182" s="50"/>
      <c r="Q182" s="51"/>
      <c r="R182" s="50"/>
      <c r="S182" s="50"/>
      <c r="T182" s="51"/>
      <c r="U182" s="50"/>
    </row>
    <row r="183" spans="1:21" x14ac:dyDescent="0.25">
      <c r="A183" s="45" t="s">
        <v>233</v>
      </c>
      <c r="B183" s="46">
        <v>45737</v>
      </c>
      <c r="C183" s="45" t="s">
        <v>21</v>
      </c>
      <c r="D183" s="47" t="s">
        <v>34</v>
      </c>
      <c r="E183" s="45" t="s">
        <v>362</v>
      </c>
      <c r="F183" s="45" t="s">
        <v>394</v>
      </c>
      <c r="G183" s="45" t="s">
        <v>234</v>
      </c>
      <c r="H183" s="45" t="s">
        <v>1342</v>
      </c>
      <c r="I183" s="45" t="s">
        <v>1479</v>
      </c>
      <c r="J183" s="45">
        <v>528442966</v>
      </c>
      <c r="K183" s="45" t="s">
        <v>1833</v>
      </c>
      <c r="L183" s="48">
        <v>20</v>
      </c>
      <c r="M183" s="49">
        <v>20241108610</v>
      </c>
      <c r="N183" s="50" t="s">
        <v>28</v>
      </c>
      <c r="O183" s="50"/>
      <c r="P183" s="50"/>
      <c r="Q183" s="51"/>
      <c r="R183" s="50"/>
      <c r="S183" s="50"/>
      <c r="T183" s="51"/>
      <c r="U183" s="50"/>
    </row>
    <row r="184" spans="1:21" x14ac:dyDescent="0.25">
      <c r="A184" s="45" t="s">
        <v>233</v>
      </c>
      <c r="B184" s="46">
        <v>45737</v>
      </c>
      <c r="C184" s="45" t="s">
        <v>21</v>
      </c>
      <c r="D184" s="47" t="s">
        <v>34</v>
      </c>
      <c r="E184" s="45" t="s">
        <v>362</v>
      </c>
      <c r="F184" s="45" t="s">
        <v>394</v>
      </c>
      <c r="G184" s="45" t="s">
        <v>234</v>
      </c>
      <c r="H184" s="45" t="s">
        <v>1342</v>
      </c>
      <c r="I184" s="45" t="s">
        <v>1479</v>
      </c>
      <c r="J184" s="45">
        <v>528442966</v>
      </c>
      <c r="K184" s="45" t="s">
        <v>224</v>
      </c>
      <c r="L184" s="48">
        <v>94.07</v>
      </c>
      <c r="M184" s="49">
        <v>20241108612</v>
      </c>
      <c r="N184" s="50" t="s">
        <v>28</v>
      </c>
      <c r="O184" s="50"/>
      <c r="P184" s="50"/>
      <c r="Q184" s="51"/>
      <c r="R184" s="50"/>
      <c r="S184" s="50"/>
      <c r="T184" s="51"/>
      <c r="U184" s="50"/>
    </row>
    <row r="185" spans="1:21" x14ac:dyDescent="0.25">
      <c r="A185" s="45" t="s">
        <v>20</v>
      </c>
      <c r="B185" s="46">
        <v>45639</v>
      </c>
      <c r="C185" s="45" t="s">
        <v>168</v>
      </c>
      <c r="D185" s="47"/>
      <c r="E185" s="45" t="s">
        <v>362</v>
      </c>
      <c r="F185" s="45" t="s">
        <v>409</v>
      </c>
      <c r="G185" s="45" t="s">
        <v>798</v>
      </c>
      <c r="H185" s="45" t="s">
        <v>1834</v>
      </c>
      <c r="I185" s="45" t="s">
        <v>1835</v>
      </c>
      <c r="J185" s="45">
        <v>493020505</v>
      </c>
      <c r="K185" s="45" t="s">
        <v>181</v>
      </c>
      <c r="L185" s="48">
        <v>25</v>
      </c>
      <c r="M185" s="49">
        <v>20240903625</v>
      </c>
      <c r="N185" s="50" t="s">
        <v>28</v>
      </c>
      <c r="O185" s="50"/>
      <c r="P185" s="50"/>
      <c r="Q185" s="51"/>
      <c r="R185" s="50"/>
      <c r="S185" s="50"/>
      <c r="T185" s="51"/>
      <c r="U185" s="50"/>
    </row>
    <row r="186" spans="1:21" x14ac:dyDescent="0.25">
      <c r="A186" s="45" t="s">
        <v>29</v>
      </c>
      <c r="B186" s="46">
        <v>45639</v>
      </c>
      <c r="C186" s="45" t="s">
        <v>168</v>
      </c>
      <c r="D186" s="47"/>
      <c r="E186" s="45" t="s">
        <v>411</v>
      </c>
      <c r="F186" s="45" t="s">
        <v>412</v>
      </c>
      <c r="G186" s="45" t="s">
        <v>1014</v>
      </c>
      <c r="H186" s="45" t="s">
        <v>1836</v>
      </c>
      <c r="I186" s="45" t="s">
        <v>1837</v>
      </c>
      <c r="J186" s="45">
        <v>629265379</v>
      </c>
      <c r="K186" s="45" t="s">
        <v>184</v>
      </c>
      <c r="L186" s="48">
        <v>440</v>
      </c>
      <c r="M186" s="49">
        <v>20240905832</v>
      </c>
      <c r="N186" s="50" t="s">
        <v>28</v>
      </c>
      <c r="O186" s="50"/>
      <c r="P186" s="50"/>
      <c r="Q186" s="51"/>
      <c r="R186" s="50"/>
      <c r="S186" s="50"/>
      <c r="T186" s="51"/>
      <c r="U186" s="50"/>
    </row>
    <row r="187" spans="1:21" x14ac:dyDescent="0.25">
      <c r="A187" s="45" t="s">
        <v>29</v>
      </c>
      <c r="B187" s="46">
        <v>45639</v>
      </c>
      <c r="C187" s="45" t="s">
        <v>168</v>
      </c>
      <c r="D187" s="47"/>
      <c r="E187" s="45" t="s">
        <v>696</v>
      </c>
      <c r="F187" s="45" t="s">
        <v>697</v>
      </c>
      <c r="G187" s="45" t="s">
        <v>1093</v>
      </c>
      <c r="H187" s="45" t="s">
        <v>149</v>
      </c>
      <c r="I187" s="45" t="s">
        <v>1838</v>
      </c>
      <c r="J187" s="45">
        <v>531881321</v>
      </c>
      <c r="K187" s="45" t="s">
        <v>1839</v>
      </c>
      <c r="L187" s="48">
        <v>4068.5</v>
      </c>
      <c r="M187" s="49">
        <v>202411011382</v>
      </c>
      <c r="N187" s="50" t="s">
        <v>28</v>
      </c>
      <c r="O187" s="50"/>
      <c r="P187" s="50"/>
      <c r="Q187" s="51"/>
      <c r="R187" s="50"/>
      <c r="S187" s="50"/>
      <c r="T187" s="51"/>
      <c r="U187" s="50"/>
    </row>
    <row r="188" spans="1:21" x14ac:dyDescent="0.25">
      <c r="A188" s="45" t="s">
        <v>38</v>
      </c>
      <c r="B188" s="46">
        <v>45737</v>
      </c>
      <c r="C188" s="45" t="s">
        <v>21</v>
      </c>
      <c r="D188" s="47" t="s">
        <v>168</v>
      </c>
      <c r="E188" s="45" t="s">
        <v>714</v>
      </c>
      <c r="F188" s="45" t="s">
        <v>715</v>
      </c>
      <c r="G188" s="45" t="s">
        <v>874</v>
      </c>
      <c r="H188" s="45" t="s">
        <v>152</v>
      </c>
      <c r="I188" s="45" t="s">
        <v>1350</v>
      </c>
      <c r="J188" s="45">
        <v>465230965</v>
      </c>
      <c r="K188" s="45" t="s">
        <v>228</v>
      </c>
      <c r="L188" s="48">
        <v>400</v>
      </c>
      <c r="M188" s="49">
        <v>20241104645</v>
      </c>
      <c r="N188" s="50" t="s">
        <v>28</v>
      </c>
      <c r="O188" s="50"/>
      <c r="P188" s="50"/>
      <c r="Q188" s="51"/>
      <c r="R188" s="50"/>
      <c r="S188" s="50"/>
      <c r="T188" s="51"/>
      <c r="U188" s="50"/>
    </row>
  </sheetData>
  <autoFilter ref="A1:AG40215" xr:uid="{23753108-9C5F-4374-8CC4-D54EF733BF1B}"/>
  <sortState xmlns:xlrd2="http://schemas.microsoft.com/office/spreadsheetml/2017/richdata2" ref="A2:U188">
    <sortCondition ref="J2:J188"/>
  </sortState>
  <conditionalFormatting sqref="N1:N1048576">
    <cfRule type="cellIs" priority="16" stopIfTrue="1" operator="equal">
      <formula>""</formula>
    </cfRule>
    <cfRule type="cellIs" priority="17" stopIfTrue="1" operator="equal">
      <formula>"Correct = C"</formula>
    </cfRule>
    <cfRule type="cellIs" dxfId="151" priority="18" operator="notEqual">
      <formula>"C"</formula>
    </cfRule>
  </conditionalFormatting>
  <conditionalFormatting sqref="O1:O11 O13:O1048576">
    <cfRule type="cellIs" priority="13" stopIfTrue="1" operator="equal">
      <formula>""</formula>
    </cfRule>
    <cfRule type="cellIs" priority="14" stopIfTrue="1" operator="equal">
      <formula>"Major = M"</formula>
    </cfRule>
    <cfRule type="cellIs" dxfId="150" priority="15" operator="notEqual">
      <formula>"M"</formula>
    </cfRule>
  </conditionalFormatting>
  <conditionalFormatting sqref="P1:P1048576">
    <cfRule type="cellIs" priority="10" stopIfTrue="1" operator="equal">
      <formula>""</formula>
    </cfRule>
    <cfRule type="cellIs" priority="11" stopIfTrue="1" operator="equal">
      <formula>"Minor = E"</formula>
    </cfRule>
    <cfRule type="cellIs" dxfId="149" priority="12" operator="notEqual">
      <formula>"E"</formula>
    </cfRule>
  </conditionalFormatting>
  <conditionalFormatting sqref="R1:R1048576">
    <cfRule type="cellIs" priority="7" stopIfTrue="1" operator="equal">
      <formula>""</formula>
    </cfRule>
    <cfRule type="cellIs" priority="8" stopIfTrue="1" operator="equal">
      <formula>"Inserted Major = M"</formula>
    </cfRule>
    <cfRule type="cellIs" dxfId="148" priority="9" operator="notEqual">
      <formula>"M"</formula>
    </cfRule>
  </conditionalFormatting>
  <conditionalFormatting sqref="S1:S1048576">
    <cfRule type="cellIs" priority="4" stopIfTrue="1" operator="equal">
      <formula>""</formula>
    </cfRule>
    <cfRule type="cellIs" priority="5" stopIfTrue="1" operator="equal">
      <formula>"Inserted Minor = E"</formula>
    </cfRule>
    <cfRule type="cellIs" dxfId="147" priority="6" operator="notEqual">
      <formula>"E"</formula>
    </cfRule>
  </conditionalFormatting>
  <conditionalFormatting sqref="O12">
    <cfRule type="cellIs" priority="1" stopIfTrue="1" operator="equal">
      <formula>""</formula>
    </cfRule>
    <cfRule type="cellIs" priority="2" stopIfTrue="1" operator="equal">
      <formula>"Correct = C"</formula>
    </cfRule>
    <cfRule type="cellIs" dxfId="146" priority="3" operator="notEqual">
      <formula>"C"</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51EBE-0C8F-44D9-9695-7BAFEEF513AD}">
  <sheetPr codeName="Sheet16"/>
  <dimension ref="B2:AA51"/>
  <sheetViews>
    <sheetView workbookViewId="0"/>
  </sheetViews>
  <sheetFormatPr defaultRowHeight="15" x14ac:dyDescent="0.25"/>
  <cols>
    <col min="1" max="1" width="2.7109375" customWidth="1"/>
    <col min="2" max="2" width="28.140625" style="1" bestFit="1" customWidth="1"/>
    <col min="3" max="3" width="19.140625" style="1" hidden="1" customWidth="1"/>
    <col min="4" max="4" width="21.7109375" style="1" hidden="1" customWidth="1"/>
    <col min="5" max="5" width="11" style="1" hidden="1" customWidth="1"/>
    <col min="6" max="6" width="9.5703125" style="1" hidden="1" customWidth="1"/>
    <col min="7" max="7" width="16.140625" style="1" hidden="1" customWidth="1"/>
    <col min="8" max="8" width="17.140625" style="1" customWidth="1"/>
    <col min="9" max="9" width="33.85546875" style="1" hidden="1" customWidth="1"/>
    <col min="10" max="10" width="16.140625" style="1" customWidth="1"/>
    <col min="11" max="11" width="20.85546875" style="1" hidden="1" customWidth="1"/>
    <col min="12" max="12" width="19.85546875" style="1" hidden="1" customWidth="1"/>
    <col min="13" max="13" width="9.140625" style="1"/>
    <col min="14" max="16" width="0" style="1" hidden="1" customWidth="1"/>
    <col min="17" max="17" width="9.140625" style="1"/>
    <col min="18" max="19" width="9.140625" style="27"/>
    <col min="20" max="20" width="9.140625" style="1"/>
    <col min="21" max="22" width="9.140625" style="2"/>
    <col min="23" max="23" width="9.140625" style="1"/>
    <col min="24" max="24" width="18.85546875" style="1" bestFit="1" customWidth="1"/>
    <col min="25" max="27" width="9.140625" style="1"/>
  </cols>
  <sheetData>
    <row r="2" spans="2:24" s="1" customFormat="1" ht="52.5" x14ac:dyDescent="0.25">
      <c r="B2" s="22" t="s">
        <v>437</v>
      </c>
      <c r="C2" s="22" t="s">
        <v>438</v>
      </c>
      <c r="D2" s="22" t="s">
        <v>439</v>
      </c>
      <c r="E2" s="23" t="s">
        <v>440</v>
      </c>
      <c r="F2" s="23" t="s">
        <v>441</v>
      </c>
      <c r="G2" s="23" t="s">
        <v>442</v>
      </c>
      <c r="H2" s="23" t="s">
        <v>443</v>
      </c>
      <c r="I2" s="23" t="s">
        <v>444</v>
      </c>
      <c r="J2" s="23" t="s">
        <v>445</v>
      </c>
      <c r="K2" s="23" t="s">
        <v>446</v>
      </c>
      <c r="L2" s="23" t="s">
        <v>447</v>
      </c>
      <c r="M2" s="24" t="s">
        <v>448</v>
      </c>
      <c r="N2" s="24"/>
      <c r="O2" s="24"/>
      <c r="P2" s="24" t="s">
        <v>449</v>
      </c>
      <c r="Q2" s="24" t="s">
        <v>450</v>
      </c>
      <c r="R2" s="25" t="s">
        <v>451</v>
      </c>
      <c r="S2" s="25" t="s">
        <v>452</v>
      </c>
      <c r="T2" s="24" t="s">
        <v>453</v>
      </c>
      <c r="U2" s="26" t="s">
        <v>454</v>
      </c>
      <c r="V2" s="2"/>
    </row>
    <row r="3" spans="2:24" s="1" customFormat="1" ht="15" customHeight="1" x14ac:dyDescent="0.25">
      <c r="B3" s="1" t="s">
        <v>455</v>
      </c>
      <c r="C3" s="1" t="s">
        <v>456</v>
      </c>
      <c r="D3" s="1" t="s">
        <v>297</v>
      </c>
      <c r="E3" t="s">
        <v>457</v>
      </c>
      <c r="F3" t="s">
        <v>458</v>
      </c>
      <c r="G3" t="s">
        <v>459</v>
      </c>
      <c r="H3" t="s">
        <v>460</v>
      </c>
      <c r="I3" t="s">
        <v>461</v>
      </c>
      <c r="J3" t="s">
        <v>462</v>
      </c>
      <c r="K3"/>
      <c r="L3" t="s">
        <v>463</v>
      </c>
      <c r="M3">
        <v>0</v>
      </c>
      <c r="N3" t="s">
        <v>464</v>
      </c>
      <c r="O3"/>
      <c r="P3"/>
      <c r="Q3" s="7">
        <v>49</v>
      </c>
      <c r="R3" s="27">
        <f t="shared" ref="R3:R50" si="0">IF(Q3-SUM(S3:T3)=0,"",Q3-SUM(S3:T3))</f>
        <v>49</v>
      </c>
      <c r="S3" s="27" t="str">
        <f>IF(SUM(COUNTIFS('11_04_11_10'!E:E,'11_04_11_10 Acc Rate'!C3,'11_04_11_10'!O:O,"*M*"),COUNTIFS('11_04_11_10'!E:E,'11_04_11_10 Acc Rate'!C3,'11_04_11_10'!R:R,"*M*"))=0,"",SUM(COUNTIFS('11_04_11_10'!E:E,'11_04_11_10 Acc Rate'!C3,'11_04_11_10'!O:O,"*M*"),COUNTIFS('11_04_11_10'!E:E,'11_04_11_10 Acc Rate'!C3,'11_04_11_10'!R:R,"*M*")))</f>
        <v/>
      </c>
      <c r="T3" s="1" t="str">
        <f>IF(SUM(COUNTIFS('11_04_11_10'!E:E,'11_04_11_10 Acc Rate'!C3,'11_04_11_10'!P:P,"*E*"),COUNTIFS('11_04_11_10'!E:E,'11_04_11_10 Acc Rate'!C3,'11_04_11_10'!S:S,"*E*"))=0,"",SUM(COUNTIFS('11_04_11_10'!E:E,'11_04_11_10 Acc Rate'!C3,'11_04_11_10'!P:P,"*E*"),COUNTIFS('11_04_11_10'!E:E,'11_04_11_10 Acc Rate'!C3,'11_04_11_10'!S:S,"*E*")))</f>
        <v/>
      </c>
      <c r="U3" s="8">
        <f>IF(ISERROR(SUM(_xlfn.NUMBERVALUE(S3)*8+_xlfn.NUMBERVALUE(T3)*2)/Q3),"",SUM(_xlfn.NUMBERVALUE(S3)*8+_xlfn.NUMBERVALUE(T3)*2)/Q3)</f>
        <v>0</v>
      </c>
      <c r="V3" s="2"/>
      <c r="W3" s="83" t="s">
        <v>465</v>
      </c>
      <c r="X3" s="83"/>
    </row>
    <row r="4" spans="2:24" s="1" customFormat="1" ht="15" customHeight="1" x14ac:dyDescent="0.25">
      <c r="B4" s="1" t="s">
        <v>466</v>
      </c>
      <c r="C4" s="1" t="s">
        <v>353</v>
      </c>
      <c r="D4" s="1" t="s">
        <v>354</v>
      </c>
      <c r="E4" t="s">
        <v>467</v>
      </c>
      <c r="F4" t="s">
        <v>294</v>
      </c>
      <c r="G4" t="s">
        <v>468</v>
      </c>
      <c r="H4" t="s">
        <v>460</v>
      </c>
      <c r="I4" t="s">
        <v>469</v>
      </c>
      <c r="J4" t="s">
        <v>470</v>
      </c>
      <c r="K4"/>
      <c r="L4" t="s">
        <v>471</v>
      </c>
      <c r="M4">
        <v>15</v>
      </c>
      <c r="N4" t="s">
        <v>472</v>
      </c>
      <c r="O4">
        <v>127</v>
      </c>
      <c r="P4">
        <v>40</v>
      </c>
      <c r="Q4" s="7">
        <v>276</v>
      </c>
      <c r="R4" s="27">
        <f t="shared" si="0"/>
        <v>276</v>
      </c>
      <c r="S4" s="27" t="str">
        <f>IF(SUM(COUNTIFS('11_04_11_10'!E:E,'11_04_11_10 Acc Rate'!C4,'11_04_11_10'!O:O,"*M*"),COUNTIFS('11_04_11_10'!E:E,'11_04_11_10 Acc Rate'!C4,'11_04_11_10'!R:R,"*M*"))=0,"",SUM(COUNTIFS('11_04_11_10'!E:E,'11_04_11_10 Acc Rate'!C4,'11_04_11_10'!O:O,"*M*"),COUNTIFS('11_04_11_10'!E:E,'11_04_11_10 Acc Rate'!C4,'11_04_11_10'!R:R,"*M*")))</f>
        <v/>
      </c>
      <c r="T4" s="1" t="str">
        <f>IF(SUM(COUNTIFS('11_04_11_10'!E:E,'11_04_11_10 Acc Rate'!C4,'11_04_11_10'!P:P,"*E*"),COUNTIFS('11_04_11_10'!E:E,'11_04_11_10 Acc Rate'!C4,'11_04_11_10'!S:S,"*E*"))=0,"",SUM(COUNTIFS('11_04_11_10'!E:E,'11_04_11_10 Acc Rate'!C4,'11_04_11_10'!P:P,"*E*"),COUNTIFS('11_04_11_10'!E:E,'11_04_11_10 Acc Rate'!C4,'11_04_11_10'!S:S,"*E*")))</f>
        <v/>
      </c>
      <c r="U4" s="8">
        <f t="shared" ref="U4:U49" si="1">IF(ISERROR(SUM(_xlfn.NUMBERVALUE(S4)*8+_xlfn.NUMBERVALUE(T4)*2)/Q4),"",SUM(_xlfn.NUMBERVALUE(S4)*8+_xlfn.NUMBERVALUE(T4)*2)/Q4)</f>
        <v>0</v>
      </c>
      <c r="V4" s="2"/>
      <c r="W4" s="40" t="s">
        <v>473</v>
      </c>
      <c r="X4" s="41" t="s">
        <v>474</v>
      </c>
    </row>
    <row r="5" spans="2:24" s="1" customFormat="1" ht="15" customHeight="1" x14ac:dyDescent="0.25">
      <c r="B5" s="1" t="s">
        <v>475</v>
      </c>
      <c r="C5" s="1" t="s">
        <v>362</v>
      </c>
      <c r="D5" s="1" t="s">
        <v>394</v>
      </c>
      <c r="E5" t="s">
        <v>476</v>
      </c>
      <c r="F5" t="s">
        <v>175</v>
      </c>
      <c r="G5" t="s">
        <v>477</v>
      </c>
      <c r="H5" t="s">
        <v>460</v>
      </c>
      <c r="I5" t="s">
        <v>478</v>
      </c>
      <c r="J5" t="s">
        <v>479</v>
      </c>
      <c r="K5" t="s">
        <v>469</v>
      </c>
      <c r="L5" t="s">
        <v>480</v>
      </c>
      <c r="M5">
        <v>15</v>
      </c>
      <c r="N5" t="s">
        <v>481</v>
      </c>
      <c r="O5">
        <v>67</v>
      </c>
      <c r="P5">
        <v>20</v>
      </c>
      <c r="Q5" s="7">
        <v>213</v>
      </c>
      <c r="R5" s="27">
        <f t="shared" si="0"/>
        <v>213</v>
      </c>
      <c r="S5" s="27" t="str">
        <f>IF(SUM(COUNTIFS('11_04_11_10'!E:E,'11_04_11_10 Acc Rate'!C5,'11_04_11_10'!O:O,"*M*"),COUNTIFS('11_04_11_10'!E:E,'11_04_11_10 Acc Rate'!C5,'11_04_11_10'!R:R,"*M*"))=0,"",SUM(COUNTIFS('11_04_11_10'!E:E,'11_04_11_10 Acc Rate'!C5,'11_04_11_10'!O:O,"*M*"),COUNTIFS('11_04_11_10'!E:E,'11_04_11_10 Acc Rate'!C5,'11_04_11_10'!R:R,"*M*")))</f>
        <v/>
      </c>
      <c r="T5" s="1" t="str">
        <f>IF(SUM(COUNTIFS('11_04_11_10'!E:E,'11_04_11_10 Acc Rate'!C5,'11_04_11_10'!P:P,"*E*"),COUNTIFS('11_04_11_10'!E:E,'11_04_11_10 Acc Rate'!C5,'11_04_11_10'!S:S,"*E*"))=0,"",SUM(COUNTIFS('11_04_11_10'!E:E,'11_04_11_10 Acc Rate'!C5,'11_04_11_10'!P:P,"*E*"),COUNTIFS('11_04_11_10'!E:E,'11_04_11_10 Acc Rate'!C5,'11_04_11_10'!S:S,"*E*")))</f>
        <v/>
      </c>
      <c r="U5" s="8">
        <f t="shared" si="1"/>
        <v>0</v>
      </c>
      <c r="V5" s="2"/>
      <c r="W5" s="40" t="s">
        <v>482</v>
      </c>
      <c r="X5" s="41" t="s">
        <v>483</v>
      </c>
    </row>
    <row r="6" spans="2:24" s="1" customFormat="1" ht="15" customHeight="1" x14ac:dyDescent="0.25">
      <c r="B6" s="1" t="s">
        <v>484</v>
      </c>
      <c r="C6" s="1" t="s">
        <v>22</v>
      </c>
      <c r="D6" s="1" t="s">
        <v>23</v>
      </c>
      <c r="E6" t="s">
        <v>485</v>
      </c>
      <c r="F6" t="s">
        <v>486</v>
      </c>
      <c r="G6" t="s">
        <v>487</v>
      </c>
      <c r="H6" t="s">
        <v>460</v>
      </c>
      <c r="I6" t="s">
        <v>488</v>
      </c>
      <c r="J6" t="s">
        <v>479</v>
      </c>
      <c r="K6" t="s">
        <v>469</v>
      </c>
      <c r="L6"/>
      <c r="M6">
        <v>15</v>
      </c>
      <c r="N6" t="s">
        <v>489</v>
      </c>
      <c r="O6">
        <v>2117</v>
      </c>
      <c r="P6">
        <v>40</v>
      </c>
      <c r="Q6" s="7">
        <v>912</v>
      </c>
      <c r="R6" s="27">
        <f t="shared" si="0"/>
        <v>904</v>
      </c>
      <c r="S6" s="27">
        <f>IF(SUM(COUNTIFS('11_04_11_10'!E:E,'11_04_11_10 Acc Rate'!C6,'11_04_11_10'!O:O,"*M*"),COUNTIFS('11_04_11_10'!E:E,'11_04_11_10 Acc Rate'!C6,'11_04_11_10'!R:R,"*M*"))=0,"",SUM(COUNTIFS('11_04_11_10'!E:E,'11_04_11_10 Acc Rate'!C6,'11_04_11_10'!O:O,"*M*"),COUNTIFS('11_04_11_10'!E:E,'11_04_11_10 Acc Rate'!C6,'11_04_11_10'!R:R,"*M*")))</f>
        <v>2</v>
      </c>
      <c r="T6" s="1">
        <f>IF(SUM(COUNTIFS('11_04_11_10'!E:E,'11_04_11_10 Acc Rate'!C6,'11_04_11_10'!P:P,"*E*"),COUNTIFS('11_04_11_10'!E:E,'11_04_11_10 Acc Rate'!C6,'11_04_11_10'!S:S,"*E*"))=0,"",SUM(COUNTIFS('11_04_11_10'!E:E,'11_04_11_10 Acc Rate'!C6,'11_04_11_10'!P:P,"*E*"),COUNTIFS('11_04_11_10'!E:E,'11_04_11_10 Acc Rate'!C6,'11_04_11_10'!S:S,"*E*")))</f>
        <v>6</v>
      </c>
      <c r="U6" s="8">
        <f t="shared" si="1"/>
        <v>3.0701754385964911E-2</v>
      </c>
      <c r="V6" s="2"/>
      <c r="W6" s="40" t="s">
        <v>490</v>
      </c>
      <c r="X6" s="41" t="s">
        <v>491</v>
      </c>
    </row>
    <row r="7" spans="2:24" s="1" customFormat="1" ht="15" customHeight="1" x14ac:dyDescent="0.25">
      <c r="B7" s="1" t="s">
        <v>492</v>
      </c>
      <c r="C7" s="1" t="s">
        <v>107</v>
      </c>
      <c r="D7" s="1" t="s">
        <v>108</v>
      </c>
      <c r="E7" t="s">
        <v>493</v>
      </c>
      <c r="F7" t="s">
        <v>494</v>
      </c>
      <c r="G7" t="s">
        <v>495</v>
      </c>
      <c r="H7" t="s">
        <v>460</v>
      </c>
      <c r="I7" t="s">
        <v>496</v>
      </c>
      <c r="J7" t="s">
        <v>479</v>
      </c>
      <c r="K7" t="s">
        <v>469</v>
      </c>
      <c r="L7"/>
      <c r="M7">
        <v>15</v>
      </c>
      <c r="N7" t="s">
        <v>497</v>
      </c>
      <c r="O7" t="s">
        <v>498</v>
      </c>
      <c r="P7">
        <v>40</v>
      </c>
      <c r="Q7" s="7">
        <v>1158</v>
      </c>
      <c r="R7" s="27">
        <f t="shared" si="0"/>
        <v>1155</v>
      </c>
      <c r="S7" s="27">
        <f>IF(SUM(COUNTIFS('11_04_11_10'!E:E,'11_04_11_10 Acc Rate'!C7,'11_04_11_10'!O:O,"*M*"),COUNTIFS('11_04_11_10'!E:E,'11_04_11_10 Acc Rate'!C7,'11_04_11_10'!R:R,"*M*"))=0,"",SUM(COUNTIFS('11_04_11_10'!E:E,'11_04_11_10 Acc Rate'!C7,'11_04_11_10'!O:O,"*M*"),COUNTIFS('11_04_11_10'!E:E,'11_04_11_10 Acc Rate'!C7,'11_04_11_10'!R:R,"*M*")))</f>
        <v>2</v>
      </c>
      <c r="T7" s="1">
        <f>IF(SUM(COUNTIFS('11_04_11_10'!E:E,'11_04_11_10 Acc Rate'!C7,'11_04_11_10'!P:P,"*E*"),COUNTIFS('11_04_11_10'!E:E,'11_04_11_10 Acc Rate'!C7,'11_04_11_10'!S:S,"*E*"))=0,"",SUM(COUNTIFS('11_04_11_10'!E:E,'11_04_11_10 Acc Rate'!C7,'11_04_11_10'!P:P,"*E*"),COUNTIFS('11_04_11_10'!E:E,'11_04_11_10 Acc Rate'!C7,'11_04_11_10'!S:S,"*E*")))</f>
        <v>1</v>
      </c>
      <c r="U7" s="8">
        <f t="shared" si="1"/>
        <v>1.5544041450777202E-2</v>
      </c>
      <c r="V7" s="2"/>
      <c r="W7" s="84" t="s">
        <v>499</v>
      </c>
      <c r="X7" s="84"/>
    </row>
    <row r="8" spans="2:24" s="1" customFormat="1" ht="15" customHeight="1" x14ac:dyDescent="0.25">
      <c r="B8" s="1" t="s">
        <v>500</v>
      </c>
      <c r="C8" s="1" t="s">
        <v>176</v>
      </c>
      <c r="D8" s="1" t="s">
        <v>177</v>
      </c>
      <c r="E8" t="s">
        <v>501</v>
      </c>
      <c r="F8" t="s">
        <v>168</v>
      </c>
      <c r="G8" t="s">
        <v>502</v>
      </c>
      <c r="H8" t="s">
        <v>460</v>
      </c>
      <c r="I8" t="s">
        <v>503</v>
      </c>
      <c r="J8" t="s">
        <v>479</v>
      </c>
      <c r="K8" t="s">
        <v>469</v>
      </c>
      <c r="L8"/>
      <c r="M8">
        <v>15</v>
      </c>
      <c r="N8" t="s">
        <v>504</v>
      </c>
      <c r="O8">
        <v>182</v>
      </c>
      <c r="P8">
        <v>40</v>
      </c>
      <c r="Q8" s="7">
        <v>858</v>
      </c>
      <c r="R8" s="27">
        <f t="shared" si="0"/>
        <v>858</v>
      </c>
      <c r="S8" s="27" t="str">
        <f>IF(SUM(COUNTIFS('11_04_11_10'!E:E,'11_04_11_10 Acc Rate'!C8,'11_04_11_10'!O:O,"*M*"),COUNTIFS('11_04_11_10'!E:E,'11_04_11_10 Acc Rate'!C8,'11_04_11_10'!R:R,"*M*"))=0,"",SUM(COUNTIFS('11_04_11_10'!E:E,'11_04_11_10 Acc Rate'!C8,'11_04_11_10'!O:O,"*M*"),COUNTIFS('11_04_11_10'!E:E,'11_04_11_10 Acc Rate'!C8,'11_04_11_10'!R:R,"*M*")))</f>
        <v/>
      </c>
      <c r="T8" s="1" t="str">
        <f>IF(SUM(COUNTIFS('11_04_11_10'!E:E,'11_04_11_10 Acc Rate'!C8,'11_04_11_10'!P:P,"*E*"),COUNTIFS('11_04_11_10'!E:E,'11_04_11_10 Acc Rate'!C8,'11_04_11_10'!S:S,"*E*"))=0,"",SUM(COUNTIFS('11_04_11_10'!E:E,'11_04_11_10 Acc Rate'!C8,'11_04_11_10'!P:P,"*E*"),COUNTIFS('11_04_11_10'!E:E,'11_04_11_10 Acc Rate'!C8,'11_04_11_10'!S:S,"*E*")))</f>
        <v/>
      </c>
      <c r="U8" s="8">
        <f t="shared" si="1"/>
        <v>0</v>
      </c>
      <c r="V8" s="2"/>
      <c r="W8" s="85" t="s">
        <v>505</v>
      </c>
      <c r="X8" s="85"/>
    </row>
    <row r="9" spans="2:24" s="1" customFormat="1" ht="15" customHeight="1" x14ac:dyDescent="0.25">
      <c r="B9" s="1" t="s">
        <v>506</v>
      </c>
      <c r="C9" s="1" t="s">
        <v>208</v>
      </c>
      <c r="D9" s="1" t="s">
        <v>209</v>
      </c>
      <c r="E9" t="s">
        <v>507</v>
      </c>
      <c r="F9" t="s">
        <v>352</v>
      </c>
      <c r="G9" t="s">
        <v>508</v>
      </c>
      <c r="H9" t="s">
        <v>460</v>
      </c>
      <c r="I9" t="s">
        <v>509</v>
      </c>
      <c r="J9" t="s">
        <v>479</v>
      </c>
      <c r="K9" t="s">
        <v>469</v>
      </c>
      <c r="L9" t="s">
        <v>510</v>
      </c>
      <c r="M9">
        <v>15</v>
      </c>
      <c r="N9" t="s">
        <v>511</v>
      </c>
      <c r="O9">
        <v>32</v>
      </c>
      <c r="P9">
        <v>40</v>
      </c>
      <c r="Q9" s="7">
        <v>436</v>
      </c>
      <c r="R9" s="27">
        <f t="shared" si="0"/>
        <v>436</v>
      </c>
      <c r="S9" s="27" t="str">
        <f>IF(SUM(COUNTIFS('11_04_11_10'!E:E,'11_04_11_10 Acc Rate'!C9,'11_04_11_10'!O:O,"*M*"),COUNTIFS('11_04_11_10'!E:E,'11_04_11_10 Acc Rate'!C9,'11_04_11_10'!R:R,"*M*"))=0,"",SUM(COUNTIFS('11_04_11_10'!E:E,'11_04_11_10 Acc Rate'!C9,'11_04_11_10'!O:O,"*M*"),COUNTIFS('11_04_11_10'!E:E,'11_04_11_10 Acc Rate'!C9,'11_04_11_10'!R:R,"*M*")))</f>
        <v/>
      </c>
      <c r="T9" s="1" t="str">
        <f>IF(SUM(COUNTIFS('11_04_11_10'!E:E,'11_04_11_10 Acc Rate'!C9,'11_04_11_10'!P:P,"*E*"),COUNTIFS('11_04_11_10'!E:E,'11_04_11_10 Acc Rate'!C9,'11_04_11_10'!S:S,"*E*"))=0,"",SUM(COUNTIFS('11_04_11_10'!E:E,'11_04_11_10 Acc Rate'!C9,'11_04_11_10'!P:P,"*E*"),COUNTIFS('11_04_11_10'!E:E,'11_04_11_10 Acc Rate'!C9,'11_04_11_10'!S:S,"*E*")))</f>
        <v/>
      </c>
      <c r="U9" s="8">
        <f t="shared" si="1"/>
        <v>0</v>
      </c>
      <c r="V9" s="2"/>
    </row>
    <row r="10" spans="2:24" s="1" customFormat="1" ht="15" customHeight="1" x14ac:dyDescent="0.25">
      <c r="B10" s="1" t="s">
        <v>512</v>
      </c>
      <c r="C10" s="1" t="s">
        <v>371</v>
      </c>
      <c r="D10" s="1" t="s">
        <v>372</v>
      </c>
      <c r="E10" t="s">
        <v>513</v>
      </c>
      <c r="F10" t="s">
        <v>34</v>
      </c>
      <c r="G10" t="s">
        <v>514</v>
      </c>
      <c r="H10" t="s">
        <v>460</v>
      </c>
      <c r="I10" t="s">
        <v>515</v>
      </c>
      <c r="J10" t="s">
        <v>470</v>
      </c>
      <c r="K10"/>
      <c r="L10" t="s">
        <v>516</v>
      </c>
      <c r="M10">
        <v>15</v>
      </c>
      <c r="N10" t="s">
        <v>517</v>
      </c>
      <c r="O10">
        <v>132</v>
      </c>
      <c r="P10">
        <v>40</v>
      </c>
      <c r="Q10" s="7">
        <v>460</v>
      </c>
      <c r="R10" s="27">
        <f t="shared" si="0"/>
        <v>459</v>
      </c>
      <c r="S10" s="27" t="str">
        <f>IF(SUM(COUNTIFS('11_04_11_10'!E:E,'11_04_11_10 Acc Rate'!C10,'11_04_11_10'!O:O,"*M*"),COUNTIFS('11_04_11_10'!E:E,'11_04_11_10 Acc Rate'!C10,'11_04_11_10'!R:R,"*M*"))=0,"",SUM(COUNTIFS('11_04_11_10'!E:E,'11_04_11_10 Acc Rate'!C10,'11_04_11_10'!O:O,"*M*"),COUNTIFS('11_04_11_10'!E:E,'11_04_11_10 Acc Rate'!C10,'11_04_11_10'!R:R,"*M*")))</f>
        <v/>
      </c>
      <c r="T10" s="1">
        <f>IF(SUM(COUNTIFS('11_04_11_10'!E:E,'11_04_11_10 Acc Rate'!C10,'11_04_11_10'!P:P,"*E*"),COUNTIFS('11_04_11_10'!E:E,'11_04_11_10 Acc Rate'!C10,'11_04_11_10'!S:S,"*E*"))=0,"",SUM(COUNTIFS('11_04_11_10'!E:E,'11_04_11_10 Acc Rate'!C10,'11_04_11_10'!P:P,"*E*"),COUNTIFS('11_04_11_10'!E:E,'11_04_11_10 Acc Rate'!C10,'11_04_11_10'!S:S,"*E*")))</f>
        <v>1</v>
      </c>
      <c r="U10" s="8">
        <f t="shared" si="1"/>
        <v>4.3478260869565218E-3</v>
      </c>
      <c r="V10" s="2"/>
    </row>
    <row r="11" spans="2:24" s="1" customFormat="1" ht="15" customHeight="1" x14ac:dyDescent="0.25">
      <c r="B11" s="1" t="s">
        <v>518</v>
      </c>
      <c r="C11" s="1" t="s">
        <v>296</v>
      </c>
      <c r="D11" s="1" t="s">
        <v>297</v>
      </c>
      <c r="E11" t="s">
        <v>519</v>
      </c>
      <c r="F11" t="s">
        <v>520</v>
      </c>
      <c r="G11" t="s">
        <v>521</v>
      </c>
      <c r="H11" t="s">
        <v>460</v>
      </c>
      <c r="I11" t="s">
        <v>522</v>
      </c>
      <c r="J11" t="s">
        <v>523</v>
      </c>
      <c r="K11" t="s">
        <v>515</v>
      </c>
      <c r="L11"/>
      <c r="M11">
        <v>15</v>
      </c>
      <c r="N11" t="s">
        <v>524</v>
      </c>
      <c r="O11">
        <v>719</v>
      </c>
      <c r="P11">
        <v>40</v>
      </c>
      <c r="Q11" s="7">
        <v>572</v>
      </c>
      <c r="R11" s="27">
        <f t="shared" si="0"/>
        <v>572</v>
      </c>
      <c r="S11" s="27" t="str">
        <f>IF(SUM(COUNTIFS('11_04_11_10'!E:E,'11_04_11_10 Acc Rate'!C11,'11_04_11_10'!O:O,"*M*"),COUNTIFS('11_04_11_10'!E:E,'11_04_11_10 Acc Rate'!C11,'11_04_11_10'!R:R,"*M*"))=0,"",SUM(COUNTIFS('11_04_11_10'!E:E,'11_04_11_10 Acc Rate'!C11,'11_04_11_10'!O:O,"*M*"),COUNTIFS('11_04_11_10'!E:E,'11_04_11_10 Acc Rate'!C11,'11_04_11_10'!R:R,"*M*")))</f>
        <v/>
      </c>
      <c r="T11" s="1" t="str">
        <f>IF(SUM(COUNTIFS('11_04_11_10'!E:E,'11_04_11_10 Acc Rate'!C11,'11_04_11_10'!P:P,"*E*"),COUNTIFS('11_04_11_10'!E:E,'11_04_11_10 Acc Rate'!C11,'11_04_11_10'!S:S,"*E*"))=0,"",SUM(COUNTIFS('11_04_11_10'!E:E,'11_04_11_10 Acc Rate'!C11,'11_04_11_10'!P:P,"*E*"),COUNTIFS('11_04_11_10'!E:E,'11_04_11_10 Acc Rate'!C11,'11_04_11_10'!S:S,"*E*")))</f>
        <v/>
      </c>
      <c r="U11" s="8">
        <f t="shared" si="1"/>
        <v>0</v>
      </c>
      <c r="V11" s="2"/>
    </row>
    <row r="12" spans="2:24" s="1" customFormat="1" ht="15" customHeight="1" x14ac:dyDescent="0.25">
      <c r="B12" s="1" t="s">
        <v>525</v>
      </c>
      <c r="C12" s="1" t="s">
        <v>277</v>
      </c>
      <c r="D12" s="1" t="s">
        <v>278</v>
      </c>
      <c r="E12" t="s">
        <v>526</v>
      </c>
      <c r="F12" t="s">
        <v>527</v>
      </c>
      <c r="G12" t="s">
        <v>528</v>
      </c>
      <c r="H12" t="s">
        <v>460</v>
      </c>
      <c r="I12" t="s">
        <v>529</v>
      </c>
      <c r="J12" t="s">
        <v>523</v>
      </c>
      <c r="K12" t="s">
        <v>515</v>
      </c>
      <c r="L12"/>
      <c r="M12">
        <v>15</v>
      </c>
      <c r="N12" t="s">
        <v>530</v>
      </c>
      <c r="O12">
        <v>219</v>
      </c>
      <c r="P12">
        <v>25</v>
      </c>
      <c r="Q12" s="7">
        <v>391</v>
      </c>
      <c r="R12" s="27">
        <f t="shared" si="0"/>
        <v>390</v>
      </c>
      <c r="S12" s="27" t="str">
        <f>IF(SUM(COUNTIFS('11_04_11_10'!E:E,'11_04_11_10 Acc Rate'!C12,'11_04_11_10'!O:O,"*M*"),COUNTIFS('11_04_11_10'!E:E,'11_04_11_10 Acc Rate'!C12,'11_04_11_10'!R:R,"*M*"))=0,"",SUM(COUNTIFS('11_04_11_10'!E:E,'11_04_11_10 Acc Rate'!C12,'11_04_11_10'!O:O,"*M*"),COUNTIFS('11_04_11_10'!E:E,'11_04_11_10 Acc Rate'!C12,'11_04_11_10'!R:R,"*M*")))</f>
        <v/>
      </c>
      <c r="T12" s="1">
        <f>IF(SUM(COUNTIFS('11_04_11_10'!E:E,'11_04_11_10 Acc Rate'!C12,'11_04_11_10'!P:P,"*E*"),COUNTIFS('11_04_11_10'!E:E,'11_04_11_10 Acc Rate'!C12,'11_04_11_10'!S:S,"*E*"))=0,"",SUM(COUNTIFS('11_04_11_10'!E:E,'11_04_11_10 Acc Rate'!C12,'11_04_11_10'!P:P,"*E*"),COUNTIFS('11_04_11_10'!E:E,'11_04_11_10 Acc Rate'!C12,'11_04_11_10'!S:S,"*E*")))</f>
        <v>1</v>
      </c>
      <c r="U12" s="8">
        <f t="shared" si="1"/>
        <v>5.1150895140664966E-3</v>
      </c>
      <c r="V12" s="2"/>
    </row>
    <row r="13" spans="2:24" s="1" customFormat="1" ht="15" customHeight="1" x14ac:dyDescent="0.25">
      <c r="B13" s="1" t="s">
        <v>531</v>
      </c>
      <c r="C13" s="1" t="s">
        <v>325</v>
      </c>
      <c r="D13" s="1" t="s">
        <v>278</v>
      </c>
      <c r="E13" t="s">
        <v>532</v>
      </c>
      <c r="F13" t="s">
        <v>244</v>
      </c>
      <c r="G13" t="s">
        <v>533</v>
      </c>
      <c r="H13" t="s">
        <v>460</v>
      </c>
      <c r="I13" t="s">
        <v>534</v>
      </c>
      <c r="J13" t="s">
        <v>523</v>
      </c>
      <c r="K13" t="s">
        <v>515</v>
      </c>
      <c r="L13" t="s">
        <v>535</v>
      </c>
      <c r="M13">
        <v>15</v>
      </c>
      <c r="N13" t="s">
        <v>536</v>
      </c>
      <c r="O13">
        <v>142</v>
      </c>
      <c r="P13">
        <v>25</v>
      </c>
      <c r="Q13" s="7">
        <v>105</v>
      </c>
      <c r="R13" s="27">
        <f t="shared" si="0"/>
        <v>105</v>
      </c>
      <c r="S13" s="27" t="str">
        <f>IF(SUM(COUNTIFS('11_04_11_10'!E:E,'11_04_11_10 Acc Rate'!C13,'11_04_11_10'!O:O,"*M*"),COUNTIFS('11_04_11_10'!E:E,'11_04_11_10 Acc Rate'!C13,'11_04_11_10'!R:R,"*M*"))=0,"",SUM(COUNTIFS('11_04_11_10'!E:E,'11_04_11_10 Acc Rate'!C13,'11_04_11_10'!O:O,"*M*"),COUNTIFS('11_04_11_10'!E:E,'11_04_11_10 Acc Rate'!C13,'11_04_11_10'!R:R,"*M*")))</f>
        <v/>
      </c>
      <c r="T13" s="1" t="str">
        <f>IF(SUM(COUNTIFS('11_04_11_10'!E:E,'11_04_11_10 Acc Rate'!C13,'11_04_11_10'!P:P,"*E*"),COUNTIFS('11_04_11_10'!E:E,'11_04_11_10 Acc Rate'!C13,'11_04_11_10'!S:S,"*E*"))=0,"",SUM(COUNTIFS('11_04_11_10'!E:E,'11_04_11_10 Acc Rate'!C13,'11_04_11_10'!P:P,"*E*"),COUNTIFS('11_04_11_10'!E:E,'11_04_11_10 Acc Rate'!C13,'11_04_11_10'!S:S,"*E*")))</f>
        <v/>
      </c>
      <c r="U13" s="8">
        <f t="shared" si="1"/>
        <v>0</v>
      </c>
      <c r="V13" s="2"/>
    </row>
    <row r="14" spans="2:24" s="1" customFormat="1" ht="15" customHeight="1" x14ac:dyDescent="0.25">
      <c r="B14" s="1" t="s">
        <v>537</v>
      </c>
      <c r="C14" s="1" t="s">
        <v>64</v>
      </c>
      <c r="D14" s="1" t="s">
        <v>65</v>
      </c>
      <c r="E14" t="s">
        <v>538</v>
      </c>
      <c r="F14" t="s">
        <v>114</v>
      </c>
      <c r="G14" t="s">
        <v>539</v>
      </c>
      <c r="H14" t="s">
        <v>460</v>
      </c>
      <c r="I14" t="s">
        <v>540</v>
      </c>
      <c r="J14" t="s">
        <v>523</v>
      </c>
      <c r="K14" t="s">
        <v>515</v>
      </c>
      <c r="L14"/>
      <c r="M14">
        <v>15</v>
      </c>
      <c r="N14" t="s">
        <v>541</v>
      </c>
      <c r="O14">
        <v>716</v>
      </c>
      <c r="P14">
        <v>25</v>
      </c>
      <c r="Q14" s="7">
        <v>695</v>
      </c>
      <c r="R14" s="27">
        <f t="shared" si="0"/>
        <v>694</v>
      </c>
      <c r="S14" s="27">
        <f>IF(SUM(COUNTIFS('11_04_11_10'!E:E,'11_04_11_10 Acc Rate'!C14,'11_04_11_10'!O:O,"*M*"),COUNTIFS('11_04_11_10'!E:E,'11_04_11_10 Acc Rate'!C14,'11_04_11_10'!R:R,"*M*"))=0,"",SUM(COUNTIFS('11_04_11_10'!E:E,'11_04_11_10 Acc Rate'!C14,'11_04_11_10'!O:O,"*M*"),COUNTIFS('11_04_11_10'!E:E,'11_04_11_10 Acc Rate'!C14,'11_04_11_10'!R:R,"*M*")))</f>
        <v>1</v>
      </c>
      <c r="T14" s="1" t="str">
        <f>IF(SUM(COUNTIFS('11_04_11_10'!E:E,'11_04_11_10 Acc Rate'!C14,'11_04_11_10'!P:P,"*E*"),COUNTIFS('11_04_11_10'!E:E,'11_04_11_10 Acc Rate'!C14,'11_04_11_10'!S:S,"*E*"))=0,"",SUM(COUNTIFS('11_04_11_10'!E:E,'11_04_11_10 Acc Rate'!C14,'11_04_11_10'!P:P,"*E*"),COUNTIFS('11_04_11_10'!E:E,'11_04_11_10 Acc Rate'!C14,'11_04_11_10'!S:S,"*E*")))</f>
        <v/>
      </c>
      <c r="U14" s="8">
        <f t="shared" si="1"/>
        <v>1.1510791366906475E-2</v>
      </c>
      <c r="V14" s="2"/>
    </row>
    <row r="15" spans="2:24" ht="15" customHeight="1" x14ac:dyDescent="0.25">
      <c r="B15" s="1" t="s">
        <v>542</v>
      </c>
      <c r="C15" s="1" t="s">
        <v>245</v>
      </c>
      <c r="D15" s="1" t="s">
        <v>246</v>
      </c>
      <c r="E15" t="s">
        <v>543</v>
      </c>
      <c r="F15" t="s">
        <v>21</v>
      </c>
      <c r="G15" t="s">
        <v>544</v>
      </c>
      <c r="H15" t="s">
        <v>460</v>
      </c>
      <c r="I15" t="s">
        <v>545</v>
      </c>
      <c r="J15" t="s">
        <v>523</v>
      </c>
      <c r="K15" t="s">
        <v>515</v>
      </c>
      <c r="L15" t="s">
        <v>546</v>
      </c>
      <c r="M15">
        <v>15</v>
      </c>
      <c r="N15" t="s">
        <v>547</v>
      </c>
      <c r="O15">
        <v>209</v>
      </c>
      <c r="P15">
        <v>40</v>
      </c>
      <c r="Q15" s="7">
        <v>451</v>
      </c>
      <c r="R15" s="27">
        <f t="shared" si="0"/>
        <v>451</v>
      </c>
      <c r="S15" s="27" t="str">
        <f>IF(SUM(COUNTIFS('11_04_11_10'!E:E,'11_04_11_10 Acc Rate'!C15,'11_04_11_10'!O:O,"*M*"),COUNTIFS('11_04_11_10'!E:E,'11_04_11_10 Acc Rate'!C15,'11_04_11_10'!R:R,"*M*"))=0,"",SUM(COUNTIFS('11_04_11_10'!E:E,'11_04_11_10 Acc Rate'!C15,'11_04_11_10'!O:O,"*M*"),COUNTIFS('11_04_11_10'!E:E,'11_04_11_10 Acc Rate'!C15,'11_04_11_10'!R:R,"*M*")))</f>
        <v/>
      </c>
      <c r="T15" s="1" t="str">
        <f>IF(SUM(COUNTIFS('11_04_11_10'!E:E,'11_04_11_10 Acc Rate'!C15,'11_04_11_10'!P:P,"*E*"),COUNTIFS('11_04_11_10'!E:E,'11_04_11_10 Acc Rate'!C15,'11_04_11_10'!S:S,"*E*"))=0,"",SUM(COUNTIFS('11_04_11_10'!E:E,'11_04_11_10 Acc Rate'!C15,'11_04_11_10'!P:P,"*E*"),COUNTIFS('11_04_11_10'!E:E,'11_04_11_10 Acc Rate'!C15,'11_04_11_10'!S:S,"*E*")))</f>
        <v/>
      </c>
      <c r="U15" s="8">
        <f t="shared" si="1"/>
        <v>0</v>
      </c>
    </row>
    <row r="16" spans="2:24" ht="15" customHeight="1" x14ac:dyDescent="0.25">
      <c r="B16" s="1" t="s">
        <v>548</v>
      </c>
      <c r="C16" s="1" t="s">
        <v>396</v>
      </c>
      <c r="D16" s="1" t="s">
        <v>549</v>
      </c>
      <c r="E16"/>
      <c r="F16" t="s">
        <v>550</v>
      </c>
      <c r="G16" t="s">
        <v>551</v>
      </c>
      <c r="H16" t="s">
        <v>552</v>
      </c>
      <c r="I16" t="s">
        <v>553</v>
      </c>
      <c r="J16" t="s">
        <v>554</v>
      </c>
      <c r="K16"/>
      <c r="L16"/>
      <c r="M16">
        <v>6</v>
      </c>
      <c r="N16"/>
      <c r="O16"/>
      <c r="P16"/>
      <c r="Q16" s="7"/>
      <c r="R16" s="27" t="str">
        <f t="shared" si="0"/>
        <v/>
      </c>
      <c r="S16" s="27" t="str">
        <f>IF(SUM(COUNTIFS('11_04_11_10'!E:E,'11_04_11_10 Acc Rate'!C16,'11_04_11_10'!O:O,"*M*"),COUNTIFS('11_04_11_10'!E:E,'11_04_11_10 Acc Rate'!C16,'11_04_11_10'!R:R,"*M*"))=0,"",SUM(COUNTIFS('11_04_11_10'!E:E,'11_04_11_10 Acc Rate'!C16,'11_04_11_10'!O:O,"*M*"),COUNTIFS('11_04_11_10'!E:E,'11_04_11_10 Acc Rate'!C16,'11_04_11_10'!R:R,"*M*")))</f>
        <v/>
      </c>
      <c r="T16" s="1" t="str">
        <f>IF(SUM(COUNTIFS('11_04_11_10'!E:E,'11_04_11_10 Acc Rate'!C16,'11_04_11_10'!P:P,"*E*"),COUNTIFS('11_04_11_10'!E:E,'11_04_11_10 Acc Rate'!C16,'11_04_11_10'!S:S,"*E*"))=0,"",SUM(COUNTIFS('11_04_11_10'!E:E,'11_04_11_10 Acc Rate'!C16,'11_04_11_10'!P:P,"*E*"),COUNTIFS('11_04_11_10'!E:E,'11_04_11_10 Acc Rate'!C16,'11_04_11_10'!S:S,"*E*")))</f>
        <v/>
      </c>
      <c r="U16" s="8" t="str">
        <f t="shared" si="1"/>
        <v/>
      </c>
    </row>
    <row r="17" spans="2:21" ht="15" customHeight="1" x14ac:dyDescent="0.25">
      <c r="B17" s="1" t="s">
        <v>555</v>
      </c>
      <c r="C17" s="1" t="s">
        <v>556</v>
      </c>
      <c r="D17" s="1" t="s">
        <v>557</v>
      </c>
      <c r="E17"/>
      <c r="F17" t="s">
        <v>558</v>
      </c>
      <c r="G17" t="s">
        <v>559</v>
      </c>
      <c r="H17" t="s">
        <v>552</v>
      </c>
      <c r="I17" t="s">
        <v>560</v>
      </c>
      <c r="J17" t="s">
        <v>561</v>
      </c>
      <c r="K17" t="s">
        <v>553</v>
      </c>
      <c r="L17"/>
      <c r="M17">
        <v>6</v>
      </c>
      <c r="N17"/>
      <c r="O17"/>
      <c r="P17"/>
      <c r="Q17" s="7"/>
      <c r="R17" s="27" t="str">
        <f t="shared" si="0"/>
        <v/>
      </c>
      <c r="S17" s="27" t="str">
        <f>IF(SUM(COUNTIFS('11_04_11_10'!E:E,'11_04_11_10 Acc Rate'!C17,'11_04_11_10'!O:O,"*M*"),COUNTIFS('11_04_11_10'!E:E,'11_04_11_10 Acc Rate'!C17,'11_04_11_10'!R:R,"*M*"))=0,"",SUM(COUNTIFS('11_04_11_10'!E:E,'11_04_11_10 Acc Rate'!C17,'11_04_11_10'!O:O,"*M*"),COUNTIFS('11_04_11_10'!E:E,'11_04_11_10 Acc Rate'!C17,'11_04_11_10'!R:R,"*M*")))</f>
        <v/>
      </c>
      <c r="T17" s="1" t="str">
        <f>IF(SUM(COUNTIFS('11_04_11_10'!E:E,'11_04_11_10 Acc Rate'!C17,'11_04_11_10'!P:P,"*E*"),COUNTIFS('11_04_11_10'!E:E,'11_04_11_10 Acc Rate'!C17,'11_04_11_10'!S:S,"*E*"))=0,"",SUM(COUNTIFS('11_04_11_10'!E:E,'11_04_11_10 Acc Rate'!C17,'11_04_11_10'!P:P,"*E*"),COUNTIFS('11_04_11_10'!E:E,'11_04_11_10 Acc Rate'!C17,'11_04_11_10'!S:S,"*E*")))</f>
        <v/>
      </c>
      <c r="U17" s="8" t="str">
        <f t="shared" si="1"/>
        <v/>
      </c>
    </row>
    <row r="18" spans="2:21" ht="15" customHeight="1" x14ac:dyDescent="0.25">
      <c r="B18" s="1" t="s">
        <v>562</v>
      </c>
      <c r="C18" s="1" t="s">
        <v>563</v>
      </c>
      <c r="D18" s="1" t="s">
        <v>564</v>
      </c>
      <c r="E18"/>
      <c r="F18" t="s">
        <v>565</v>
      </c>
      <c r="G18" t="s">
        <v>566</v>
      </c>
      <c r="H18" t="s">
        <v>552</v>
      </c>
      <c r="I18" t="s">
        <v>567</v>
      </c>
      <c r="J18" t="s">
        <v>561</v>
      </c>
      <c r="K18" t="s">
        <v>553</v>
      </c>
      <c r="L18"/>
      <c r="M18">
        <v>6</v>
      </c>
      <c r="N18"/>
      <c r="O18"/>
      <c r="P18"/>
      <c r="Q18" s="7"/>
      <c r="R18" s="27" t="str">
        <f t="shared" si="0"/>
        <v/>
      </c>
      <c r="S18" s="27" t="str">
        <f>IF(SUM(COUNTIFS('11_04_11_10'!E:E,'11_04_11_10 Acc Rate'!C18,'11_04_11_10'!O:O,"*M*"),COUNTIFS('11_04_11_10'!E:E,'11_04_11_10 Acc Rate'!C18,'11_04_11_10'!R:R,"*M*"))=0,"",SUM(COUNTIFS('11_04_11_10'!E:E,'11_04_11_10 Acc Rate'!C18,'11_04_11_10'!O:O,"*M*"),COUNTIFS('11_04_11_10'!E:E,'11_04_11_10 Acc Rate'!C18,'11_04_11_10'!R:R,"*M*")))</f>
        <v/>
      </c>
      <c r="T18" s="1" t="str">
        <f>IF(SUM(COUNTIFS('11_04_11_10'!E:E,'11_04_11_10 Acc Rate'!C18,'11_04_11_10'!P:P,"*E*"),COUNTIFS('11_04_11_10'!E:E,'11_04_11_10 Acc Rate'!C18,'11_04_11_10'!S:S,"*E*"))=0,"",SUM(COUNTIFS('11_04_11_10'!E:E,'11_04_11_10 Acc Rate'!C18,'11_04_11_10'!P:P,"*E*"),COUNTIFS('11_04_11_10'!E:E,'11_04_11_10 Acc Rate'!C18,'11_04_11_10'!S:S,"*E*")))</f>
        <v/>
      </c>
      <c r="U18" s="8" t="str">
        <f t="shared" si="1"/>
        <v/>
      </c>
    </row>
    <row r="19" spans="2:21" ht="15" customHeight="1" x14ac:dyDescent="0.25">
      <c r="B19" s="1" t="s">
        <v>568</v>
      </c>
      <c r="C19" s="1" t="s">
        <v>569</v>
      </c>
      <c r="D19" s="1" t="s">
        <v>570</v>
      </c>
      <c r="E19"/>
      <c r="F19" t="s">
        <v>571</v>
      </c>
      <c r="G19" t="s">
        <v>572</v>
      </c>
      <c r="H19" t="s">
        <v>552</v>
      </c>
      <c r="I19" t="s">
        <v>573</v>
      </c>
      <c r="J19" t="s">
        <v>561</v>
      </c>
      <c r="K19" t="s">
        <v>553</v>
      </c>
      <c r="L19"/>
      <c r="M19">
        <v>6</v>
      </c>
      <c r="N19"/>
      <c r="O19"/>
      <c r="P19"/>
      <c r="Q19" s="7"/>
      <c r="R19" s="27" t="str">
        <f t="shared" si="0"/>
        <v/>
      </c>
      <c r="S19" s="27" t="str">
        <f>IF(SUM(COUNTIFS('11_04_11_10'!E:E,'11_04_11_10 Acc Rate'!C19,'11_04_11_10'!O:O,"*M*"),COUNTIFS('11_04_11_10'!E:E,'11_04_11_10 Acc Rate'!C19,'11_04_11_10'!R:R,"*M*"))=0,"",SUM(COUNTIFS('11_04_11_10'!E:E,'11_04_11_10 Acc Rate'!C19,'11_04_11_10'!O:O,"*M*"),COUNTIFS('11_04_11_10'!E:E,'11_04_11_10 Acc Rate'!C19,'11_04_11_10'!R:R,"*M*")))</f>
        <v/>
      </c>
      <c r="T19" s="1" t="str">
        <f>IF(SUM(COUNTIFS('11_04_11_10'!E:E,'11_04_11_10 Acc Rate'!C19,'11_04_11_10'!P:P,"*E*"),COUNTIFS('11_04_11_10'!E:E,'11_04_11_10 Acc Rate'!C19,'11_04_11_10'!S:S,"*E*"))=0,"",SUM(COUNTIFS('11_04_11_10'!E:E,'11_04_11_10 Acc Rate'!C19,'11_04_11_10'!P:P,"*E*"),COUNTIFS('11_04_11_10'!E:E,'11_04_11_10 Acc Rate'!C19,'11_04_11_10'!S:S,"*E*")))</f>
        <v/>
      </c>
      <c r="U19" s="8" t="str">
        <f t="shared" si="1"/>
        <v/>
      </c>
    </row>
    <row r="20" spans="2:21" ht="15" customHeight="1" x14ac:dyDescent="0.25">
      <c r="B20" s="1" t="s">
        <v>574</v>
      </c>
      <c r="C20" s="1" t="s">
        <v>575</v>
      </c>
      <c r="D20" s="1" t="s">
        <v>576</v>
      </c>
      <c r="E20"/>
      <c r="F20" t="s">
        <v>577</v>
      </c>
      <c r="G20" t="s">
        <v>578</v>
      </c>
      <c r="H20" t="s">
        <v>552</v>
      </c>
      <c r="I20" t="s">
        <v>579</v>
      </c>
      <c r="J20" t="s">
        <v>561</v>
      </c>
      <c r="K20" t="s">
        <v>553</v>
      </c>
      <c r="L20"/>
      <c r="M20">
        <v>6</v>
      </c>
      <c r="N20"/>
      <c r="O20"/>
      <c r="P20"/>
      <c r="Q20" s="7"/>
      <c r="R20" s="27" t="str">
        <f t="shared" si="0"/>
        <v/>
      </c>
      <c r="S20" s="27" t="str">
        <f>IF(SUM(COUNTIFS('11_04_11_10'!E:E,'11_04_11_10 Acc Rate'!C20,'11_04_11_10'!O:O,"*M*"),COUNTIFS('11_04_11_10'!E:E,'11_04_11_10 Acc Rate'!C20,'11_04_11_10'!R:R,"*M*"))=0,"",SUM(COUNTIFS('11_04_11_10'!E:E,'11_04_11_10 Acc Rate'!C20,'11_04_11_10'!O:O,"*M*"),COUNTIFS('11_04_11_10'!E:E,'11_04_11_10 Acc Rate'!C20,'11_04_11_10'!R:R,"*M*")))</f>
        <v/>
      </c>
      <c r="T20" s="1" t="str">
        <f>IF(SUM(COUNTIFS('11_04_11_10'!E:E,'11_04_11_10 Acc Rate'!C20,'11_04_11_10'!P:P,"*E*"),COUNTIFS('11_04_11_10'!E:E,'11_04_11_10 Acc Rate'!C20,'11_04_11_10'!S:S,"*E*"))=0,"",SUM(COUNTIFS('11_04_11_10'!E:E,'11_04_11_10 Acc Rate'!C20,'11_04_11_10'!P:P,"*E*"),COUNTIFS('11_04_11_10'!E:E,'11_04_11_10 Acc Rate'!C20,'11_04_11_10'!S:S,"*E*")))</f>
        <v/>
      </c>
      <c r="U20" s="8" t="str">
        <f t="shared" si="1"/>
        <v/>
      </c>
    </row>
    <row r="21" spans="2:21" ht="15" customHeight="1" x14ac:dyDescent="0.25">
      <c r="B21" s="1" t="s">
        <v>580</v>
      </c>
      <c r="C21" s="1" t="s">
        <v>316</v>
      </c>
      <c r="D21" s="1" t="s">
        <v>581</v>
      </c>
      <c r="E21"/>
      <c r="F21" t="s">
        <v>565</v>
      </c>
      <c r="G21" t="s">
        <v>582</v>
      </c>
      <c r="H21" t="s">
        <v>583</v>
      </c>
      <c r="I21" t="s">
        <v>584</v>
      </c>
      <c r="J21" t="s">
        <v>585</v>
      </c>
      <c r="K21"/>
      <c r="L21"/>
      <c r="M21">
        <v>1</v>
      </c>
      <c r="N21"/>
      <c r="O21"/>
      <c r="P21"/>
      <c r="Q21" s="7"/>
      <c r="R21" s="27" t="str">
        <f t="shared" si="0"/>
        <v/>
      </c>
      <c r="S21" s="27" t="str">
        <f>IF(SUM(COUNTIFS('11_04_11_10'!E:E,'11_04_11_10 Acc Rate'!C21,'11_04_11_10'!O:O,"*M*"),COUNTIFS('11_04_11_10'!E:E,'11_04_11_10 Acc Rate'!C21,'11_04_11_10'!R:R,"*M*"))=0,"",SUM(COUNTIFS('11_04_11_10'!E:E,'11_04_11_10 Acc Rate'!C21,'11_04_11_10'!O:O,"*M*"),COUNTIFS('11_04_11_10'!E:E,'11_04_11_10 Acc Rate'!C21,'11_04_11_10'!R:R,"*M*")))</f>
        <v/>
      </c>
      <c r="T21" s="1" t="str">
        <f>IF(SUM(COUNTIFS('11_04_11_10'!E:E,'11_04_11_10 Acc Rate'!C21,'11_04_11_10'!P:P,"*E*"),COUNTIFS('11_04_11_10'!E:E,'11_04_11_10 Acc Rate'!C21,'11_04_11_10'!S:S,"*E*"))=0,"",SUM(COUNTIFS('11_04_11_10'!E:E,'11_04_11_10 Acc Rate'!C21,'11_04_11_10'!P:P,"*E*"),COUNTIFS('11_04_11_10'!E:E,'11_04_11_10 Acc Rate'!C21,'11_04_11_10'!S:S,"*E*")))</f>
        <v/>
      </c>
      <c r="U21" s="8" t="str">
        <f t="shared" si="1"/>
        <v/>
      </c>
    </row>
    <row r="22" spans="2:21" ht="15" customHeight="1" x14ac:dyDescent="0.25">
      <c r="B22" s="1" t="s">
        <v>586</v>
      </c>
      <c r="C22" s="1" t="s">
        <v>587</v>
      </c>
      <c r="D22" s="1" t="s">
        <v>588</v>
      </c>
      <c r="E22"/>
      <c r="F22" t="s">
        <v>589</v>
      </c>
      <c r="G22" t="s">
        <v>590</v>
      </c>
      <c r="H22" t="s">
        <v>583</v>
      </c>
      <c r="I22" t="s">
        <v>591</v>
      </c>
      <c r="J22" t="s">
        <v>592</v>
      </c>
      <c r="K22"/>
      <c r="L22"/>
      <c r="M22">
        <v>1</v>
      </c>
      <c r="N22"/>
      <c r="O22"/>
      <c r="P22"/>
      <c r="Q22" s="7"/>
      <c r="R22" s="27" t="str">
        <f t="shared" si="0"/>
        <v/>
      </c>
      <c r="S22" s="27" t="str">
        <f>IF(SUM(COUNTIFS('11_04_11_10'!E:E,'11_04_11_10 Acc Rate'!C22,'11_04_11_10'!O:O,"*M*"),COUNTIFS('11_04_11_10'!E:E,'11_04_11_10 Acc Rate'!C22,'11_04_11_10'!R:R,"*M*"))=0,"",SUM(COUNTIFS('11_04_11_10'!E:E,'11_04_11_10 Acc Rate'!C22,'11_04_11_10'!O:O,"*M*"),COUNTIFS('11_04_11_10'!E:E,'11_04_11_10 Acc Rate'!C22,'11_04_11_10'!R:R,"*M*")))</f>
        <v/>
      </c>
      <c r="T22" s="1" t="str">
        <f>IF(SUM(COUNTIFS('11_04_11_10'!E:E,'11_04_11_10 Acc Rate'!C22,'11_04_11_10'!P:P,"*E*"),COUNTIFS('11_04_11_10'!E:E,'11_04_11_10 Acc Rate'!C22,'11_04_11_10'!S:S,"*E*"))=0,"",SUM(COUNTIFS('11_04_11_10'!E:E,'11_04_11_10 Acc Rate'!C22,'11_04_11_10'!P:P,"*E*"),COUNTIFS('11_04_11_10'!E:E,'11_04_11_10 Acc Rate'!C22,'11_04_11_10'!S:S,"*E*")))</f>
        <v/>
      </c>
      <c r="U22" s="8" t="str">
        <f t="shared" si="1"/>
        <v/>
      </c>
    </row>
    <row r="23" spans="2:21" s="1" customFormat="1" ht="15" customHeight="1" x14ac:dyDescent="0.25">
      <c r="B23" s="1" t="s">
        <v>593</v>
      </c>
      <c r="C23" s="1" t="s">
        <v>169</v>
      </c>
      <c r="D23" s="1" t="s">
        <v>170</v>
      </c>
      <c r="E23"/>
      <c r="F23" t="s">
        <v>594</v>
      </c>
      <c r="G23" t="s">
        <v>595</v>
      </c>
      <c r="H23" t="s">
        <v>583</v>
      </c>
      <c r="I23" t="s">
        <v>596</v>
      </c>
      <c r="J23" t="s">
        <v>592</v>
      </c>
      <c r="K23"/>
      <c r="L23"/>
      <c r="M23">
        <v>1</v>
      </c>
      <c r="N23"/>
      <c r="O23"/>
      <c r="P23"/>
      <c r="Q23" s="7"/>
      <c r="R23" s="27" t="str">
        <f t="shared" si="0"/>
        <v/>
      </c>
      <c r="S23" s="27" t="str">
        <f>IF(SUM(COUNTIFS('11_04_11_10'!E:E,'11_04_11_10 Acc Rate'!C23,'11_04_11_10'!O:O,"*M*"),COUNTIFS('11_04_11_10'!E:E,'11_04_11_10 Acc Rate'!C23,'11_04_11_10'!R:R,"*M*"))=0,"",SUM(COUNTIFS('11_04_11_10'!E:E,'11_04_11_10 Acc Rate'!C23,'11_04_11_10'!O:O,"*M*"),COUNTIFS('11_04_11_10'!E:E,'11_04_11_10 Acc Rate'!C23,'11_04_11_10'!R:R,"*M*")))</f>
        <v/>
      </c>
      <c r="T23" s="1" t="str">
        <f>IF(SUM(COUNTIFS('11_04_11_10'!E:E,'11_04_11_10 Acc Rate'!C23,'11_04_11_10'!P:P,"*E*"),COUNTIFS('11_04_11_10'!E:E,'11_04_11_10 Acc Rate'!C23,'11_04_11_10'!S:S,"*E*"))=0,"",SUM(COUNTIFS('11_04_11_10'!E:E,'11_04_11_10 Acc Rate'!C23,'11_04_11_10'!P:P,"*E*"),COUNTIFS('11_04_11_10'!E:E,'11_04_11_10 Acc Rate'!C23,'11_04_11_10'!S:S,"*E*")))</f>
        <v/>
      </c>
      <c r="U23" s="9" t="str">
        <f t="shared" si="1"/>
        <v/>
      </c>
    </row>
    <row r="24" spans="2:21" s="1" customFormat="1" ht="15" customHeight="1" x14ac:dyDescent="0.25">
      <c r="B24" s="1" t="s">
        <v>597</v>
      </c>
      <c r="C24" s="1" t="s">
        <v>423</v>
      </c>
      <c r="D24" s="1" t="s">
        <v>424</v>
      </c>
      <c r="E24"/>
      <c r="F24" t="s">
        <v>598</v>
      </c>
      <c r="G24" t="s">
        <v>599</v>
      </c>
      <c r="H24" t="s">
        <v>583</v>
      </c>
      <c r="I24" t="s">
        <v>600</v>
      </c>
      <c r="J24" t="s">
        <v>601</v>
      </c>
      <c r="K24"/>
      <c r="L24"/>
      <c r="M24">
        <v>1</v>
      </c>
      <c r="N24"/>
      <c r="O24"/>
      <c r="P24"/>
      <c r="Q24" s="7"/>
      <c r="R24" s="27" t="str">
        <f t="shared" si="0"/>
        <v/>
      </c>
      <c r="S24" s="27" t="str">
        <f>IF(SUM(COUNTIFS('11_04_11_10'!E:E,'11_04_11_10 Acc Rate'!C24,'11_04_11_10'!O:O,"*M*"),COUNTIFS('11_04_11_10'!E:E,'11_04_11_10 Acc Rate'!C24,'11_04_11_10'!R:R,"*M*"))=0,"",SUM(COUNTIFS('11_04_11_10'!E:E,'11_04_11_10 Acc Rate'!C24,'11_04_11_10'!O:O,"*M*"),COUNTIFS('11_04_11_10'!E:E,'11_04_11_10 Acc Rate'!C24,'11_04_11_10'!R:R,"*M*")))</f>
        <v/>
      </c>
      <c r="T24" s="1" t="str">
        <f>IF(SUM(COUNTIFS('11_04_11_10'!E:E,'11_04_11_10 Acc Rate'!C24,'11_04_11_10'!P:P,"*E*"),COUNTIFS('11_04_11_10'!E:E,'11_04_11_10 Acc Rate'!C24,'11_04_11_10'!S:S,"*E*"))=0,"",SUM(COUNTIFS('11_04_11_10'!E:E,'11_04_11_10 Acc Rate'!C24,'11_04_11_10'!P:P,"*E*"),COUNTIFS('11_04_11_10'!E:E,'11_04_11_10 Acc Rate'!C24,'11_04_11_10'!S:S,"*E*")))</f>
        <v/>
      </c>
      <c r="U24" s="9" t="str">
        <f t="shared" si="1"/>
        <v/>
      </c>
    </row>
    <row r="25" spans="2:21" s="1" customFormat="1" ht="15" customHeight="1" x14ac:dyDescent="0.25">
      <c r="B25" s="1" t="s">
        <v>602</v>
      </c>
      <c r="C25" s="1" t="s">
        <v>603</v>
      </c>
      <c r="D25" s="1" t="s">
        <v>1175</v>
      </c>
      <c r="E25"/>
      <c r="F25" t="s">
        <v>565</v>
      </c>
      <c r="G25" t="s">
        <v>1176</v>
      </c>
      <c r="H25" t="s">
        <v>583</v>
      </c>
      <c r="I25" t="s">
        <v>606</v>
      </c>
      <c r="J25" t="s">
        <v>607</v>
      </c>
      <c r="K25"/>
      <c r="L25"/>
      <c r="M25">
        <v>1</v>
      </c>
      <c r="N25"/>
      <c r="O25"/>
      <c r="P25"/>
      <c r="Q25" s="7"/>
      <c r="R25" s="27" t="str">
        <f t="shared" si="0"/>
        <v/>
      </c>
      <c r="S25" s="27" t="str">
        <f>IF(SUM(COUNTIFS('11_04_11_10'!E:E,'11_04_11_10 Acc Rate'!C25,'11_04_11_10'!O:O,"*M*"),COUNTIFS('11_04_11_10'!E:E,'11_04_11_10 Acc Rate'!C25,'11_04_11_10'!R:R,"*M*"))=0,"",SUM(COUNTIFS('11_04_11_10'!E:E,'11_04_11_10 Acc Rate'!C25,'11_04_11_10'!O:O,"*M*"),COUNTIFS('11_04_11_10'!E:E,'11_04_11_10 Acc Rate'!C25,'11_04_11_10'!R:R,"*M*")))</f>
        <v/>
      </c>
      <c r="T25" s="1" t="str">
        <f>IF(SUM(COUNTIFS('11_04_11_10'!E:E,'11_04_11_10 Acc Rate'!C25,'11_04_11_10'!P:P,"*E*"),COUNTIFS('11_04_11_10'!E:E,'11_04_11_10 Acc Rate'!C25,'11_04_11_10'!S:S,"*E*"))=0,"",SUM(COUNTIFS('11_04_11_10'!E:E,'11_04_11_10 Acc Rate'!C25,'11_04_11_10'!P:P,"*E*"),COUNTIFS('11_04_11_10'!E:E,'11_04_11_10 Acc Rate'!C25,'11_04_11_10'!S:S,"*E*")))</f>
        <v/>
      </c>
      <c r="U25" s="9" t="str">
        <f t="shared" si="1"/>
        <v/>
      </c>
    </row>
    <row r="26" spans="2:21" s="1" customFormat="1" ht="15" customHeight="1" x14ac:dyDescent="0.25">
      <c r="B26" s="1" t="s">
        <v>608</v>
      </c>
      <c r="C26" s="1" t="s">
        <v>609</v>
      </c>
      <c r="D26" s="1" t="s">
        <v>610</v>
      </c>
      <c r="E26"/>
      <c r="F26" t="s">
        <v>611</v>
      </c>
      <c r="G26" t="s">
        <v>612</v>
      </c>
      <c r="H26" t="s">
        <v>583</v>
      </c>
      <c r="I26" t="s">
        <v>613</v>
      </c>
      <c r="J26" t="s">
        <v>614</v>
      </c>
      <c r="K26" t="s">
        <v>606</v>
      </c>
      <c r="L26"/>
      <c r="M26">
        <v>1</v>
      </c>
      <c r="N26"/>
      <c r="O26"/>
      <c r="P26"/>
      <c r="Q26" s="7">
        <v>1</v>
      </c>
      <c r="R26" s="27">
        <f t="shared" si="0"/>
        <v>1</v>
      </c>
      <c r="S26" s="27" t="str">
        <f>IF(SUM(COUNTIFS('11_04_11_10'!E:E,'11_04_11_10 Acc Rate'!C26,'11_04_11_10'!O:O,"*M*"),COUNTIFS('11_04_11_10'!E:E,'11_04_11_10 Acc Rate'!C26,'11_04_11_10'!R:R,"*M*"))=0,"",SUM(COUNTIFS('11_04_11_10'!E:E,'11_04_11_10 Acc Rate'!C26,'11_04_11_10'!O:O,"*M*"),COUNTIFS('11_04_11_10'!E:E,'11_04_11_10 Acc Rate'!C26,'11_04_11_10'!R:R,"*M*")))</f>
        <v/>
      </c>
      <c r="T26" s="1" t="str">
        <f>IF(SUM(COUNTIFS('11_04_11_10'!E:E,'11_04_11_10 Acc Rate'!C26,'11_04_11_10'!P:P,"*E*"),COUNTIFS('11_04_11_10'!E:E,'11_04_11_10 Acc Rate'!C26,'11_04_11_10'!S:S,"*E*"))=0,"",SUM(COUNTIFS('11_04_11_10'!E:E,'11_04_11_10 Acc Rate'!C26,'11_04_11_10'!P:P,"*E*"),COUNTIFS('11_04_11_10'!E:E,'11_04_11_10 Acc Rate'!C26,'11_04_11_10'!S:S,"*E*")))</f>
        <v/>
      </c>
      <c r="U26" s="9">
        <f t="shared" si="1"/>
        <v>0</v>
      </c>
    </row>
    <row r="27" spans="2:21" s="1" customFormat="1" ht="15" customHeight="1" x14ac:dyDescent="0.25">
      <c r="B27" s="1" t="s">
        <v>615</v>
      </c>
      <c r="C27" s="1" t="s">
        <v>616</v>
      </c>
      <c r="D27" s="1" t="s">
        <v>617</v>
      </c>
      <c r="E27"/>
      <c r="F27" t="s">
        <v>618</v>
      </c>
      <c r="G27" t="s">
        <v>619</v>
      </c>
      <c r="H27" t="s">
        <v>583</v>
      </c>
      <c r="I27" t="s">
        <v>620</v>
      </c>
      <c r="J27" t="s">
        <v>614</v>
      </c>
      <c r="K27" t="s">
        <v>606</v>
      </c>
      <c r="L27"/>
      <c r="M27">
        <v>1</v>
      </c>
      <c r="N27"/>
      <c r="O27"/>
      <c r="P27"/>
      <c r="Q27" s="7"/>
      <c r="R27" s="27" t="str">
        <f t="shared" si="0"/>
        <v/>
      </c>
      <c r="S27" s="27" t="str">
        <f>IF(SUM(COUNTIFS('11_04_11_10'!E:E,'11_04_11_10 Acc Rate'!C27,'11_04_11_10'!O:O,"*M*"),COUNTIFS('11_04_11_10'!E:E,'11_04_11_10 Acc Rate'!C27,'11_04_11_10'!R:R,"*M*"))=0,"",SUM(COUNTIFS('11_04_11_10'!E:E,'11_04_11_10 Acc Rate'!C27,'11_04_11_10'!O:O,"*M*"),COUNTIFS('11_04_11_10'!E:E,'11_04_11_10 Acc Rate'!C27,'11_04_11_10'!R:R,"*M*")))</f>
        <v/>
      </c>
      <c r="T27" s="1" t="str">
        <f>IF(SUM(COUNTIFS('11_04_11_10'!E:E,'11_04_11_10 Acc Rate'!C27,'11_04_11_10'!P:P,"*E*"),COUNTIFS('11_04_11_10'!E:E,'11_04_11_10 Acc Rate'!C27,'11_04_11_10'!S:S,"*E*"))=0,"",SUM(COUNTIFS('11_04_11_10'!E:E,'11_04_11_10 Acc Rate'!C27,'11_04_11_10'!P:P,"*E*"),COUNTIFS('11_04_11_10'!E:E,'11_04_11_10 Acc Rate'!C27,'11_04_11_10'!S:S,"*E*")))</f>
        <v/>
      </c>
      <c r="U27" s="9" t="str">
        <f t="shared" si="1"/>
        <v/>
      </c>
    </row>
    <row r="28" spans="2:21" s="1" customFormat="1" ht="15" customHeight="1" x14ac:dyDescent="0.25">
      <c r="B28" s="1" t="s">
        <v>621</v>
      </c>
      <c r="C28" s="1" t="s">
        <v>622</v>
      </c>
      <c r="D28" s="1" t="s">
        <v>267</v>
      </c>
      <c r="E28"/>
      <c r="F28" t="s">
        <v>623</v>
      </c>
      <c r="G28" t="s">
        <v>624</v>
      </c>
      <c r="H28" t="s">
        <v>583</v>
      </c>
      <c r="I28" t="s">
        <v>625</v>
      </c>
      <c r="J28" t="s">
        <v>614</v>
      </c>
      <c r="K28" t="s">
        <v>606</v>
      </c>
      <c r="L28"/>
      <c r="M28">
        <v>1</v>
      </c>
      <c r="N28"/>
      <c r="O28"/>
      <c r="P28"/>
      <c r="Q28" s="7"/>
      <c r="R28" s="27" t="str">
        <f t="shared" si="0"/>
        <v/>
      </c>
      <c r="S28" s="27" t="str">
        <f>IF(SUM(COUNTIFS('11_04_11_10'!E:E,'11_04_11_10 Acc Rate'!C28,'11_04_11_10'!O:O,"*M*"),COUNTIFS('11_04_11_10'!E:E,'11_04_11_10 Acc Rate'!C28,'11_04_11_10'!R:R,"*M*"))=0,"",SUM(COUNTIFS('11_04_11_10'!E:E,'11_04_11_10 Acc Rate'!C28,'11_04_11_10'!O:O,"*M*"),COUNTIFS('11_04_11_10'!E:E,'11_04_11_10 Acc Rate'!C28,'11_04_11_10'!R:R,"*M*")))</f>
        <v/>
      </c>
      <c r="T28" s="1" t="str">
        <f>IF(SUM(COUNTIFS('11_04_11_10'!E:E,'11_04_11_10 Acc Rate'!C28,'11_04_11_10'!P:P,"*E*"),COUNTIFS('11_04_11_10'!E:E,'11_04_11_10 Acc Rate'!C28,'11_04_11_10'!S:S,"*E*"))=0,"",SUM(COUNTIFS('11_04_11_10'!E:E,'11_04_11_10 Acc Rate'!C28,'11_04_11_10'!P:P,"*E*"),COUNTIFS('11_04_11_10'!E:E,'11_04_11_10 Acc Rate'!C28,'11_04_11_10'!S:S,"*E*")))</f>
        <v/>
      </c>
      <c r="U28" s="8" t="str">
        <f t="shared" si="1"/>
        <v/>
      </c>
    </row>
    <row r="29" spans="2:21" s="1" customFormat="1" ht="15" customHeight="1" x14ac:dyDescent="0.25">
      <c r="B29" s="1" t="s">
        <v>626</v>
      </c>
      <c r="C29" s="1" t="s">
        <v>362</v>
      </c>
      <c r="D29" s="1" t="s">
        <v>409</v>
      </c>
      <c r="E29"/>
      <c r="F29" t="s">
        <v>627</v>
      </c>
      <c r="G29" t="s">
        <v>628</v>
      </c>
      <c r="H29" t="s">
        <v>583</v>
      </c>
      <c r="I29" t="s">
        <v>629</v>
      </c>
      <c r="J29" t="s">
        <v>614</v>
      </c>
      <c r="K29" t="s">
        <v>606</v>
      </c>
      <c r="L29"/>
      <c r="M29">
        <v>1</v>
      </c>
      <c r="N29"/>
      <c r="O29"/>
      <c r="P29"/>
      <c r="Q29" s="7">
        <v>10</v>
      </c>
      <c r="R29" s="27">
        <f t="shared" si="0"/>
        <v>10</v>
      </c>
      <c r="S29" s="27" t="str">
        <f>IF(SUM(COUNTIFS('11_04_11_10'!E:E,'11_04_11_10 Acc Rate'!C29,'11_04_11_10'!O:O,"*M*"),COUNTIFS('11_04_11_10'!E:E,'11_04_11_10 Acc Rate'!C29,'11_04_11_10'!R:R,"*M*"))=0,"",SUM(COUNTIFS('11_04_11_10'!E:E,'11_04_11_10 Acc Rate'!C29,'11_04_11_10'!O:O,"*M*"),COUNTIFS('11_04_11_10'!E:E,'11_04_11_10 Acc Rate'!C29,'11_04_11_10'!R:R,"*M*")))</f>
        <v/>
      </c>
      <c r="T29" s="1" t="str">
        <f>IF(SUM(COUNTIFS('11_04_11_10'!E:E,'11_04_11_10 Acc Rate'!C29,'11_04_11_10'!P:P,"*E*"),COUNTIFS('11_04_11_10'!E:E,'11_04_11_10 Acc Rate'!C29,'11_04_11_10'!S:S,"*E*"))=0,"",SUM(COUNTIFS('11_04_11_10'!E:E,'11_04_11_10 Acc Rate'!C29,'11_04_11_10'!P:P,"*E*"),COUNTIFS('11_04_11_10'!E:E,'11_04_11_10 Acc Rate'!C29,'11_04_11_10'!S:S,"*E*")))</f>
        <v/>
      </c>
      <c r="U29" s="9">
        <f t="shared" si="1"/>
        <v>0</v>
      </c>
    </row>
    <row r="30" spans="2:21" s="1" customFormat="1" ht="15" customHeight="1" x14ac:dyDescent="0.25">
      <c r="B30" s="1" t="s">
        <v>630</v>
      </c>
      <c r="C30" s="1" t="s">
        <v>425</v>
      </c>
      <c r="D30" s="1" t="s">
        <v>426</v>
      </c>
      <c r="E30"/>
      <c r="F30" t="s">
        <v>631</v>
      </c>
      <c r="G30" t="s">
        <v>632</v>
      </c>
      <c r="H30" t="s">
        <v>583</v>
      </c>
      <c r="I30" t="s">
        <v>633</v>
      </c>
      <c r="J30" t="s">
        <v>614</v>
      </c>
      <c r="K30" t="s">
        <v>606</v>
      </c>
      <c r="L30"/>
      <c r="M30">
        <v>15</v>
      </c>
      <c r="N30"/>
      <c r="O30"/>
      <c r="P30"/>
      <c r="Q30" s="7"/>
      <c r="R30" s="27" t="str">
        <f t="shared" si="0"/>
        <v/>
      </c>
      <c r="S30" s="27" t="str">
        <f>IF(SUM(COUNTIFS('11_04_11_10'!E:E,'11_04_11_10 Acc Rate'!C30,'11_04_11_10'!O:O,"*M*"),COUNTIFS('11_04_11_10'!E:E,'11_04_11_10 Acc Rate'!C30,'11_04_11_10'!R:R,"*M*"))=0,"",SUM(COUNTIFS('11_04_11_10'!E:E,'11_04_11_10 Acc Rate'!C30,'11_04_11_10'!O:O,"*M*"),COUNTIFS('11_04_11_10'!E:E,'11_04_11_10 Acc Rate'!C30,'11_04_11_10'!R:R,"*M*")))</f>
        <v/>
      </c>
      <c r="T30" s="1" t="str">
        <f>IF(SUM(COUNTIFS('11_04_11_10'!E:E,'11_04_11_10 Acc Rate'!C30,'11_04_11_10'!P:P,"*E*"),COUNTIFS('11_04_11_10'!E:E,'11_04_11_10 Acc Rate'!C30,'11_04_11_10'!S:S,"*E*"))=0,"",SUM(COUNTIFS('11_04_11_10'!E:E,'11_04_11_10 Acc Rate'!C30,'11_04_11_10'!P:P,"*E*"),COUNTIFS('11_04_11_10'!E:E,'11_04_11_10 Acc Rate'!C30,'11_04_11_10'!S:S,"*E*")))</f>
        <v/>
      </c>
      <c r="U30" s="9" t="str">
        <f t="shared" si="1"/>
        <v/>
      </c>
    </row>
    <row r="31" spans="2:21" s="1" customFormat="1" ht="15" customHeight="1" x14ac:dyDescent="0.25">
      <c r="B31" s="1" t="s">
        <v>634</v>
      </c>
      <c r="C31" s="1" t="s">
        <v>635</v>
      </c>
      <c r="D31" s="1" t="s">
        <v>636</v>
      </c>
      <c r="E31"/>
      <c r="F31" t="s">
        <v>21</v>
      </c>
      <c r="G31" t="s">
        <v>637</v>
      </c>
      <c r="H31" t="s">
        <v>583</v>
      </c>
      <c r="I31" t="s">
        <v>638</v>
      </c>
      <c r="J31" t="s">
        <v>607</v>
      </c>
      <c r="K31"/>
      <c r="L31"/>
      <c r="M31">
        <v>1</v>
      </c>
      <c r="N31"/>
      <c r="O31"/>
      <c r="P31"/>
      <c r="Q31" s="7"/>
      <c r="R31" s="27" t="str">
        <f t="shared" si="0"/>
        <v/>
      </c>
      <c r="S31" s="27" t="str">
        <f>IF(SUM(COUNTIFS('11_04_11_10'!E:E,'11_04_11_10 Acc Rate'!C31,'11_04_11_10'!O:O,"*M*"),COUNTIFS('11_04_11_10'!E:E,'11_04_11_10 Acc Rate'!C31,'11_04_11_10'!R:R,"*M*"))=0,"",SUM(COUNTIFS('11_04_11_10'!E:E,'11_04_11_10 Acc Rate'!C31,'11_04_11_10'!O:O,"*M*"),COUNTIFS('11_04_11_10'!E:E,'11_04_11_10 Acc Rate'!C31,'11_04_11_10'!R:R,"*M*")))</f>
        <v/>
      </c>
      <c r="T31" s="1" t="str">
        <f>IF(SUM(COUNTIFS('11_04_11_10'!E:E,'11_04_11_10 Acc Rate'!C31,'11_04_11_10'!P:P,"*E*"),COUNTIFS('11_04_11_10'!E:E,'11_04_11_10 Acc Rate'!C31,'11_04_11_10'!S:S,"*E*"))=0,"",SUM(COUNTIFS('11_04_11_10'!E:E,'11_04_11_10 Acc Rate'!C31,'11_04_11_10'!P:P,"*E*"),COUNTIFS('11_04_11_10'!E:E,'11_04_11_10 Acc Rate'!C31,'11_04_11_10'!S:S,"*E*")))</f>
        <v/>
      </c>
      <c r="U31" s="9" t="str">
        <f t="shared" si="1"/>
        <v/>
      </c>
    </row>
    <row r="32" spans="2:21" ht="15" customHeight="1" x14ac:dyDescent="0.25">
      <c r="B32" s="1" t="s">
        <v>1630</v>
      </c>
      <c r="C32" s="1" t="s">
        <v>1631</v>
      </c>
      <c r="D32" s="1" t="s">
        <v>1122</v>
      </c>
      <c r="E32"/>
      <c r="F32" t="s">
        <v>21</v>
      </c>
      <c r="G32" t="s">
        <v>1632</v>
      </c>
      <c r="H32" t="s">
        <v>583</v>
      </c>
      <c r="I32" t="s">
        <v>1633</v>
      </c>
      <c r="J32" t="s">
        <v>1634</v>
      </c>
      <c r="K32" t="s">
        <v>638</v>
      </c>
      <c r="L32"/>
      <c r="M32">
        <v>15</v>
      </c>
      <c r="N32"/>
      <c r="O32"/>
      <c r="P32"/>
      <c r="Q32" s="7"/>
      <c r="R32" s="27" t="str">
        <f t="shared" si="0"/>
        <v/>
      </c>
      <c r="S32" s="27" t="str">
        <f>IF(SUM(COUNTIFS('11_04_11_10'!E:E,'11_04_11_10 Acc Rate'!C32,'11_04_11_10'!O:O,"*M*"),COUNTIFS('11_04_11_10'!E:E,'11_04_11_10 Acc Rate'!C32,'11_04_11_10'!R:R,"*M*"))=0,"",SUM(COUNTIFS('11_04_11_10'!E:E,'11_04_11_10 Acc Rate'!C32,'11_04_11_10'!O:O,"*M*"),COUNTIFS('11_04_11_10'!E:E,'11_04_11_10 Acc Rate'!C32,'11_04_11_10'!R:R,"*M*")))</f>
        <v/>
      </c>
      <c r="T32" s="1" t="str">
        <f>IF(SUM(COUNTIFS('11_04_11_10'!E:E,'11_04_11_10 Acc Rate'!C32,'11_04_11_10'!P:P,"*E*"),COUNTIFS('11_04_11_10'!E:E,'11_04_11_10 Acc Rate'!C32,'11_04_11_10'!S:S,"*E*"))=0,"",SUM(COUNTIFS('11_04_11_10'!E:E,'11_04_11_10 Acc Rate'!C32,'11_04_11_10'!P:P,"*E*"),COUNTIFS('11_04_11_10'!E:E,'11_04_11_10 Acc Rate'!C32,'11_04_11_10'!S:S,"*E*")))</f>
        <v/>
      </c>
      <c r="U32" s="8" t="str">
        <f t="shared" si="1"/>
        <v/>
      </c>
    </row>
    <row r="33" spans="2:21" ht="15" customHeight="1" x14ac:dyDescent="0.25">
      <c r="B33" s="1" t="s">
        <v>639</v>
      </c>
      <c r="C33" s="1" t="s">
        <v>635</v>
      </c>
      <c r="D33" s="1" t="s">
        <v>640</v>
      </c>
      <c r="E33"/>
      <c r="F33" t="s">
        <v>641</v>
      </c>
      <c r="G33" t="s">
        <v>642</v>
      </c>
      <c r="H33" t="s">
        <v>583</v>
      </c>
      <c r="I33" t="s">
        <v>643</v>
      </c>
      <c r="J33" t="s">
        <v>607</v>
      </c>
      <c r="K33"/>
      <c r="L33"/>
      <c r="M33">
        <v>1</v>
      </c>
      <c r="N33"/>
      <c r="O33"/>
      <c r="P33"/>
      <c r="Q33" s="7"/>
      <c r="R33" s="27" t="str">
        <f t="shared" si="0"/>
        <v/>
      </c>
      <c r="S33" s="27" t="str">
        <f>IF(SUM(COUNTIFS('11_04_11_10'!E:E,'11_04_11_10 Acc Rate'!C33,'11_04_11_10'!O:O,"*M*"),COUNTIFS('11_04_11_10'!E:E,'11_04_11_10 Acc Rate'!C33,'11_04_11_10'!R:R,"*M*"))=0,"",SUM(COUNTIFS('11_04_11_10'!E:E,'11_04_11_10 Acc Rate'!C33,'11_04_11_10'!O:O,"*M*"),COUNTIFS('11_04_11_10'!E:E,'11_04_11_10 Acc Rate'!C33,'11_04_11_10'!R:R,"*M*")))</f>
        <v/>
      </c>
      <c r="T33" s="1" t="str">
        <f>IF(SUM(COUNTIFS('11_04_11_10'!E:E,'11_04_11_10 Acc Rate'!C33,'11_04_11_10'!P:P,"*E*"),COUNTIFS('11_04_11_10'!E:E,'11_04_11_10 Acc Rate'!C33,'11_04_11_10'!S:S,"*E*"))=0,"",SUM(COUNTIFS('11_04_11_10'!E:E,'11_04_11_10 Acc Rate'!C33,'11_04_11_10'!P:P,"*E*"),COUNTIFS('11_04_11_10'!E:E,'11_04_11_10 Acc Rate'!C33,'11_04_11_10'!S:S,"*E*")))</f>
        <v/>
      </c>
      <c r="U33" s="8" t="str">
        <f t="shared" si="1"/>
        <v/>
      </c>
    </row>
    <row r="34" spans="2:21" ht="15" customHeight="1" x14ac:dyDescent="0.25">
      <c r="B34" s="1" t="s">
        <v>644</v>
      </c>
      <c r="C34" s="1" t="s">
        <v>162</v>
      </c>
      <c r="D34" s="1" t="s">
        <v>163</v>
      </c>
      <c r="E34"/>
      <c r="F34" t="s">
        <v>645</v>
      </c>
      <c r="G34" t="s">
        <v>646</v>
      </c>
      <c r="H34" t="s">
        <v>583</v>
      </c>
      <c r="I34" t="s">
        <v>647</v>
      </c>
      <c r="J34" t="s">
        <v>648</v>
      </c>
      <c r="K34" t="s">
        <v>643</v>
      </c>
      <c r="L34"/>
      <c r="M34">
        <v>1</v>
      </c>
      <c r="N34"/>
      <c r="O34"/>
      <c r="P34"/>
      <c r="Q34" s="7"/>
      <c r="R34" s="27" t="str">
        <f t="shared" si="0"/>
        <v/>
      </c>
      <c r="S34" s="27" t="str">
        <f>IF(SUM(COUNTIFS('11_04_11_10'!E:E,'11_04_11_10 Acc Rate'!C34,'11_04_11_10'!O:O,"*M*"),COUNTIFS('11_04_11_10'!E:E,'11_04_11_10 Acc Rate'!C34,'11_04_11_10'!R:R,"*M*"))=0,"",SUM(COUNTIFS('11_04_11_10'!E:E,'11_04_11_10 Acc Rate'!C34,'11_04_11_10'!O:O,"*M*"),COUNTIFS('11_04_11_10'!E:E,'11_04_11_10 Acc Rate'!C34,'11_04_11_10'!R:R,"*M*")))</f>
        <v/>
      </c>
      <c r="T34" s="1" t="str">
        <f>IF(SUM(COUNTIFS('11_04_11_10'!E:E,'11_04_11_10 Acc Rate'!C34,'11_04_11_10'!P:P,"*E*"),COUNTIFS('11_04_11_10'!E:E,'11_04_11_10 Acc Rate'!C34,'11_04_11_10'!S:S,"*E*"))=0,"",SUM(COUNTIFS('11_04_11_10'!E:E,'11_04_11_10 Acc Rate'!C34,'11_04_11_10'!P:P,"*E*"),COUNTIFS('11_04_11_10'!E:E,'11_04_11_10 Acc Rate'!C34,'11_04_11_10'!S:S,"*E*")))</f>
        <v/>
      </c>
      <c r="U34" s="8" t="str">
        <f t="shared" si="1"/>
        <v/>
      </c>
    </row>
    <row r="35" spans="2:21" ht="15" customHeight="1" x14ac:dyDescent="0.25">
      <c r="B35" s="1" t="s">
        <v>649</v>
      </c>
      <c r="C35" s="1" t="s">
        <v>264</v>
      </c>
      <c r="D35" s="1" t="s">
        <v>650</v>
      </c>
      <c r="E35"/>
      <c r="F35" t="s">
        <v>651</v>
      </c>
      <c r="G35" t="s">
        <v>652</v>
      </c>
      <c r="H35" t="s">
        <v>583</v>
      </c>
      <c r="I35" t="s">
        <v>653</v>
      </c>
      <c r="J35" t="s">
        <v>648</v>
      </c>
      <c r="K35" t="s">
        <v>643</v>
      </c>
      <c r="L35"/>
      <c r="M35">
        <v>1</v>
      </c>
      <c r="N35"/>
      <c r="O35"/>
      <c r="P35"/>
      <c r="Q35" s="7">
        <v>1</v>
      </c>
      <c r="R35" s="27">
        <f t="shared" si="0"/>
        <v>1</v>
      </c>
      <c r="S35" s="27" t="str">
        <f>IF(SUM(COUNTIFS('11_04_11_10'!E:E,'11_04_11_10 Acc Rate'!C35,'11_04_11_10'!O:O,"*M*"),COUNTIFS('11_04_11_10'!E:E,'11_04_11_10 Acc Rate'!C35,'11_04_11_10'!R:R,"*M*"))=0,"",SUM(COUNTIFS('11_04_11_10'!E:E,'11_04_11_10 Acc Rate'!C35,'11_04_11_10'!O:O,"*M*"),COUNTIFS('11_04_11_10'!E:E,'11_04_11_10 Acc Rate'!C35,'11_04_11_10'!R:R,"*M*")))</f>
        <v/>
      </c>
      <c r="T35" s="1" t="str">
        <f>IF(SUM(COUNTIFS('11_04_11_10'!E:E,'11_04_11_10 Acc Rate'!C35,'11_04_11_10'!P:P,"*E*"),COUNTIFS('11_04_11_10'!E:E,'11_04_11_10 Acc Rate'!C35,'11_04_11_10'!S:S,"*E*"))=0,"",SUM(COUNTIFS('11_04_11_10'!E:E,'11_04_11_10 Acc Rate'!C35,'11_04_11_10'!P:P,"*E*"),COUNTIFS('11_04_11_10'!E:E,'11_04_11_10 Acc Rate'!C35,'11_04_11_10'!S:S,"*E*")))</f>
        <v/>
      </c>
      <c r="U35" s="8">
        <f t="shared" si="1"/>
        <v>0</v>
      </c>
    </row>
    <row r="36" spans="2:21" ht="15" customHeight="1" x14ac:dyDescent="0.25">
      <c r="B36" s="1" t="s">
        <v>654</v>
      </c>
      <c r="C36" s="1" t="s">
        <v>417</v>
      </c>
      <c r="D36" s="1" t="s">
        <v>418</v>
      </c>
      <c r="E36"/>
      <c r="F36" t="s">
        <v>655</v>
      </c>
      <c r="G36" t="s">
        <v>656</v>
      </c>
      <c r="H36" t="s">
        <v>583</v>
      </c>
      <c r="I36" t="s">
        <v>657</v>
      </c>
      <c r="J36" t="s">
        <v>648</v>
      </c>
      <c r="K36" t="s">
        <v>643</v>
      </c>
      <c r="L36"/>
      <c r="M36">
        <v>1</v>
      </c>
      <c r="N36"/>
      <c r="O36"/>
      <c r="P36"/>
      <c r="Q36" s="7"/>
      <c r="R36" s="27" t="str">
        <f t="shared" si="0"/>
        <v/>
      </c>
      <c r="S36" s="27" t="str">
        <f>IF(SUM(COUNTIFS('11_04_11_10'!E:E,'11_04_11_10 Acc Rate'!C36,'11_04_11_10'!O:O,"*M*"),COUNTIFS('11_04_11_10'!E:E,'11_04_11_10 Acc Rate'!C36,'11_04_11_10'!R:R,"*M*"))=0,"",SUM(COUNTIFS('11_04_11_10'!E:E,'11_04_11_10 Acc Rate'!C36,'11_04_11_10'!O:O,"*M*"),COUNTIFS('11_04_11_10'!E:E,'11_04_11_10 Acc Rate'!C36,'11_04_11_10'!R:R,"*M*")))</f>
        <v/>
      </c>
      <c r="T36" s="1" t="str">
        <f>IF(SUM(COUNTIFS('11_04_11_10'!E:E,'11_04_11_10 Acc Rate'!C36,'11_04_11_10'!P:P,"*E*"),COUNTIFS('11_04_11_10'!E:E,'11_04_11_10 Acc Rate'!C36,'11_04_11_10'!S:S,"*E*"))=0,"",SUM(COUNTIFS('11_04_11_10'!E:E,'11_04_11_10 Acc Rate'!C36,'11_04_11_10'!P:P,"*E*"),COUNTIFS('11_04_11_10'!E:E,'11_04_11_10 Acc Rate'!C36,'11_04_11_10'!S:S,"*E*")))</f>
        <v/>
      </c>
      <c r="U36" s="8" t="str">
        <f t="shared" si="1"/>
        <v/>
      </c>
    </row>
    <row r="37" spans="2:21" ht="15" customHeight="1" x14ac:dyDescent="0.25">
      <c r="B37" s="1" t="s">
        <v>1635</v>
      </c>
      <c r="C37" s="1" t="s">
        <v>1636</v>
      </c>
      <c r="D37" s="1" t="s">
        <v>1637</v>
      </c>
      <c r="E37"/>
      <c r="F37" t="s">
        <v>1638</v>
      </c>
      <c r="G37" t="s">
        <v>1639</v>
      </c>
      <c r="H37" t="s">
        <v>583</v>
      </c>
      <c r="I37" t="s">
        <v>1640</v>
      </c>
      <c r="J37" t="s">
        <v>648</v>
      </c>
      <c r="K37" t="s">
        <v>643</v>
      </c>
      <c r="L37"/>
      <c r="M37">
        <v>15</v>
      </c>
      <c r="N37"/>
      <c r="O37"/>
      <c r="P37"/>
      <c r="Q37" s="7"/>
      <c r="R37" s="27" t="str">
        <f t="shared" si="0"/>
        <v/>
      </c>
      <c r="S37" s="27" t="str">
        <f>IF(SUM(COUNTIFS('11_04_11_10'!E:E,'11_04_11_10 Acc Rate'!C37,'11_04_11_10'!O:O,"*M*"),COUNTIFS('11_04_11_10'!E:E,'11_04_11_10 Acc Rate'!C37,'11_04_11_10'!R:R,"*M*"))=0,"",SUM(COUNTIFS('11_04_11_10'!E:E,'11_04_11_10 Acc Rate'!C37,'11_04_11_10'!O:O,"*M*"),COUNTIFS('11_04_11_10'!E:E,'11_04_11_10 Acc Rate'!C37,'11_04_11_10'!R:R,"*M*")))</f>
        <v/>
      </c>
      <c r="T37" s="1" t="str">
        <f>IF(SUM(COUNTIFS('11_04_11_10'!E:E,'11_04_11_10 Acc Rate'!C37,'11_04_11_10'!P:P,"*E*"),COUNTIFS('11_04_11_10'!E:E,'11_04_11_10 Acc Rate'!C37,'11_04_11_10'!S:S,"*E*"))=0,"",SUM(COUNTIFS('11_04_11_10'!E:E,'11_04_11_10 Acc Rate'!C37,'11_04_11_10'!P:P,"*E*"),COUNTIFS('11_04_11_10'!E:E,'11_04_11_10 Acc Rate'!C37,'11_04_11_10'!S:S,"*E*")))</f>
        <v/>
      </c>
      <c r="U37" s="8" t="str">
        <f t="shared" si="1"/>
        <v/>
      </c>
    </row>
    <row r="38" spans="2:21" ht="15" customHeight="1" x14ac:dyDescent="0.25">
      <c r="B38" s="1" t="s">
        <v>1641</v>
      </c>
      <c r="C38" s="1" t="s">
        <v>345</v>
      </c>
      <c r="D38" s="1" t="s">
        <v>1642</v>
      </c>
      <c r="E38"/>
      <c r="F38" t="s">
        <v>1643</v>
      </c>
      <c r="G38" t="s">
        <v>1644</v>
      </c>
      <c r="H38" t="s">
        <v>583</v>
      </c>
      <c r="I38" t="s">
        <v>1645</v>
      </c>
      <c r="J38" t="s">
        <v>648</v>
      </c>
      <c r="K38" t="s">
        <v>643</v>
      </c>
      <c r="L38"/>
      <c r="M38">
        <v>15</v>
      </c>
      <c r="N38"/>
      <c r="O38"/>
      <c r="P38"/>
      <c r="Q38" s="7"/>
      <c r="R38" s="27" t="str">
        <f t="shared" si="0"/>
        <v/>
      </c>
      <c r="S38" s="27" t="str">
        <f>IF(SUM(COUNTIFS('11_04_11_10'!E:E,'11_04_11_10 Acc Rate'!C38,'11_04_11_10'!O:O,"*M*"),COUNTIFS('11_04_11_10'!E:E,'11_04_11_10 Acc Rate'!C38,'11_04_11_10'!R:R,"*M*"))=0,"",SUM(COUNTIFS('11_04_11_10'!E:E,'11_04_11_10 Acc Rate'!C38,'11_04_11_10'!O:O,"*M*"),COUNTIFS('11_04_11_10'!E:E,'11_04_11_10 Acc Rate'!C38,'11_04_11_10'!R:R,"*M*")))</f>
        <v/>
      </c>
      <c r="T38" s="1" t="str">
        <f>IF(SUM(COUNTIFS('11_04_11_10'!E:E,'11_04_11_10 Acc Rate'!C38,'11_04_11_10'!P:P,"*E*"),COUNTIFS('11_04_11_10'!E:E,'11_04_11_10 Acc Rate'!C38,'11_04_11_10'!S:S,"*E*"))=0,"",SUM(COUNTIFS('11_04_11_10'!E:E,'11_04_11_10 Acc Rate'!C38,'11_04_11_10'!P:P,"*E*"),COUNTIFS('11_04_11_10'!E:E,'11_04_11_10 Acc Rate'!C38,'11_04_11_10'!S:S,"*E*")))</f>
        <v/>
      </c>
      <c r="U38" s="8" t="str">
        <f t="shared" si="1"/>
        <v/>
      </c>
    </row>
    <row r="39" spans="2:21" ht="15" customHeight="1" x14ac:dyDescent="0.25">
      <c r="B39" s="1" t="s">
        <v>658</v>
      </c>
      <c r="C39" s="1" t="s">
        <v>659</v>
      </c>
      <c r="D39" s="1" t="s">
        <v>660</v>
      </c>
      <c r="E39"/>
      <c r="F39" t="s">
        <v>661</v>
      </c>
      <c r="G39" t="s">
        <v>662</v>
      </c>
      <c r="H39" t="s">
        <v>583</v>
      </c>
      <c r="I39" t="s">
        <v>663</v>
      </c>
      <c r="J39" t="s">
        <v>607</v>
      </c>
      <c r="K39"/>
      <c r="L39"/>
      <c r="M39">
        <v>1</v>
      </c>
      <c r="N39"/>
      <c r="O39"/>
      <c r="P39"/>
      <c r="Q39" s="7"/>
      <c r="R39" s="27" t="str">
        <f t="shared" si="0"/>
        <v/>
      </c>
      <c r="S39" s="27" t="str">
        <f>IF(SUM(COUNTIFS('11_04_11_10'!E:E,'11_04_11_10 Acc Rate'!C39,'11_04_11_10'!O:O,"*M*"),COUNTIFS('11_04_11_10'!E:E,'11_04_11_10 Acc Rate'!C39,'11_04_11_10'!R:R,"*M*"))=0,"",SUM(COUNTIFS('11_04_11_10'!E:E,'11_04_11_10 Acc Rate'!C39,'11_04_11_10'!O:O,"*M*"),COUNTIFS('11_04_11_10'!E:E,'11_04_11_10 Acc Rate'!C39,'11_04_11_10'!R:R,"*M*")))</f>
        <v/>
      </c>
      <c r="T39" s="1" t="str">
        <f>IF(SUM(COUNTIFS('11_04_11_10'!E:E,'11_04_11_10 Acc Rate'!C39,'11_04_11_10'!P:P,"*E*"),COUNTIFS('11_04_11_10'!E:E,'11_04_11_10 Acc Rate'!C39,'11_04_11_10'!S:S,"*E*"))=0,"",SUM(COUNTIFS('11_04_11_10'!E:E,'11_04_11_10 Acc Rate'!C39,'11_04_11_10'!P:P,"*E*"),COUNTIFS('11_04_11_10'!E:E,'11_04_11_10 Acc Rate'!C39,'11_04_11_10'!S:S,"*E*")))</f>
        <v/>
      </c>
      <c r="U39" s="8" t="str">
        <f t="shared" si="1"/>
        <v/>
      </c>
    </row>
    <row r="40" spans="2:21" ht="15" customHeight="1" x14ac:dyDescent="0.25">
      <c r="B40" s="1" t="s">
        <v>664</v>
      </c>
      <c r="C40" s="1" t="s">
        <v>155</v>
      </c>
      <c r="D40" s="1" t="s">
        <v>156</v>
      </c>
      <c r="E40"/>
      <c r="F40" t="s">
        <v>550</v>
      </c>
      <c r="G40" t="s">
        <v>665</v>
      </c>
      <c r="H40" t="s">
        <v>583</v>
      </c>
      <c r="I40" t="s">
        <v>666</v>
      </c>
      <c r="J40" t="s">
        <v>667</v>
      </c>
      <c r="K40" t="s">
        <v>663</v>
      </c>
      <c r="L40"/>
      <c r="M40">
        <v>1</v>
      </c>
      <c r="N40"/>
      <c r="O40"/>
      <c r="P40"/>
      <c r="Q40" s="7">
        <v>1</v>
      </c>
      <c r="R40" s="27">
        <f t="shared" si="0"/>
        <v>1</v>
      </c>
      <c r="S40" s="27" t="str">
        <f>IF(SUM(COUNTIFS('11_04_11_10'!E:E,'11_04_11_10 Acc Rate'!C40,'11_04_11_10'!O:O,"*M*"),COUNTIFS('11_04_11_10'!E:E,'11_04_11_10 Acc Rate'!C40,'11_04_11_10'!R:R,"*M*"))=0,"",SUM(COUNTIFS('11_04_11_10'!E:E,'11_04_11_10 Acc Rate'!C40,'11_04_11_10'!O:O,"*M*"),COUNTIFS('11_04_11_10'!E:E,'11_04_11_10 Acc Rate'!C40,'11_04_11_10'!R:R,"*M*")))</f>
        <v/>
      </c>
      <c r="T40" s="1" t="str">
        <f>IF(SUM(COUNTIFS('11_04_11_10'!E:E,'11_04_11_10 Acc Rate'!C40,'11_04_11_10'!P:P,"*E*"),COUNTIFS('11_04_11_10'!E:E,'11_04_11_10 Acc Rate'!C40,'11_04_11_10'!S:S,"*E*"))=0,"",SUM(COUNTIFS('11_04_11_10'!E:E,'11_04_11_10 Acc Rate'!C40,'11_04_11_10'!P:P,"*E*"),COUNTIFS('11_04_11_10'!E:E,'11_04_11_10 Acc Rate'!C40,'11_04_11_10'!S:S,"*E*")))</f>
        <v/>
      </c>
      <c r="U40" s="8">
        <f t="shared" si="1"/>
        <v>0</v>
      </c>
    </row>
    <row r="41" spans="2:21" ht="15" customHeight="1" x14ac:dyDescent="0.25">
      <c r="B41" s="1" t="s">
        <v>668</v>
      </c>
      <c r="C41" s="1" t="s">
        <v>669</v>
      </c>
      <c r="D41" s="1" t="s">
        <v>670</v>
      </c>
      <c r="E41"/>
      <c r="F41" t="s">
        <v>671</v>
      </c>
      <c r="G41" t="s">
        <v>672</v>
      </c>
      <c r="H41" t="s">
        <v>583</v>
      </c>
      <c r="I41" t="s">
        <v>673</v>
      </c>
      <c r="J41" t="s">
        <v>667</v>
      </c>
      <c r="K41" t="s">
        <v>663</v>
      </c>
      <c r="L41"/>
      <c r="M41">
        <v>1</v>
      </c>
      <c r="N41"/>
      <c r="O41"/>
      <c r="P41"/>
      <c r="Q41" s="7"/>
      <c r="R41" s="27" t="str">
        <f t="shared" si="0"/>
        <v/>
      </c>
      <c r="S41" s="27" t="str">
        <f>IF(SUM(COUNTIFS('11_04_11_10'!E:E,'11_04_11_10 Acc Rate'!C41,'11_04_11_10'!O:O,"*M*"),COUNTIFS('11_04_11_10'!E:E,'11_04_11_10 Acc Rate'!C41,'11_04_11_10'!R:R,"*M*"))=0,"",SUM(COUNTIFS('11_04_11_10'!E:E,'11_04_11_10 Acc Rate'!C41,'11_04_11_10'!O:O,"*M*"),COUNTIFS('11_04_11_10'!E:E,'11_04_11_10 Acc Rate'!C41,'11_04_11_10'!R:R,"*M*")))</f>
        <v/>
      </c>
      <c r="T41" s="1" t="str">
        <f>IF(SUM(COUNTIFS('11_04_11_10'!E:E,'11_04_11_10 Acc Rate'!C41,'11_04_11_10'!P:P,"*E*"),COUNTIFS('11_04_11_10'!E:E,'11_04_11_10 Acc Rate'!C41,'11_04_11_10'!S:S,"*E*"))=0,"",SUM(COUNTIFS('11_04_11_10'!E:E,'11_04_11_10 Acc Rate'!C41,'11_04_11_10'!P:P,"*E*"),COUNTIFS('11_04_11_10'!E:E,'11_04_11_10 Acc Rate'!C41,'11_04_11_10'!S:S,"*E*")))</f>
        <v/>
      </c>
      <c r="U41" s="8" t="str">
        <f t="shared" si="1"/>
        <v/>
      </c>
    </row>
    <row r="42" spans="2:21" ht="15" customHeight="1" x14ac:dyDescent="0.25">
      <c r="B42" s="1" t="s">
        <v>674</v>
      </c>
      <c r="C42" s="1" t="s">
        <v>411</v>
      </c>
      <c r="D42" s="1" t="s">
        <v>412</v>
      </c>
      <c r="E42"/>
      <c r="F42" t="s">
        <v>675</v>
      </c>
      <c r="G42" t="s">
        <v>676</v>
      </c>
      <c r="H42" t="s">
        <v>583</v>
      </c>
      <c r="I42" t="s">
        <v>677</v>
      </c>
      <c r="J42" t="s">
        <v>667</v>
      </c>
      <c r="K42" t="s">
        <v>663</v>
      </c>
      <c r="L42"/>
      <c r="M42">
        <v>1</v>
      </c>
      <c r="N42"/>
      <c r="O42"/>
      <c r="P42"/>
      <c r="Q42" s="7">
        <v>7</v>
      </c>
      <c r="R42" s="27">
        <f t="shared" si="0"/>
        <v>7</v>
      </c>
      <c r="S42" s="27" t="str">
        <f>IF(SUM(COUNTIFS('11_04_11_10'!E:E,'11_04_11_10 Acc Rate'!C42,'11_04_11_10'!O:O,"*M*"),COUNTIFS('11_04_11_10'!E:E,'11_04_11_10 Acc Rate'!C42,'11_04_11_10'!R:R,"*M*"))=0,"",SUM(COUNTIFS('11_04_11_10'!E:E,'11_04_11_10 Acc Rate'!C42,'11_04_11_10'!O:O,"*M*"),COUNTIFS('11_04_11_10'!E:E,'11_04_11_10 Acc Rate'!C42,'11_04_11_10'!R:R,"*M*")))</f>
        <v/>
      </c>
      <c r="T42" s="1" t="str">
        <f>IF(SUM(COUNTIFS('11_04_11_10'!E:E,'11_04_11_10 Acc Rate'!C42,'11_04_11_10'!P:P,"*E*"),COUNTIFS('11_04_11_10'!E:E,'11_04_11_10 Acc Rate'!C42,'11_04_11_10'!S:S,"*E*"))=0,"",SUM(COUNTIFS('11_04_11_10'!E:E,'11_04_11_10 Acc Rate'!C42,'11_04_11_10'!P:P,"*E*"),COUNTIFS('11_04_11_10'!E:E,'11_04_11_10 Acc Rate'!C42,'11_04_11_10'!S:S,"*E*")))</f>
        <v/>
      </c>
      <c r="U42" s="8">
        <f t="shared" si="1"/>
        <v>0</v>
      </c>
    </row>
    <row r="43" spans="2:21" ht="15" customHeight="1" x14ac:dyDescent="0.25">
      <c r="B43" s="1" t="s">
        <v>678</v>
      </c>
      <c r="C43" s="1" t="s">
        <v>679</v>
      </c>
      <c r="D43" s="1" t="s">
        <v>680</v>
      </c>
      <c r="E43"/>
      <c r="F43" t="s">
        <v>681</v>
      </c>
      <c r="G43" t="s">
        <v>682</v>
      </c>
      <c r="H43" t="s">
        <v>583</v>
      </c>
      <c r="I43" t="s">
        <v>683</v>
      </c>
      <c r="J43" t="s">
        <v>607</v>
      </c>
      <c r="K43"/>
      <c r="L43"/>
      <c r="M43">
        <v>1</v>
      </c>
      <c r="N43"/>
      <c r="O43"/>
      <c r="P43"/>
      <c r="Q43" s="7"/>
      <c r="R43" s="27" t="str">
        <f t="shared" si="0"/>
        <v/>
      </c>
      <c r="S43" s="27" t="str">
        <f>IF(SUM(COUNTIFS('11_04_11_10'!E:E,'11_04_11_10 Acc Rate'!C43,'11_04_11_10'!O:O,"*M*"),COUNTIFS('11_04_11_10'!E:E,'11_04_11_10 Acc Rate'!C43,'11_04_11_10'!R:R,"*M*"))=0,"",SUM(COUNTIFS('11_04_11_10'!E:E,'11_04_11_10 Acc Rate'!C43,'11_04_11_10'!O:O,"*M*"),COUNTIFS('11_04_11_10'!E:E,'11_04_11_10 Acc Rate'!C43,'11_04_11_10'!R:R,"*M*")))</f>
        <v/>
      </c>
      <c r="T43" s="1" t="str">
        <f>IF(SUM(COUNTIFS('11_04_11_10'!E:E,'11_04_11_10 Acc Rate'!C43,'11_04_11_10'!P:P,"*E*"),COUNTIFS('11_04_11_10'!E:E,'11_04_11_10 Acc Rate'!C43,'11_04_11_10'!S:S,"*E*"))=0,"",SUM(COUNTIFS('11_04_11_10'!E:E,'11_04_11_10 Acc Rate'!C43,'11_04_11_10'!P:P,"*E*"),COUNTIFS('11_04_11_10'!E:E,'11_04_11_10 Acc Rate'!C43,'11_04_11_10'!S:S,"*E*")))</f>
        <v/>
      </c>
      <c r="U43" s="8" t="str">
        <f t="shared" si="1"/>
        <v/>
      </c>
    </row>
    <row r="44" spans="2:21" ht="15" customHeight="1" x14ac:dyDescent="0.25">
      <c r="B44" s="1" t="s">
        <v>684</v>
      </c>
      <c r="C44" s="1" t="s">
        <v>84</v>
      </c>
      <c r="D44" s="1" t="s">
        <v>273</v>
      </c>
      <c r="E44"/>
      <c r="F44" t="s">
        <v>685</v>
      </c>
      <c r="G44" t="s">
        <v>686</v>
      </c>
      <c r="H44" t="s">
        <v>583</v>
      </c>
      <c r="I44" t="s">
        <v>687</v>
      </c>
      <c r="J44" t="s">
        <v>688</v>
      </c>
      <c r="K44" t="s">
        <v>683</v>
      </c>
      <c r="L44"/>
      <c r="M44">
        <v>1</v>
      </c>
      <c r="N44"/>
      <c r="O44"/>
      <c r="P44"/>
      <c r="Q44" s="7"/>
      <c r="R44" s="27" t="str">
        <f t="shared" si="0"/>
        <v/>
      </c>
      <c r="S44" s="27" t="str">
        <f>IF(SUM(COUNTIFS('11_04_11_10'!E:E,'11_04_11_10 Acc Rate'!C44,'11_04_11_10'!O:O,"*M*"),COUNTIFS('11_04_11_10'!E:E,'11_04_11_10 Acc Rate'!C44,'11_04_11_10'!R:R,"*M*"))=0,"",SUM(COUNTIFS('11_04_11_10'!E:E,'11_04_11_10 Acc Rate'!C44,'11_04_11_10'!O:O,"*M*"),COUNTIFS('11_04_11_10'!E:E,'11_04_11_10 Acc Rate'!C44,'11_04_11_10'!R:R,"*M*")))</f>
        <v/>
      </c>
      <c r="T44" s="1" t="str">
        <f>IF(SUM(COUNTIFS('11_04_11_10'!E:E,'11_04_11_10 Acc Rate'!C44,'11_04_11_10'!P:P,"*E*"),COUNTIFS('11_04_11_10'!E:E,'11_04_11_10 Acc Rate'!C44,'11_04_11_10'!S:S,"*E*"))=0,"",SUM(COUNTIFS('11_04_11_10'!E:E,'11_04_11_10 Acc Rate'!C44,'11_04_11_10'!P:P,"*E*"),COUNTIFS('11_04_11_10'!E:E,'11_04_11_10 Acc Rate'!C44,'11_04_11_10'!S:S,"*E*")))</f>
        <v/>
      </c>
      <c r="U44" s="8" t="str">
        <f t="shared" si="1"/>
        <v/>
      </c>
    </row>
    <row r="45" spans="2:21" ht="15" customHeight="1" x14ac:dyDescent="0.25">
      <c r="B45" s="1" t="s">
        <v>689</v>
      </c>
      <c r="C45" s="1" t="s">
        <v>690</v>
      </c>
      <c r="D45" s="1" t="s">
        <v>691</v>
      </c>
      <c r="E45"/>
      <c r="F45" t="s">
        <v>692</v>
      </c>
      <c r="G45" t="s">
        <v>693</v>
      </c>
      <c r="H45" t="s">
        <v>583</v>
      </c>
      <c r="I45" t="s">
        <v>694</v>
      </c>
      <c r="J45" t="s">
        <v>688</v>
      </c>
      <c r="K45" t="s">
        <v>683</v>
      </c>
      <c r="L45"/>
      <c r="M45">
        <v>1</v>
      </c>
      <c r="N45"/>
      <c r="O45"/>
      <c r="P45"/>
      <c r="Q45" s="7"/>
      <c r="R45" s="27" t="str">
        <f t="shared" si="0"/>
        <v/>
      </c>
      <c r="S45" s="27" t="str">
        <f>IF(SUM(COUNTIFS('11_04_11_10'!E:E,'11_04_11_10 Acc Rate'!C45,'11_04_11_10'!O:O,"*M*"),COUNTIFS('11_04_11_10'!E:E,'11_04_11_10 Acc Rate'!C45,'11_04_11_10'!R:R,"*M*"))=0,"",SUM(COUNTIFS('11_04_11_10'!E:E,'11_04_11_10 Acc Rate'!C45,'11_04_11_10'!O:O,"*M*"),COUNTIFS('11_04_11_10'!E:E,'11_04_11_10 Acc Rate'!C45,'11_04_11_10'!R:R,"*M*")))</f>
        <v/>
      </c>
      <c r="T45" s="1" t="str">
        <f>IF(SUM(COUNTIFS('11_04_11_10'!E:E,'11_04_11_10 Acc Rate'!C45,'11_04_11_10'!P:P,"*E*"),COUNTIFS('11_04_11_10'!E:E,'11_04_11_10 Acc Rate'!C45,'11_04_11_10'!S:S,"*E*"))=0,"",SUM(COUNTIFS('11_04_11_10'!E:E,'11_04_11_10 Acc Rate'!C45,'11_04_11_10'!P:P,"*E*"),COUNTIFS('11_04_11_10'!E:E,'11_04_11_10 Acc Rate'!C45,'11_04_11_10'!S:S,"*E*")))</f>
        <v/>
      </c>
      <c r="U45" s="8" t="str">
        <f t="shared" si="1"/>
        <v/>
      </c>
    </row>
    <row r="46" spans="2:21" ht="15" customHeight="1" x14ac:dyDescent="0.25">
      <c r="B46" s="1" t="s">
        <v>695</v>
      </c>
      <c r="C46" s="1" t="s">
        <v>696</v>
      </c>
      <c r="D46" s="1" t="s">
        <v>697</v>
      </c>
      <c r="E46"/>
      <c r="F46" t="s">
        <v>698</v>
      </c>
      <c r="G46" t="s">
        <v>699</v>
      </c>
      <c r="H46" t="s">
        <v>583</v>
      </c>
      <c r="I46" t="s">
        <v>700</v>
      </c>
      <c r="J46" t="s">
        <v>607</v>
      </c>
      <c r="K46"/>
      <c r="L46"/>
      <c r="M46">
        <v>1</v>
      </c>
      <c r="N46"/>
      <c r="O46"/>
      <c r="P46"/>
      <c r="Q46" s="7">
        <v>1</v>
      </c>
      <c r="R46" s="27">
        <f t="shared" si="0"/>
        <v>1</v>
      </c>
      <c r="S46" s="27" t="str">
        <f>IF(SUM(COUNTIFS('11_04_11_10'!E:E,'11_04_11_10 Acc Rate'!C46,'11_04_11_10'!O:O,"*M*"),COUNTIFS('11_04_11_10'!E:E,'11_04_11_10 Acc Rate'!C46,'11_04_11_10'!R:R,"*M*"))=0,"",SUM(COUNTIFS('11_04_11_10'!E:E,'11_04_11_10 Acc Rate'!C46,'11_04_11_10'!O:O,"*M*"),COUNTIFS('11_04_11_10'!E:E,'11_04_11_10 Acc Rate'!C46,'11_04_11_10'!R:R,"*M*")))</f>
        <v/>
      </c>
      <c r="T46" s="1" t="str">
        <f>IF(SUM(COUNTIFS('11_04_11_10'!E:E,'11_04_11_10 Acc Rate'!C46,'11_04_11_10'!P:P,"*E*"),COUNTIFS('11_04_11_10'!E:E,'11_04_11_10 Acc Rate'!C46,'11_04_11_10'!S:S,"*E*"))=0,"",SUM(COUNTIFS('11_04_11_10'!E:E,'11_04_11_10 Acc Rate'!C46,'11_04_11_10'!P:P,"*E*"),COUNTIFS('11_04_11_10'!E:E,'11_04_11_10 Acc Rate'!C46,'11_04_11_10'!S:S,"*E*")))</f>
        <v/>
      </c>
      <c r="U46" s="8">
        <f t="shared" si="1"/>
        <v>0</v>
      </c>
    </row>
    <row r="47" spans="2:21" ht="15" customHeight="1" x14ac:dyDescent="0.25">
      <c r="B47" s="1" t="s">
        <v>701</v>
      </c>
      <c r="C47" s="1" t="s">
        <v>696</v>
      </c>
      <c r="D47" s="1" t="s">
        <v>702</v>
      </c>
      <c r="E47"/>
      <c r="F47" t="s">
        <v>703</v>
      </c>
      <c r="G47" t="s">
        <v>704</v>
      </c>
      <c r="H47" t="s">
        <v>583</v>
      </c>
      <c r="I47" t="s">
        <v>705</v>
      </c>
      <c r="J47" t="s">
        <v>706</v>
      </c>
      <c r="K47" t="s">
        <v>700</v>
      </c>
      <c r="L47"/>
      <c r="M47">
        <v>1</v>
      </c>
      <c r="N47"/>
      <c r="O47"/>
      <c r="P47"/>
      <c r="Q47" s="7"/>
      <c r="R47" s="27" t="str">
        <f t="shared" si="0"/>
        <v/>
      </c>
      <c r="S47" s="27" t="str">
        <f>IF(SUM(COUNTIFS('11_04_11_10'!E:E,'11_04_11_10 Acc Rate'!C47,'11_04_11_10'!O:O,"*M*"),COUNTIFS('11_04_11_10'!E:E,'11_04_11_10 Acc Rate'!C47,'11_04_11_10'!R:R,"*M*"))=0,"",SUM(COUNTIFS('11_04_11_10'!E:E,'11_04_11_10 Acc Rate'!C47,'11_04_11_10'!O:O,"*M*"),COUNTIFS('11_04_11_10'!E:E,'11_04_11_10 Acc Rate'!C47,'11_04_11_10'!R:R,"*M*")))</f>
        <v/>
      </c>
      <c r="T47" s="1" t="str">
        <f>IF(SUM(COUNTIFS('11_04_11_10'!E:E,'11_04_11_10 Acc Rate'!C47,'11_04_11_10'!P:P,"*E*"),COUNTIFS('11_04_11_10'!E:E,'11_04_11_10 Acc Rate'!C47,'11_04_11_10'!S:S,"*E*"))=0,"",SUM(COUNTIFS('11_04_11_10'!E:E,'11_04_11_10 Acc Rate'!C47,'11_04_11_10'!P:P,"*E*"),COUNTIFS('11_04_11_10'!E:E,'11_04_11_10 Acc Rate'!C47,'11_04_11_10'!S:S,"*E*")))</f>
        <v/>
      </c>
      <c r="U47" s="8" t="str">
        <f t="shared" si="1"/>
        <v/>
      </c>
    </row>
    <row r="48" spans="2:21" ht="15" customHeight="1" x14ac:dyDescent="0.25">
      <c r="B48" s="1" t="s">
        <v>707</v>
      </c>
      <c r="C48" s="1" t="s">
        <v>708</v>
      </c>
      <c r="D48" s="1" t="s">
        <v>709</v>
      </c>
      <c r="E48"/>
      <c r="F48" t="s">
        <v>710</v>
      </c>
      <c r="G48" t="s">
        <v>711</v>
      </c>
      <c r="H48" t="s">
        <v>583</v>
      </c>
      <c r="I48" t="s">
        <v>712</v>
      </c>
      <c r="J48" t="s">
        <v>706</v>
      </c>
      <c r="K48" t="s">
        <v>700</v>
      </c>
      <c r="L48"/>
      <c r="M48">
        <v>1</v>
      </c>
      <c r="N48"/>
      <c r="O48"/>
      <c r="P48"/>
      <c r="Q48" s="7"/>
      <c r="R48" s="27" t="str">
        <f t="shared" si="0"/>
        <v/>
      </c>
      <c r="S48" s="27" t="str">
        <f>IF(SUM(COUNTIFS('11_04_11_10'!E:E,'11_04_11_10 Acc Rate'!C48,'11_04_11_10'!O:O,"*M*"),COUNTIFS('11_04_11_10'!E:E,'11_04_11_10 Acc Rate'!C48,'11_04_11_10'!R:R,"*M*"))=0,"",SUM(COUNTIFS('11_04_11_10'!E:E,'11_04_11_10 Acc Rate'!C48,'11_04_11_10'!O:O,"*M*"),COUNTIFS('11_04_11_10'!E:E,'11_04_11_10 Acc Rate'!C48,'11_04_11_10'!R:R,"*M*")))</f>
        <v/>
      </c>
      <c r="T48" s="1" t="str">
        <f>IF(SUM(COUNTIFS('11_04_11_10'!E:E,'11_04_11_10 Acc Rate'!C48,'11_04_11_10'!P:P,"*E*"),COUNTIFS('11_04_11_10'!E:E,'11_04_11_10 Acc Rate'!C48,'11_04_11_10'!S:S,"*E*"))=0,"",SUM(COUNTIFS('11_04_11_10'!E:E,'11_04_11_10 Acc Rate'!C48,'11_04_11_10'!P:P,"*E*"),COUNTIFS('11_04_11_10'!E:E,'11_04_11_10 Acc Rate'!C48,'11_04_11_10'!S:S,"*E*")))</f>
        <v/>
      </c>
      <c r="U48" s="8" t="str">
        <f t="shared" si="1"/>
        <v/>
      </c>
    </row>
    <row r="49" spans="2:21" ht="15" customHeight="1" x14ac:dyDescent="0.25">
      <c r="B49" s="1" t="s">
        <v>713</v>
      </c>
      <c r="C49" s="1" t="s">
        <v>714</v>
      </c>
      <c r="D49" s="1" t="s">
        <v>715</v>
      </c>
      <c r="E49"/>
      <c r="F49" t="s">
        <v>716</v>
      </c>
      <c r="G49" t="s">
        <v>717</v>
      </c>
      <c r="H49" t="s">
        <v>583</v>
      </c>
      <c r="I49" t="s">
        <v>718</v>
      </c>
      <c r="J49" t="s">
        <v>706</v>
      </c>
      <c r="K49" t="s">
        <v>700</v>
      </c>
      <c r="L49"/>
      <c r="M49">
        <v>1</v>
      </c>
      <c r="N49"/>
      <c r="O49"/>
      <c r="P49"/>
      <c r="Q49" s="7">
        <v>3</v>
      </c>
      <c r="R49" s="27">
        <f t="shared" si="0"/>
        <v>3</v>
      </c>
      <c r="S49" s="27" t="str">
        <f>IF(SUM(COUNTIFS('11_04_11_10'!E:E,'11_04_11_10 Acc Rate'!C49,'11_04_11_10'!O:O,"*M*"),COUNTIFS('11_04_11_10'!E:E,'11_04_11_10 Acc Rate'!C49,'11_04_11_10'!R:R,"*M*"))=0,"",SUM(COUNTIFS('11_04_11_10'!E:E,'11_04_11_10 Acc Rate'!C49,'11_04_11_10'!O:O,"*M*"),COUNTIFS('11_04_11_10'!E:E,'11_04_11_10 Acc Rate'!C49,'11_04_11_10'!R:R,"*M*")))</f>
        <v/>
      </c>
      <c r="T49" s="1" t="str">
        <f>IF(SUM(COUNTIFS('11_04_11_10'!E:E,'11_04_11_10 Acc Rate'!C49,'11_04_11_10'!P:P,"*E*"),COUNTIFS('11_04_11_10'!E:E,'11_04_11_10 Acc Rate'!C49,'11_04_11_10'!S:S,"*E*"))=0,"",SUM(COUNTIFS('11_04_11_10'!E:E,'11_04_11_10 Acc Rate'!C49,'11_04_11_10'!P:P,"*E*"),COUNTIFS('11_04_11_10'!E:E,'11_04_11_10 Acc Rate'!C49,'11_04_11_10'!S:S,"*E*")))</f>
        <v/>
      </c>
      <c r="U49" s="8">
        <f t="shared" si="1"/>
        <v>0</v>
      </c>
    </row>
    <row r="50" spans="2:21" ht="15" customHeight="1" x14ac:dyDescent="0.25">
      <c r="B50" s="1" t="s">
        <v>719</v>
      </c>
      <c r="C50" s="1" t="s">
        <v>556</v>
      </c>
      <c r="D50" s="1" t="s">
        <v>720</v>
      </c>
      <c r="E50"/>
      <c r="F50" t="s">
        <v>721</v>
      </c>
      <c r="G50" t="s">
        <v>722</v>
      </c>
      <c r="H50" t="s">
        <v>583</v>
      </c>
      <c r="I50" t="s">
        <v>723</v>
      </c>
      <c r="J50" t="s">
        <v>706</v>
      </c>
      <c r="K50" t="s">
        <v>700</v>
      </c>
      <c r="L50"/>
      <c r="M50">
        <v>1</v>
      </c>
      <c r="N50"/>
      <c r="O50"/>
      <c r="P50"/>
      <c r="Q50" s="7"/>
      <c r="R50" s="27" t="str">
        <f t="shared" si="0"/>
        <v/>
      </c>
      <c r="S50" s="27" t="str">
        <f>IF(SUM(COUNTIFS('11_04_11_10'!E:E,'11_04_11_10 Acc Rate'!C50,'11_04_11_10'!O:O,"*M*"),COUNTIFS('11_04_11_10'!E:E,'11_04_11_10 Acc Rate'!C50,'11_04_11_10'!R:R,"*M*"))=0,"",SUM(COUNTIFS('11_04_11_10'!E:E,'11_04_11_10 Acc Rate'!C50,'11_04_11_10'!O:O,"*M*"),COUNTIFS('11_04_11_10'!E:E,'11_04_11_10 Acc Rate'!C50,'11_04_11_10'!R:R,"*M*")))</f>
        <v/>
      </c>
      <c r="T50" s="1" t="str">
        <f>IF(SUM(COUNTIFS('11_04_11_10'!E:E,'11_04_11_10 Acc Rate'!C50,'11_04_11_10'!P:P,"*E*"),COUNTIFS('11_04_11_10'!E:E,'11_04_11_10 Acc Rate'!C50,'11_04_11_10'!S:S,"*E*"))=0,"",SUM(COUNTIFS('11_04_11_10'!E:E,'11_04_11_10 Acc Rate'!C50,'11_04_11_10'!P:P,"*E*"),COUNTIFS('11_04_11_10'!E:E,'11_04_11_10 Acc Rate'!C50,'11_04_11_10'!S:S,"*E*")))</f>
        <v/>
      </c>
      <c r="U50" s="8"/>
    </row>
    <row r="51" spans="2:21" x14ac:dyDescent="0.25">
      <c r="M51" s="1" t="s">
        <v>724</v>
      </c>
      <c r="Q51" s="1">
        <f>SUM(Q3:Q49)</f>
        <v>6600</v>
      </c>
      <c r="R51" s="27">
        <f>SUM(R3:R49)</f>
        <v>6586</v>
      </c>
      <c r="S51" s="27">
        <f>SUM(S3:S49)</f>
        <v>5</v>
      </c>
      <c r="T51" s="1">
        <f>SUM(T3:T49)</f>
        <v>9</v>
      </c>
      <c r="U51" s="2">
        <f>IFERROR(SUM(S50*8+T50*2)/Q50,0)</f>
        <v>0</v>
      </c>
    </row>
  </sheetData>
  <mergeCells count="3">
    <mergeCell ref="W3:X3"/>
    <mergeCell ref="W7:X7"/>
    <mergeCell ref="W8:X8"/>
  </mergeCells>
  <conditionalFormatting sqref="B1:P1048576">
    <cfRule type="expression" dxfId="145" priority="6">
      <formula>$H1="Service Center"</formula>
    </cfRule>
    <cfRule type="expression" dxfId="144" priority="7">
      <formula>$H1="COBRA"</formula>
    </cfRule>
    <cfRule type="expression" dxfId="143" priority="8">
      <formula>$H1="Claims"</formula>
    </cfRule>
  </conditionalFormatting>
  <conditionalFormatting sqref="B1:U1048576">
    <cfRule type="expression" dxfId="142" priority="4">
      <formula>NOT(ISBLANK($B1))</formula>
    </cfRule>
    <cfRule type="expression" dxfId="141" priority="5">
      <formula>AND($H1="Service Center",$M1=15)</formula>
    </cfRule>
    <cfRule type="expression" dxfId="140" priority="9">
      <formula>$B1="Full Name"</formula>
    </cfRule>
    <cfRule type="expression" dxfId="139" priority="10">
      <formula>$M1="Totals"</formula>
    </cfRule>
  </conditionalFormatting>
  <conditionalFormatting sqref="Q2">
    <cfRule type="expression" dxfId="138" priority="1">
      <formula>$H2="Service Center"</formula>
    </cfRule>
    <cfRule type="expression" dxfId="137" priority="2">
      <formula>$H2="COBRA"</formula>
    </cfRule>
    <cfRule type="expression" dxfId="136" priority="3">
      <formula>$H2="Claims"</formula>
    </cfRule>
  </conditionalFormatting>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558009-F090-4ADA-88C9-374625B7D4C7}">
  <sheetPr codeName="Sheet21"/>
  <dimension ref="A1:U181"/>
  <sheetViews>
    <sheetView topLeftCell="A156" workbookViewId="0">
      <selection activeCell="N167" sqref="N167"/>
    </sheetView>
  </sheetViews>
  <sheetFormatPr defaultRowHeight="15" x14ac:dyDescent="0.25"/>
  <cols>
    <col min="1" max="1" width="8.7109375" customWidth="1"/>
    <col min="2" max="2" width="10.7109375" customWidth="1"/>
    <col min="3" max="3" width="8.7109375" customWidth="1"/>
    <col min="4" max="4" width="12.7109375" customWidth="1"/>
    <col min="5" max="6" width="15.7109375" customWidth="1"/>
    <col min="7" max="7" width="40.7109375" customWidth="1"/>
    <col min="8" max="9" width="15.7109375" customWidth="1"/>
    <col min="10" max="12" width="10.7109375" customWidth="1"/>
    <col min="13" max="13" width="13.7109375" style="21" customWidth="1"/>
    <col min="14" max="14" width="12.7109375" customWidth="1"/>
    <col min="15" max="16" width="10.7109375" customWidth="1"/>
    <col min="17" max="17" width="30.7109375" customWidth="1"/>
    <col min="18" max="19" width="17.7109375" customWidth="1"/>
    <col min="20" max="20" width="30.7109375" customWidth="1"/>
    <col min="21" max="21" width="8.7109375" customWidth="1"/>
  </cols>
  <sheetData>
    <row r="1" spans="1:21" ht="38.25" x14ac:dyDescent="0.25">
      <c r="A1" s="42" t="s">
        <v>0</v>
      </c>
      <c r="B1" s="42" t="s">
        <v>1</v>
      </c>
      <c r="C1" s="42" t="s">
        <v>2</v>
      </c>
      <c r="D1" s="42" t="s">
        <v>3</v>
      </c>
      <c r="E1" s="42" t="s">
        <v>4</v>
      </c>
      <c r="F1" s="42" t="s">
        <v>5</v>
      </c>
      <c r="G1" s="42" t="s">
        <v>6</v>
      </c>
      <c r="H1" s="42" t="s">
        <v>7</v>
      </c>
      <c r="I1" s="42" t="s">
        <v>8</v>
      </c>
      <c r="J1" s="42" t="s">
        <v>9</v>
      </c>
      <c r="K1" s="42" t="s">
        <v>10</v>
      </c>
      <c r="L1" s="42" t="s">
        <v>11</v>
      </c>
      <c r="M1" s="43" t="s">
        <v>12</v>
      </c>
      <c r="N1" s="42" t="s">
        <v>13</v>
      </c>
      <c r="O1" s="42" t="s">
        <v>14</v>
      </c>
      <c r="P1" s="42" t="s">
        <v>15</v>
      </c>
      <c r="Q1" s="42" t="s">
        <v>16</v>
      </c>
      <c r="R1" s="42" t="s">
        <v>17</v>
      </c>
      <c r="S1" s="42" t="s">
        <v>18</v>
      </c>
      <c r="T1" s="42" t="s">
        <v>16</v>
      </c>
      <c r="U1" s="44" t="s">
        <v>19</v>
      </c>
    </row>
    <row r="2" spans="1:21" x14ac:dyDescent="0.25">
      <c r="A2" s="45" t="s">
        <v>20</v>
      </c>
      <c r="B2" s="46">
        <v>45737</v>
      </c>
      <c r="C2" s="45" t="s">
        <v>168</v>
      </c>
      <c r="D2" s="47"/>
      <c r="E2" s="45" t="s">
        <v>563</v>
      </c>
      <c r="F2" s="45" t="s">
        <v>564</v>
      </c>
      <c r="G2" s="45" t="s">
        <v>1840</v>
      </c>
      <c r="H2" s="45" t="s">
        <v>1841</v>
      </c>
      <c r="I2" s="45" t="s">
        <v>1842</v>
      </c>
      <c r="J2" s="45">
        <v>355403873</v>
      </c>
      <c r="K2" s="45" t="s">
        <v>1843</v>
      </c>
      <c r="L2" s="48">
        <v>30</v>
      </c>
      <c r="M2" s="49">
        <v>202411111170</v>
      </c>
      <c r="N2" s="50" t="s">
        <v>28</v>
      </c>
      <c r="O2" s="50"/>
      <c r="P2" s="50"/>
      <c r="Q2" s="51"/>
      <c r="R2" s="50"/>
      <c r="S2" s="50"/>
      <c r="T2" s="51"/>
      <c r="U2" s="50"/>
    </row>
    <row r="3" spans="1:21" ht="45" x14ac:dyDescent="0.25">
      <c r="A3" s="45" t="s">
        <v>20</v>
      </c>
      <c r="B3" s="46">
        <v>45737</v>
      </c>
      <c r="C3" s="45" t="s">
        <v>168</v>
      </c>
      <c r="D3" s="47"/>
      <c r="E3" s="45" t="s">
        <v>563</v>
      </c>
      <c r="F3" s="45" t="s">
        <v>564</v>
      </c>
      <c r="G3" s="45" t="s">
        <v>30</v>
      </c>
      <c r="H3" s="45" t="s">
        <v>1844</v>
      </c>
      <c r="I3" s="45" t="s">
        <v>1845</v>
      </c>
      <c r="J3" s="45">
        <v>560791860</v>
      </c>
      <c r="K3" s="45" t="s">
        <v>367</v>
      </c>
      <c r="L3" s="48">
        <v>10.46</v>
      </c>
      <c r="M3" s="49">
        <v>202411111154</v>
      </c>
      <c r="N3" s="50"/>
      <c r="O3" s="50"/>
      <c r="P3" s="50" t="s">
        <v>304</v>
      </c>
      <c r="Q3" s="51" t="s">
        <v>1846</v>
      </c>
      <c r="R3" s="50"/>
      <c r="S3" s="50"/>
      <c r="T3" s="51"/>
      <c r="U3" s="50"/>
    </row>
    <row r="4" spans="1:21" x14ac:dyDescent="0.25">
      <c r="A4" s="45" t="s">
        <v>20</v>
      </c>
      <c r="B4" s="46">
        <v>45737</v>
      </c>
      <c r="C4" s="45" t="s">
        <v>168</v>
      </c>
      <c r="D4" s="47"/>
      <c r="E4" s="45" t="s">
        <v>679</v>
      </c>
      <c r="F4" s="45" t="s">
        <v>680</v>
      </c>
      <c r="G4" s="45" t="s">
        <v>202</v>
      </c>
      <c r="H4" s="45" t="s">
        <v>1847</v>
      </c>
      <c r="I4" s="45" t="s">
        <v>914</v>
      </c>
      <c r="J4" s="45">
        <v>285783956</v>
      </c>
      <c r="K4" s="45" t="s">
        <v>83</v>
      </c>
      <c r="L4" s="48">
        <v>35</v>
      </c>
      <c r="M4" s="49">
        <v>20241114682</v>
      </c>
      <c r="N4" s="50" t="s">
        <v>28</v>
      </c>
      <c r="O4" s="50"/>
      <c r="P4" s="50"/>
      <c r="Q4" s="51"/>
      <c r="R4" s="50"/>
      <c r="S4" s="50"/>
      <c r="T4" s="51"/>
      <c r="U4" s="50"/>
    </row>
    <row r="5" spans="1:21" x14ac:dyDescent="0.25">
      <c r="A5" s="45" t="s">
        <v>20</v>
      </c>
      <c r="B5" s="46">
        <v>45737</v>
      </c>
      <c r="C5" s="45" t="s">
        <v>168</v>
      </c>
      <c r="D5" s="47"/>
      <c r="E5" s="45" t="s">
        <v>22</v>
      </c>
      <c r="F5" s="45" t="s">
        <v>23</v>
      </c>
      <c r="G5" s="45" t="s">
        <v>1475</v>
      </c>
      <c r="H5" s="45" t="s">
        <v>556</v>
      </c>
      <c r="I5" s="45" t="s">
        <v>1848</v>
      </c>
      <c r="J5" s="45">
        <v>528419764</v>
      </c>
      <c r="K5" s="45" t="s">
        <v>988</v>
      </c>
      <c r="L5" s="48">
        <v>40</v>
      </c>
      <c r="M5" s="49">
        <v>20241111788</v>
      </c>
      <c r="N5" s="50" t="s">
        <v>28</v>
      </c>
      <c r="O5" s="50"/>
      <c r="P5" s="50"/>
      <c r="Q5" s="51"/>
      <c r="R5" s="50"/>
      <c r="S5" s="50"/>
      <c r="T5" s="51"/>
      <c r="U5" s="50"/>
    </row>
    <row r="6" spans="1:21" x14ac:dyDescent="0.25">
      <c r="A6" s="45" t="s">
        <v>20</v>
      </c>
      <c r="B6" s="46">
        <v>45737</v>
      </c>
      <c r="C6" s="45" t="s">
        <v>168</v>
      </c>
      <c r="D6" s="47"/>
      <c r="E6" s="45" t="s">
        <v>22</v>
      </c>
      <c r="F6" s="45" t="s">
        <v>23</v>
      </c>
      <c r="G6" s="45" t="s">
        <v>1475</v>
      </c>
      <c r="H6" s="45" t="s">
        <v>556</v>
      </c>
      <c r="I6" s="45" t="s">
        <v>1848</v>
      </c>
      <c r="J6" s="45">
        <v>528419764</v>
      </c>
      <c r="K6" s="45" t="s">
        <v>741</v>
      </c>
      <c r="L6" s="48">
        <v>91.89</v>
      </c>
      <c r="M6" s="49">
        <v>20241111783</v>
      </c>
      <c r="N6" s="50" t="s">
        <v>28</v>
      </c>
      <c r="O6" s="50"/>
      <c r="P6" s="50"/>
      <c r="Q6" s="51"/>
      <c r="R6" s="50"/>
      <c r="S6" s="50"/>
      <c r="T6" s="51"/>
      <c r="U6" s="50"/>
    </row>
    <row r="7" spans="1:21" x14ac:dyDescent="0.25">
      <c r="A7" s="45" t="s">
        <v>20</v>
      </c>
      <c r="B7" s="46">
        <v>45737</v>
      </c>
      <c r="C7" s="45" t="s">
        <v>168</v>
      </c>
      <c r="D7" s="47" t="s">
        <v>1849</v>
      </c>
      <c r="E7" s="45" t="s">
        <v>22</v>
      </c>
      <c r="F7" s="45" t="s">
        <v>23</v>
      </c>
      <c r="G7" s="45" t="s">
        <v>1475</v>
      </c>
      <c r="H7" s="45" t="s">
        <v>556</v>
      </c>
      <c r="I7" s="45" t="s">
        <v>1848</v>
      </c>
      <c r="J7" s="45">
        <v>528419764</v>
      </c>
      <c r="K7" s="45" t="s">
        <v>1734</v>
      </c>
      <c r="L7" s="48">
        <v>40</v>
      </c>
      <c r="M7" s="49">
        <v>20241111813</v>
      </c>
      <c r="N7" s="50" t="s">
        <v>28</v>
      </c>
      <c r="O7" s="50"/>
      <c r="P7" s="50"/>
      <c r="Q7" s="51"/>
      <c r="R7" s="50"/>
      <c r="S7" s="50"/>
      <c r="T7" s="51"/>
      <c r="U7" s="50"/>
    </row>
    <row r="8" spans="1:21" x14ac:dyDescent="0.25">
      <c r="A8" s="45" t="s">
        <v>20</v>
      </c>
      <c r="B8" s="46">
        <v>45737</v>
      </c>
      <c r="C8" s="45" t="s">
        <v>168</v>
      </c>
      <c r="D8" s="47"/>
      <c r="E8" s="45" t="s">
        <v>22</v>
      </c>
      <c r="F8" s="45" t="s">
        <v>23</v>
      </c>
      <c r="G8" s="45" t="s">
        <v>1475</v>
      </c>
      <c r="H8" s="45" t="s">
        <v>556</v>
      </c>
      <c r="I8" s="45" t="s">
        <v>1848</v>
      </c>
      <c r="J8" s="45">
        <v>528419764</v>
      </c>
      <c r="K8" s="45" t="s">
        <v>1371</v>
      </c>
      <c r="L8" s="48">
        <v>30</v>
      </c>
      <c r="M8" s="49">
        <v>20241111868</v>
      </c>
      <c r="N8" s="50" t="s">
        <v>28</v>
      </c>
      <c r="O8" s="50"/>
      <c r="P8" s="50"/>
      <c r="Q8" s="51"/>
      <c r="R8" s="50"/>
      <c r="S8" s="50"/>
      <c r="T8" s="51"/>
      <c r="U8" s="50"/>
    </row>
    <row r="9" spans="1:21" x14ac:dyDescent="0.25">
      <c r="A9" s="45" t="s">
        <v>20</v>
      </c>
      <c r="B9" s="46">
        <v>45737</v>
      </c>
      <c r="C9" s="45" t="s">
        <v>168</v>
      </c>
      <c r="D9" s="47"/>
      <c r="E9" s="45" t="s">
        <v>22</v>
      </c>
      <c r="F9" s="45" t="s">
        <v>23</v>
      </c>
      <c r="G9" s="45" t="s">
        <v>1475</v>
      </c>
      <c r="H9" s="45" t="s">
        <v>556</v>
      </c>
      <c r="I9" s="45" t="s">
        <v>1848</v>
      </c>
      <c r="J9" s="45">
        <v>528419764</v>
      </c>
      <c r="K9" s="45" t="s">
        <v>80</v>
      </c>
      <c r="L9" s="48">
        <v>150</v>
      </c>
      <c r="M9" s="49">
        <v>20241111873</v>
      </c>
      <c r="N9" s="50" t="s">
        <v>28</v>
      </c>
      <c r="O9" s="50"/>
      <c r="P9" s="50"/>
      <c r="Q9" s="51"/>
      <c r="R9" s="50"/>
      <c r="S9" s="50"/>
      <c r="T9" s="51"/>
      <c r="U9" s="50"/>
    </row>
    <row r="10" spans="1:21" x14ac:dyDescent="0.25">
      <c r="A10" s="45" t="s">
        <v>20</v>
      </c>
      <c r="B10" s="46">
        <v>45737</v>
      </c>
      <c r="C10" s="45" t="s">
        <v>168</v>
      </c>
      <c r="D10" s="47"/>
      <c r="E10" s="45" t="s">
        <v>22</v>
      </c>
      <c r="F10" s="45" t="s">
        <v>23</v>
      </c>
      <c r="G10" s="45" t="s">
        <v>1475</v>
      </c>
      <c r="H10" s="45" t="s">
        <v>556</v>
      </c>
      <c r="I10" s="45" t="s">
        <v>1848</v>
      </c>
      <c r="J10" s="45">
        <v>528419764</v>
      </c>
      <c r="K10" s="45" t="s">
        <v>1779</v>
      </c>
      <c r="L10" s="48">
        <v>15</v>
      </c>
      <c r="M10" s="49">
        <v>20241111843</v>
      </c>
      <c r="N10" s="50" t="s">
        <v>28</v>
      </c>
      <c r="O10" s="50"/>
      <c r="P10" s="50"/>
      <c r="Q10" s="51"/>
      <c r="R10" s="50"/>
      <c r="S10" s="50"/>
      <c r="T10" s="51"/>
      <c r="U10" s="50"/>
    </row>
    <row r="11" spans="1:21" x14ac:dyDescent="0.25">
      <c r="A11" s="45" t="s">
        <v>20</v>
      </c>
      <c r="B11" s="46">
        <v>45737</v>
      </c>
      <c r="C11" s="45" t="s">
        <v>168</v>
      </c>
      <c r="D11" s="47"/>
      <c r="E11" s="45" t="s">
        <v>22</v>
      </c>
      <c r="F11" s="45" t="s">
        <v>23</v>
      </c>
      <c r="G11" s="45" t="s">
        <v>1475</v>
      </c>
      <c r="H11" s="45" t="s">
        <v>556</v>
      </c>
      <c r="I11" s="45" t="s">
        <v>1848</v>
      </c>
      <c r="J11" s="45">
        <v>528419764</v>
      </c>
      <c r="K11" s="45" t="s">
        <v>147</v>
      </c>
      <c r="L11" s="48">
        <v>30</v>
      </c>
      <c r="M11" s="49">
        <v>20241111856</v>
      </c>
      <c r="N11" s="50" t="s">
        <v>28</v>
      </c>
      <c r="O11" s="50"/>
      <c r="P11" s="50"/>
      <c r="Q11" s="51"/>
      <c r="R11" s="50"/>
      <c r="S11" s="50"/>
      <c r="T11" s="51"/>
      <c r="U11" s="50"/>
    </row>
    <row r="12" spans="1:21" x14ac:dyDescent="0.25">
      <c r="A12" s="45" t="s">
        <v>20</v>
      </c>
      <c r="B12" s="46">
        <v>45737</v>
      </c>
      <c r="C12" s="45" t="s">
        <v>168</v>
      </c>
      <c r="D12" s="47"/>
      <c r="E12" s="45" t="s">
        <v>22</v>
      </c>
      <c r="F12" s="45" t="s">
        <v>23</v>
      </c>
      <c r="G12" s="45" t="s">
        <v>1475</v>
      </c>
      <c r="H12" s="45" t="s">
        <v>556</v>
      </c>
      <c r="I12" s="45" t="s">
        <v>1848</v>
      </c>
      <c r="J12" s="45">
        <v>528419764</v>
      </c>
      <c r="K12" s="45" t="s">
        <v>1850</v>
      </c>
      <c r="L12" s="48">
        <v>50</v>
      </c>
      <c r="M12" s="49">
        <v>20241111862</v>
      </c>
      <c r="N12" s="50" t="s">
        <v>28</v>
      </c>
      <c r="O12" s="50"/>
      <c r="P12" s="50"/>
      <c r="Q12" s="51"/>
      <c r="R12" s="50"/>
      <c r="S12" s="50"/>
      <c r="T12" s="51"/>
      <c r="U12" s="50"/>
    </row>
    <row r="13" spans="1:21" x14ac:dyDescent="0.25">
      <c r="A13" s="45" t="s">
        <v>20</v>
      </c>
      <c r="B13" s="46">
        <v>45737</v>
      </c>
      <c r="C13" s="45" t="s">
        <v>244</v>
      </c>
      <c r="D13" s="47" t="s">
        <v>168</v>
      </c>
      <c r="E13" s="45" t="s">
        <v>22</v>
      </c>
      <c r="F13" s="45" t="s">
        <v>23</v>
      </c>
      <c r="G13" s="45" t="s">
        <v>210</v>
      </c>
      <c r="H13" s="45" t="s">
        <v>1851</v>
      </c>
      <c r="I13" s="45" t="s">
        <v>1852</v>
      </c>
      <c r="J13" s="45">
        <v>528811505</v>
      </c>
      <c r="K13" s="45" t="s">
        <v>1041</v>
      </c>
      <c r="L13" s="48">
        <v>299</v>
      </c>
      <c r="M13" s="49">
        <v>20241112431</v>
      </c>
      <c r="N13" s="50" t="s">
        <v>28</v>
      </c>
      <c r="O13" s="50"/>
      <c r="P13" s="50"/>
      <c r="Q13" s="51"/>
      <c r="R13" s="50"/>
      <c r="S13" s="50"/>
      <c r="T13" s="51"/>
      <c r="U13" s="50"/>
    </row>
    <row r="14" spans="1:21" ht="75" x14ac:dyDescent="0.25">
      <c r="A14" s="45" t="s">
        <v>20</v>
      </c>
      <c r="B14" s="46">
        <v>45737</v>
      </c>
      <c r="C14" s="45" t="s">
        <v>244</v>
      </c>
      <c r="D14" s="47" t="s">
        <v>168</v>
      </c>
      <c r="E14" s="45" t="s">
        <v>22</v>
      </c>
      <c r="F14" s="45" t="s">
        <v>23</v>
      </c>
      <c r="G14" s="45" t="s">
        <v>1486</v>
      </c>
      <c r="H14" s="45" t="s">
        <v>316</v>
      </c>
      <c r="I14" s="45" t="s">
        <v>1436</v>
      </c>
      <c r="J14" s="45">
        <v>529931760</v>
      </c>
      <c r="K14" s="45" t="s">
        <v>1853</v>
      </c>
      <c r="L14" s="48">
        <v>240</v>
      </c>
      <c r="M14" s="49">
        <v>202411111016</v>
      </c>
      <c r="N14" s="50"/>
      <c r="O14" s="50" t="s">
        <v>124</v>
      </c>
      <c r="P14" s="50"/>
      <c r="Q14" s="51" t="s">
        <v>1854</v>
      </c>
      <c r="R14" s="50"/>
      <c r="S14" s="50"/>
      <c r="T14" s="51"/>
      <c r="U14" s="50"/>
    </row>
    <row r="15" spans="1:21" ht="105" x14ac:dyDescent="0.25">
      <c r="A15" s="45" t="s">
        <v>20</v>
      </c>
      <c r="B15" s="46">
        <v>45737</v>
      </c>
      <c r="C15" s="45" t="s">
        <v>244</v>
      </c>
      <c r="D15" s="47" t="s">
        <v>168</v>
      </c>
      <c r="E15" s="45" t="s">
        <v>22</v>
      </c>
      <c r="F15" s="45" t="s">
        <v>23</v>
      </c>
      <c r="G15" s="45" t="s">
        <v>1478</v>
      </c>
      <c r="H15" s="45" t="s">
        <v>1855</v>
      </c>
      <c r="I15" s="45" t="s">
        <v>1856</v>
      </c>
      <c r="J15" s="45">
        <v>532042914</v>
      </c>
      <c r="K15" s="45" t="s">
        <v>196</v>
      </c>
      <c r="L15" s="48">
        <v>95</v>
      </c>
      <c r="M15" s="49">
        <v>202411011705</v>
      </c>
      <c r="N15" s="50"/>
      <c r="O15" s="50"/>
      <c r="P15" s="50" t="s">
        <v>304</v>
      </c>
      <c r="Q15" s="51" t="s">
        <v>1857</v>
      </c>
      <c r="R15" s="50"/>
      <c r="S15" s="50"/>
      <c r="T15" s="51"/>
      <c r="U15" s="50"/>
    </row>
    <row r="16" spans="1:21" x14ac:dyDescent="0.25">
      <c r="A16" s="45" t="s">
        <v>29</v>
      </c>
      <c r="B16" s="46">
        <v>45737</v>
      </c>
      <c r="C16" s="45" t="s">
        <v>244</v>
      </c>
      <c r="D16" s="47" t="s">
        <v>168</v>
      </c>
      <c r="E16" s="45" t="s">
        <v>22</v>
      </c>
      <c r="F16" s="45" t="s">
        <v>23</v>
      </c>
      <c r="G16" s="45" t="s">
        <v>1858</v>
      </c>
      <c r="H16" s="45" t="s">
        <v>1169</v>
      </c>
      <c r="I16" s="45" t="s">
        <v>1859</v>
      </c>
      <c r="J16" s="45">
        <v>539190762</v>
      </c>
      <c r="K16" s="45" t="s">
        <v>56</v>
      </c>
      <c r="L16" s="48">
        <v>1490</v>
      </c>
      <c r="M16" s="49">
        <v>20241106272</v>
      </c>
      <c r="N16" s="50" t="s">
        <v>28</v>
      </c>
      <c r="O16" s="50"/>
      <c r="P16" s="50"/>
      <c r="Q16" s="51"/>
      <c r="R16" s="50"/>
      <c r="S16" s="50"/>
      <c r="T16" s="51"/>
      <c r="U16" s="50"/>
    </row>
    <row r="17" spans="1:21" x14ac:dyDescent="0.25">
      <c r="A17" s="45" t="s">
        <v>20</v>
      </c>
      <c r="B17" s="46">
        <v>45737</v>
      </c>
      <c r="C17" s="45" t="s">
        <v>244</v>
      </c>
      <c r="D17" s="47" t="s">
        <v>168</v>
      </c>
      <c r="E17" s="45" t="s">
        <v>22</v>
      </c>
      <c r="F17" s="45" t="s">
        <v>23</v>
      </c>
      <c r="G17" s="45" t="s">
        <v>1860</v>
      </c>
      <c r="H17" s="45" t="s">
        <v>1861</v>
      </c>
      <c r="I17" s="45" t="s">
        <v>1862</v>
      </c>
      <c r="J17" s="45">
        <v>541923158</v>
      </c>
      <c r="K17" s="45" t="s">
        <v>1588</v>
      </c>
      <c r="L17" s="48">
        <v>48.72</v>
      </c>
      <c r="M17" s="49">
        <v>20241105539</v>
      </c>
      <c r="N17" s="50" t="s">
        <v>28</v>
      </c>
      <c r="O17" s="50"/>
      <c r="P17" s="50"/>
      <c r="Q17" s="51"/>
      <c r="R17" s="50"/>
      <c r="S17" s="50"/>
      <c r="T17" s="51"/>
      <c r="U17" s="50"/>
    </row>
    <row r="18" spans="1:21" x14ac:dyDescent="0.25">
      <c r="A18" s="45" t="s">
        <v>20</v>
      </c>
      <c r="B18" s="46">
        <v>45737</v>
      </c>
      <c r="C18" s="45" t="s">
        <v>244</v>
      </c>
      <c r="D18" s="47" t="s">
        <v>168</v>
      </c>
      <c r="E18" s="45" t="s">
        <v>22</v>
      </c>
      <c r="F18" s="45" t="s">
        <v>23</v>
      </c>
      <c r="G18" s="45" t="s">
        <v>1860</v>
      </c>
      <c r="H18" s="45" t="s">
        <v>1861</v>
      </c>
      <c r="I18" s="45" t="s">
        <v>1862</v>
      </c>
      <c r="J18" s="45">
        <v>541923158</v>
      </c>
      <c r="K18" s="45" t="s">
        <v>83</v>
      </c>
      <c r="L18" s="48">
        <v>48.39</v>
      </c>
      <c r="M18" s="49">
        <v>20241105554</v>
      </c>
      <c r="N18" s="50" t="s">
        <v>28</v>
      </c>
      <c r="O18" s="50"/>
      <c r="P18" s="50"/>
      <c r="Q18" s="51"/>
      <c r="R18" s="50"/>
      <c r="S18" s="50"/>
      <c r="T18" s="51"/>
      <c r="U18" s="50"/>
    </row>
    <row r="19" spans="1:21" x14ac:dyDescent="0.25">
      <c r="A19" s="45" t="s">
        <v>20</v>
      </c>
      <c r="B19" s="46">
        <v>45737</v>
      </c>
      <c r="C19" s="45" t="s">
        <v>244</v>
      </c>
      <c r="D19" s="47" t="s">
        <v>168</v>
      </c>
      <c r="E19" s="45" t="s">
        <v>22</v>
      </c>
      <c r="F19" s="45" t="s">
        <v>23</v>
      </c>
      <c r="G19" s="45" t="s">
        <v>1646</v>
      </c>
      <c r="H19" s="45" t="s">
        <v>1863</v>
      </c>
      <c r="I19" s="45" t="s">
        <v>1864</v>
      </c>
      <c r="J19" s="45">
        <v>569292599</v>
      </c>
      <c r="K19" s="45" t="s">
        <v>309</v>
      </c>
      <c r="L19" s="48">
        <v>1096</v>
      </c>
      <c r="M19" s="49">
        <v>20241024406</v>
      </c>
      <c r="N19" s="50" t="s">
        <v>28</v>
      </c>
      <c r="O19" s="50"/>
      <c r="P19" s="50"/>
      <c r="Q19" s="51"/>
      <c r="R19" s="50"/>
      <c r="S19" s="50"/>
      <c r="T19" s="51"/>
      <c r="U19" s="50"/>
    </row>
    <row r="20" spans="1:21" x14ac:dyDescent="0.25">
      <c r="A20" s="45" t="s">
        <v>20</v>
      </c>
      <c r="B20" s="46">
        <v>45737</v>
      </c>
      <c r="C20" s="45" t="s">
        <v>244</v>
      </c>
      <c r="D20" s="47" t="s">
        <v>168</v>
      </c>
      <c r="E20" s="45" t="s">
        <v>64</v>
      </c>
      <c r="F20" s="45" t="s">
        <v>65</v>
      </c>
      <c r="G20" s="45" t="s">
        <v>298</v>
      </c>
      <c r="H20" s="45" t="s">
        <v>1487</v>
      </c>
      <c r="I20" s="45" t="s">
        <v>1865</v>
      </c>
      <c r="J20" s="45">
        <v>72968</v>
      </c>
      <c r="K20" s="45" t="s">
        <v>1853</v>
      </c>
      <c r="L20" s="48">
        <v>52.35</v>
      </c>
      <c r="M20" s="49">
        <v>20241111478</v>
      </c>
      <c r="N20" s="50" t="s">
        <v>28</v>
      </c>
      <c r="O20" s="50"/>
      <c r="P20" s="50"/>
      <c r="Q20" s="51"/>
      <c r="R20" s="50"/>
      <c r="S20" s="50"/>
      <c r="T20" s="51"/>
      <c r="U20" s="50"/>
    </row>
    <row r="21" spans="1:21" x14ac:dyDescent="0.25">
      <c r="A21" s="45" t="s">
        <v>29</v>
      </c>
      <c r="B21" s="46">
        <v>45737</v>
      </c>
      <c r="C21" s="45" t="s">
        <v>244</v>
      </c>
      <c r="D21" s="47" t="s">
        <v>168</v>
      </c>
      <c r="E21" s="45" t="s">
        <v>64</v>
      </c>
      <c r="F21" s="45" t="s">
        <v>65</v>
      </c>
      <c r="G21" s="45" t="s">
        <v>1866</v>
      </c>
      <c r="H21" s="45" t="s">
        <v>1867</v>
      </c>
      <c r="I21" s="45" t="s">
        <v>1868</v>
      </c>
      <c r="J21" s="45">
        <v>30745561</v>
      </c>
      <c r="K21" s="45" t="s">
        <v>48</v>
      </c>
      <c r="L21" s="48">
        <v>1249.98</v>
      </c>
      <c r="M21" s="49">
        <v>20241111243</v>
      </c>
      <c r="N21" s="50" t="s">
        <v>28</v>
      </c>
      <c r="O21" s="50"/>
      <c r="P21" s="50"/>
      <c r="Q21" s="51"/>
      <c r="R21" s="50"/>
      <c r="S21" s="50"/>
      <c r="T21" s="51"/>
      <c r="U21" s="50"/>
    </row>
    <row r="22" spans="1:21" x14ac:dyDescent="0.25">
      <c r="A22" s="45" t="s">
        <v>29</v>
      </c>
      <c r="B22" s="46">
        <v>45737</v>
      </c>
      <c r="C22" s="45" t="s">
        <v>244</v>
      </c>
      <c r="D22" s="47" t="s">
        <v>168</v>
      </c>
      <c r="E22" s="45" t="s">
        <v>64</v>
      </c>
      <c r="F22" s="45" t="s">
        <v>65</v>
      </c>
      <c r="G22" s="45" t="s">
        <v>1866</v>
      </c>
      <c r="H22" s="45" t="s">
        <v>1869</v>
      </c>
      <c r="I22" s="45" t="s">
        <v>1870</v>
      </c>
      <c r="J22" s="45">
        <v>61767140</v>
      </c>
      <c r="K22" s="45" t="s">
        <v>1358</v>
      </c>
      <c r="L22" s="48">
        <v>1220</v>
      </c>
      <c r="M22" s="49">
        <v>20241111232</v>
      </c>
      <c r="N22" s="50" t="s">
        <v>28</v>
      </c>
      <c r="O22" s="50"/>
      <c r="P22" s="50"/>
      <c r="Q22" s="51"/>
      <c r="R22" s="50"/>
      <c r="S22" s="50"/>
      <c r="T22" s="51"/>
      <c r="U22" s="50"/>
    </row>
    <row r="23" spans="1:21" x14ac:dyDescent="0.25">
      <c r="A23" s="45" t="s">
        <v>314</v>
      </c>
      <c r="B23" s="46">
        <v>45737</v>
      </c>
      <c r="C23" s="45" t="s">
        <v>244</v>
      </c>
      <c r="D23" s="47" t="s">
        <v>168</v>
      </c>
      <c r="E23" s="45" t="s">
        <v>64</v>
      </c>
      <c r="F23" s="45" t="s">
        <v>65</v>
      </c>
      <c r="G23" s="45" t="s">
        <v>798</v>
      </c>
      <c r="H23" s="45" t="s">
        <v>1871</v>
      </c>
      <c r="I23" s="45" t="s">
        <v>1872</v>
      </c>
      <c r="J23" s="45">
        <v>75744148</v>
      </c>
      <c r="K23" s="45" t="s">
        <v>237</v>
      </c>
      <c r="L23" s="48">
        <v>29</v>
      </c>
      <c r="M23" s="49">
        <v>20241111875</v>
      </c>
      <c r="N23" s="50" t="s">
        <v>28</v>
      </c>
      <c r="O23" s="50"/>
      <c r="P23" s="50"/>
      <c r="Q23" s="51"/>
      <c r="R23" s="50"/>
      <c r="S23" s="50"/>
      <c r="T23" s="51"/>
      <c r="U23" s="50"/>
    </row>
    <row r="24" spans="1:21" x14ac:dyDescent="0.25">
      <c r="A24" s="45" t="s">
        <v>314</v>
      </c>
      <c r="B24" s="46">
        <v>45737</v>
      </c>
      <c r="C24" s="45" t="s">
        <v>34</v>
      </c>
      <c r="D24" s="47" t="s">
        <v>168</v>
      </c>
      <c r="E24" s="45" t="s">
        <v>64</v>
      </c>
      <c r="F24" s="45" t="s">
        <v>65</v>
      </c>
      <c r="G24" s="45" t="s">
        <v>798</v>
      </c>
      <c r="H24" s="45" t="s">
        <v>1871</v>
      </c>
      <c r="I24" s="45" t="s">
        <v>1872</v>
      </c>
      <c r="J24" s="45">
        <v>75744148</v>
      </c>
      <c r="K24" s="45" t="s">
        <v>237</v>
      </c>
      <c r="L24" s="48">
        <v>29</v>
      </c>
      <c r="M24" s="49">
        <v>20241111850</v>
      </c>
      <c r="N24" s="50" t="s">
        <v>28</v>
      </c>
      <c r="O24" s="50"/>
      <c r="P24" s="50"/>
      <c r="Q24" s="51"/>
      <c r="R24" s="50"/>
      <c r="S24" s="50"/>
      <c r="T24" s="51"/>
      <c r="U24" s="50"/>
    </row>
    <row r="25" spans="1:21" x14ac:dyDescent="0.25">
      <c r="A25" s="45" t="s">
        <v>314</v>
      </c>
      <c r="B25" s="46">
        <v>45737</v>
      </c>
      <c r="C25" s="45" t="s">
        <v>34</v>
      </c>
      <c r="D25" s="47" t="s">
        <v>168</v>
      </c>
      <c r="E25" s="45" t="s">
        <v>64</v>
      </c>
      <c r="F25" s="45" t="s">
        <v>65</v>
      </c>
      <c r="G25" s="45" t="s">
        <v>798</v>
      </c>
      <c r="H25" s="45" t="s">
        <v>1871</v>
      </c>
      <c r="I25" s="45" t="s">
        <v>1872</v>
      </c>
      <c r="J25" s="45">
        <v>75744148</v>
      </c>
      <c r="K25" s="45" t="s">
        <v>318</v>
      </c>
      <c r="L25" s="48">
        <v>43.5</v>
      </c>
      <c r="M25" s="49">
        <v>20241111877</v>
      </c>
      <c r="N25" s="50" t="s">
        <v>28</v>
      </c>
      <c r="O25" s="50"/>
      <c r="P25" s="50"/>
      <c r="Q25" s="51"/>
      <c r="R25" s="50"/>
      <c r="S25" s="50"/>
      <c r="T25" s="51"/>
      <c r="U25" s="50"/>
    </row>
    <row r="26" spans="1:21" x14ac:dyDescent="0.25">
      <c r="A26" s="45" t="s">
        <v>314</v>
      </c>
      <c r="B26" s="46">
        <v>45737</v>
      </c>
      <c r="C26" s="45" t="s">
        <v>34</v>
      </c>
      <c r="D26" s="47" t="s">
        <v>168</v>
      </c>
      <c r="E26" s="45" t="s">
        <v>64</v>
      </c>
      <c r="F26" s="45" t="s">
        <v>65</v>
      </c>
      <c r="G26" s="45" t="s">
        <v>798</v>
      </c>
      <c r="H26" s="45" t="s">
        <v>1871</v>
      </c>
      <c r="I26" s="45" t="s">
        <v>1872</v>
      </c>
      <c r="J26" s="45">
        <v>75744148</v>
      </c>
      <c r="K26" s="45" t="s">
        <v>241</v>
      </c>
      <c r="L26" s="48">
        <v>29</v>
      </c>
      <c r="M26" s="49">
        <v>20241111879</v>
      </c>
      <c r="N26" s="50" t="s">
        <v>28</v>
      </c>
      <c r="O26" s="50"/>
      <c r="P26" s="50"/>
      <c r="Q26" s="51"/>
      <c r="R26" s="50"/>
      <c r="S26" s="50"/>
      <c r="T26" s="51"/>
      <c r="U26" s="50"/>
    </row>
    <row r="27" spans="1:21" x14ac:dyDescent="0.25">
      <c r="A27" s="45" t="s">
        <v>314</v>
      </c>
      <c r="B27" s="46">
        <v>45737</v>
      </c>
      <c r="C27" s="45" t="s">
        <v>34</v>
      </c>
      <c r="D27" s="47" t="s">
        <v>168</v>
      </c>
      <c r="E27" s="45" t="s">
        <v>64</v>
      </c>
      <c r="F27" s="45" t="s">
        <v>65</v>
      </c>
      <c r="G27" s="45" t="s">
        <v>798</v>
      </c>
      <c r="H27" s="45" t="s">
        <v>1871</v>
      </c>
      <c r="I27" s="45" t="s">
        <v>1872</v>
      </c>
      <c r="J27" s="45">
        <v>75744148</v>
      </c>
      <c r="K27" s="45" t="s">
        <v>978</v>
      </c>
      <c r="L27" s="48">
        <v>43.5</v>
      </c>
      <c r="M27" s="49">
        <v>20241111880</v>
      </c>
      <c r="N27" s="50" t="s">
        <v>28</v>
      </c>
      <c r="O27" s="50"/>
      <c r="P27" s="50"/>
      <c r="Q27" s="51"/>
      <c r="R27" s="50"/>
      <c r="S27" s="50"/>
      <c r="T27" s="51"/>
      <c r="U27" s="50"/>
    </row>
    <row r="28" spans="1:21" x14ac:dyDescent="0.25">
      <c r="A28" s="45" t="s">
        <v>314</v>
      </c>
      <c r="B28" s="46">
        <v>45737</v>
      </c>
      <c r="C28" s="45" t="s">
        <v>34</v>
      </c>
      <c r="D28" s="47" t="s">
        <v>168</v>
      </c>
      <c r="E28" s="45" t="s">
        <v>64</v>
      </c>
      <c r="F28" s="45" t="s">
        <v>65</v>
      </c>
      <c r="G28" s="45" t="s">
        <v>798</v>
      </c>
      <c r="H28" s="45" t="s">
        <v>1871</v>
      </c>
      <c r="I28" s="45" t="s">
        <v>1872</v>
      </c>
      <c r="J28" s="45">
        <v>75744148</v>
      </c>
      <c r="K28" s="45" t="s">
        <v>184</v>
      </c>
      <c r="L28" s="48">
        <v>66.400000000000006</v>
      </c>
      <c r="M28" s="49">
        <v>20241111883</v>
      </c>
      <c r="N28" s="50" t="s">
        <v>28</v>
      </c>
      <c r="O28" s="50"/>
      <c r="P28" s="50"/>
      <c r="Q28" s="51"/>
      <c r="R28" s="50"/>
      <c r="S28" s="50"/>
      <c r="T28" s="51"/>
      <c r="U28" s="50"/>
    </row>
    <row r="29" spans="1:21" x14ac:dyDescent="0.25">
      <c r="A29" s="45" t="s">
        <v>314</v>
      </c>
      <c r="B29" s="46">
        <v>45737</v>
      </c>
      <c r="C29" s="45" t="s">
        <v>34</v>
      </c>
      <c r="D29" s="47" t="s">
        <v>168</v>
      </c>
      <c r="E29" s="45" t="s">
        <v>64</v>
      </c>
      <c r="F29" s="45" t="s">
        <v>65</v>
      </c>
      <c r="G29" s="45" t="s">
        <v>798</v>
      </c>
      <c r="H29" s="45" t="s">
        <v>1871</v>
      </c>
      <c r="I29" s="45" t="s">
        <v>1872</v>
      </c>
      <c r="J29" s="45">
        <v>75744148</v>
      </c>
      <c r="K29" s="45" t="s">
        <v>972</v>
      </c>
      <c r="L29" s="48">
        <v>72.5</v>
      </c>
      <c r="M29" s="49">
        <v>20241111876</v>
      </c>
      <c r="N29" s="50" t="s">
        <v>28</v>
      </c>
      <c r="O29" s="50"/>
      <c r="P29" s="50"/>
      <c r="Q29" s="51"/>
      <c r="R29" s="50"/>
      <c r="S29" s="50"/>
      <c r="T29" s="51"/>
      <c r="U29" s="50"/>
    </row>
    <row r="30" spans="1:21" x14ac:dyDescent="0.25">
      <c r="A30" s="45" t="s">
        <v>314</v>
      </c>
      <c r="B30" s="46">
        <v>45737</v>
      </c>
      <c r="C30" s="45" t="s">
        <v>34</v>
      </c>
      <c r="D30" s="47" t="s">
        <v>168</v>
      </c>
      <c r="E30" s="45" t="s">
        <v>64</v>
      </c>
      <c r="F30" s="45" t="s">
        <v>65</v>
      </c>
      <c r="G30" s="45" t="s">
        <v>798</v>
      </c>
      <c r="H30" s="45" t="s">
        <v>1871</v>
      </c>
      <c r="I30" s="45" t="s">
        <v>1872</v>
      </c>
      <c r="J30" s="45">
        <v>75744148</v>
      </c>
      <c r="K30" s="45" t="s">
        <v>422</v>
      </c>
      <c r="L30" s="48">
        <v>43.5</v>
      </c>
      <c r="M30" s="49">
        <v>20241111878</v>
      </c>
      <c r="N30" s="50" t="s">
        <v>28</v>
      </c>
      <c r="O30" s="50"/>
      <c r="P30" s="50"/>
      <c r="Q30" s="51"/>
      <c r="R30" s="50"/>
      <c r="S30" s="50"/>
      <c r="T30" s="51"/>
      <c r="U30" s="50"/>
    </row>
    <row r="31" spans="1:21" x14ac:dyDescent="0.25">
      <c r="A31" s="45" t="s">
        <v>314</v>
      </c>
      <c r="B31" s="46">
        <v>45737</v>
      </c>
      <c r="C31" s="45" t="s">
        <v>34</v>
      </c>
      <c r="D31" s="47" t="s">
        <v>168</v>
      </c>
      <c r="E31" s="45" t="s">
        <v>64</v>
      </c>
      <c r="F31" s="45" t="s">
        <v>65</v>
      </c>
      <c r="G31" s="45" t="s">
        <v>798</v>
      </c>
      <c r="H31" s="45" t="s">
        <v>1871</v>
      </c>
      <c r="I31" s="45" t="s">
        <v>1872</v>
      </c>
      <c r="J31" s="45">
        <v>75744148</v>
      </c>
      <c r="K31" s="45" t="s">
        <v>301</v>
      </c>
      <c r="L31" s="48">
        <v>33.200000000000003</v>
      </c>
      <c r="M31" s="49">
        <v>20241111881</v>
      </c>
      <c r="N31" s="50" t="s">
        <v>28</v>
      </c>
      <c r="O31" s="50"/>
      <c r="P31" s="50"/>
      <c r="Q31" s="51"/>
      <c r="R31" s="50"/>
      <c r="S31" s="50"/>
      <c r="T31" s="51"/>
      <c r="U31" s="50"/>
    </row>
    <row r="32" spans="1:21" x14ac:dyDescent="0.25">
      <c r="A32" s="45" t="s">
        <v>314</v>
      </c>
      <c r="B32" s="46">
        <v>45737</v>
      </c>
      <c r="C32" s="45" t="s">
        <v>34</v>
      </c>
      <c r="D32" s="47" t="s">
        <v>168</v>
      </c>
      <c r="E32" s="45" t="s">
        <v>64</v>
      </c>
      <c r="F32" s="45" t="s">
        <v>65</v>
      </c>
      <c r="G32" s="45" t="s">
        <v>798</v>
      </c>
      <c r="H32" s="45" t="s">
        <v>1871</v>
      </c>
      <c r="I32" s="45" t="s">
        <v>1872</v>
      </c>
      <c r="J32" s="45">
        <v>75744148</v>
      </c>
      <c r="K32" s="45" t="s">
        <v>48</v>
      </c>
      <c r="L32" s="48">
        <v>74.7</v>
      </c>
      <c r="M32" s="49">
        <v>20241111882</v>
      </c>
      <c r="N32" s="50" t="s">
        <v>28</v>
      </c>
      <c r="O32" s="50"/>
      <c r="P32" s="50"/>
      <c r="Q32" s="51"/>
      <c r="R32" s="50"/>
      <c r="S32" s="50"/>
      <c r="T32" s="51"/>
      <c r="U32" s="50"/>
    </row>
    <row r="33" spans="1:21" x14ac:dyDescent="0.25">
      <c r="A33" s="45" t="s">
        <v>314</v>
      </c>
      <c r="B33" s="46">
        <v>45737</v>
      </c>
      <c r="C33" s="45" t="s">
        <v>34</v>
      </c>
      <c r="D33" s="47" t="s">
        <v>168</v>
      </c>
      <c r="E33" s="45" t="s">
        <v>64</v>
      </c>
      <c r="F33" s="45" t="s">
        <v>65</v>
      </c>
      <c r="G33" s="45" t="s">
        <v>798</v>
      </c>
      <c r="H33" s="45" t="s">
        <v>1871</v>
      </c>
      <c r="I33" s="45" t="s">
        <v>1872</v>
      </c>
      <c r="J33" s="45">
        <v>75744148</v>
      </c>
      <c r="K33" s="45" t="s">
        <v>56</v>
      </c>
      <c r="L33" s="48">
        <v>99.6</v>
      </c>
      <c r="M33" s="49">
        <v>20241111884</v>
      </c>
      <c r="N33" s="50" t="s">
        <v>28</v>
      </c>
      <c r="O33" s="50"/>
      <c r="P33" s="50"/>
      <c r="Q33" s="51"/>
      <c r="R33" s="50"/>
      <c r="S33" s="50"/>
      <c r="T33" s="51"/>
      <c r="U33" s="50"/>
    </row>
    <row r="34" spans="1:21" x14ac:dyDescent="0.25">
      <c r="A34" s="45" t="s">
        <v>20</v>
      </c>
      <c r="B34" s="46">
        <v>45737</v>
      </c>
      <c r="C34" s="45" t="s">
        <v>34</v>
      </c>
      <c r="D34" s="47" t="s">
        <v>168</v>
      </c>
      <c r="E34" s="45" t="s">
        <v>64</v>
      </c>
      <c r="F34" s="45" t="s">
        <v>65</v>
      </c>
      <c r="G34" s="45" t="s">
        <v>71</v>
      </c>
      <c r="H34" s="45" t="s">
        <v>1873</v>
      </c>
      <c r="I34" s="45" t="s">
        <v>1874</v>
      </c>
      <c r="J34" s="45">
        <v>77520277</v>
      </c>
      <c r="K34" s="45" t="s">
        <v>223</v>
      </c>
      <c r="L34" s="48">
        <v>277.99</v>
      </c>
      <c r="M34" s="49">
        <v>20241111938</v>
      </c>
      <c r="N34" s="50" t="s">
        <v>28</v>
      </c>
      <c r="O34" s="50"/>
      <c r="P34" s="50"/>
      <c r="Q34" s="51"/>
      <c r="R34" s="50"/>
      <c r="S34" s="50"/>
      <c r="T34" s="51"/>
      <c r="U34" s="50"/>
    </row>
    <row r="35" spans="1:21" x14ac:dyDescent="0.25">
      <c r="A35" s="45" t="s">
        <v>20</v>
      </c>
      <c r="B35" s="46">
        <v>45737</v>
      </c>
      <c r="C35" s="45" t="s">
        <v>34</v>
      </c>
      <c r="D35" s="47" t="s">
        <v>168</v>
      </c>
      <c r="E35" s="45" t="s">
        <v>107</v>
      </c>
      <c r="F35" s="45" t="s">
        <v>108</v>
      </c>
      <c r="G35" s="45" t="s">
        <v>178</v>
      </c>
      <c r="H35" s="45" t="s">
        <v>1875</v>
      </c>
      <c r="I35" s="45" t="s">
        <v>1876</v>
      </c>
      <c r="J35" s="45">
        <v>537869225</v>
      </c>
      <c r="K35" s="45" t="s">
        <v>1877</v>
      </c>
      <c r="L35" s="48">
        <v>1250</v>
      </c>
      <c r="M35" s="49">
        <v>20241115933</v>
      </c>
      <c r="N35" s="50" t="s">
        <v>28</v>
      </c>
      <c r="O35" s="50"/>
      <c r="P35" s="50"/>
      <c r="Q35" s="51"/>
      <c r="R35" s="50"/>
      <c r="S35" s="50"/>
      <c r="T35" s="51"/>
      <c r="U35" s="50"/>
    </row>
    <row r="36" spans="1:21" x14ac:dyDescent="0.25">
      <c r="A36" s="45" t="s">
        <v>20</v>
      </c>
      <c r="B36" s="46">
        <v>45737</v>
      </c>
      <c r="C36" s="45" t="s">
        <v>34</v>
      </c>
      <c r="D36" s="47" t="s">
        <v>168</v>
      </c>
      <c r="E36" s="45" t="s">
        <v>107</v>
      </c>
      <c r="F36" s="45" t="s">
        <v>108</v>
      </c>
      <c r="G36" s="45" t="s">
        <v>178</v>
      </c>
      <c r="H36" s="45" t="s">
        <v>1875</v>
      </c>
      <c r="I36" s="45" t="s">
        <v>1876</v>
      </c>
      <c r="J36" s="45">
        <v>537869225</v>
      </c>
      <c r="K36" s="45" t="s">
        <v>52</v>
      </c>
      <c r="L36" s="48">
        <v>1250</v>
      </c>
      <c r="M36" s="49">
        <v>20241115963</v>
      </c>
      <c r="N36" s="50" t="s">
        <v>28</v>
      </c>
      <c r="O36" s="50"/>
      <c r="P36" s="50"/>
      <c r="Q36" s="51"/>
      <c r="R36" s="50"/>
      <c r="S36" s="50"/>
      <c r="T36" s="51"/>
      <c r="U36" s="50"/>
    </row>
    <row r="37" spans="1:21" x14ac:dyDescent="0.25">
      <c r="A37" s="45" t="s">
        <v>20</v>
      </c>
      <c r="B37" s="46">
        <v>45737</v>
      </c>
      <c r="C37" s="45" t="s">
        <v>34</v>
      </c>
      <c r="D37" s="47" t="s">
        <v>168</v>
      </c>
      <c r="E37" s="45" t="s">
        <v>107</v>
      </c>
      <c r="F37" s="45" t="s">
        <v>108</v>
      </c>
      <c r="G37" s="45" t="s">
        <v>1171</v>
      </c>
      <c r="H37" s="45" t="s">
        <v>1878</v>
      </c>
      <c r="I37" s="45" t="s">
        <v>1879</v>
      </c>
      <c r="J37" s="45">
        <v>540688260</v>
      </c>
      <c r="K37" s="45" t="s">
        <v>1686</v>
      </c>
      <c r="L37" s="48">
        <v>19.98</v>
      </c>
      <c r="M37" s="49">
        <v>20241108570</v>
      </c>
      <c r="N37" s="50" t="s">
        <v>28</v>
      </c>
      <c r="O37" s="50"/>
      <c r="P37" s="50"/>
      <c r="Q37" s="51"/>
      <c r="R37" s="50"/>
      <c r="S37" s="50"/>
      <c r="T37" s="51"/>
      <c r="U37" s="50"/>
    </row>
    <row r="38" spans="1:21" x14ac:dyDescent="0.25">
      <c r="A38" s="45" t="s">
        <v>20</v>
      </c>
      <c r="B38" s="46">
        <v>45737</v>
      </c>
      <c r="C38" s="45" t="s">
        <v>34</v>
      </c>
      <c r="D38" s="47" t="s">
        <v>168</v>
      </c>
      <c r="E38" s="45" t="s">
        <v>107</v>
      </c>
      <c r="F38" s="45" t="s">
        <v>108</v>
      </c>
      <c r="G38" s="45" t="s">
        <v>1171</v>
      </c>
      <c r="H38" s="45" t="s">
        <v>1878</v>
      </c>
      <c r="I38" s="45" t="s">
        <v>1879</v>
      </c>
      <c r="J38" s="45">
        <v>540688260</v>
      </c>
      <c r="K38" s="45" t="s">
        <v>918</v>
      </c>
      <c r="L38" s="48">
        <v>67.47</v>
      </c>
      <c r="M38" s="49">
        <v>20241108280</v>
      </c>
      <c r="N38" s="50" t="s">
        <v>28</v>
      </c>
      <c r="O38" s="50"/>
      <c r="P38" s="50"/>
      <c r="Q38" s="51"/>
      <c r="R38" s="50"/>
      <c r="S38" s="50"/>
      <c r="T38" s="51"/>
      <c r="U38" s="50"/>
    </row>
    <row r="39" spans="1:21" x14ac:dyDescent="0.25">
      <c r="A39" s="45" t="s">
        <v>29</v>
      </c>
      <c r="B39" s="46">
        <v>45737</v>
      </c>
      <c r="C39" s="45" t="s">
        <v>34</v>
      </c>
      <c r="D39" s="47" t="s">
        <v>168</v>
      </c>
      <c r="E39" s="45" t="s">
        <v>107</v>
      </c>
      <c r="F39" s="45" t="s">
        <v>108</v>
      </c>
      <c r="G39" s="45" t="s">
        <v>1880</v>
      </c>
      <c r="H39" s="45" t="s">
        <v>149</v>
      </c>
      <c r="I39" s="45" t="s">
        <v>1881</v>
      </c>
      <c r="J39" s="45">
        <v>543296230</v>
      </c>
      <c r="K39" s="45" t="s">
        <v>1358</v>
      </c>
      <c r="L39" s="48">
        <v>165</v>
      </c>
      <c r="M39" s="49">
        <v>20241113471</v>
      </c>
      <c r="N39" s="50" t="s">
        <v>28</v>
      </c>
      <c r="O39" s="50"/>
      <c r="P39" s="50"/>
      <c r="Q39" s="51"/>
      <c r="R39" s="50"/>
      <c r="S39" s="50"/>
      <c r="T39" s="51"/>
      <c r="U39" s="50"/>
    </row>
    <row r="40" spans="1:21" x14ac:dyDescent="0.25">
      <c r="A40" s="45" t="s">
        <v>20</v>
      </c>
      <c r="B40" s="46">
        <v>45737</v>
      </c>
      <c r="C40" s="45" t="s">
        <v>34</v>
      </c>
      <c r="D40" s="47" t="s">
        <v>168</v>
      </c>
      <c r="E40" s="45" t="s">
        <v>107</v>
      </c>
      <c r="F40" s="45" t="s">
        <v>108</v>
      </c>
      <c r="G40" s="45" t="s">
        <v>1882</v>
      </c>
      <c r="H40" s="45" t="s">
        <v>1883</v>
      </c>
      <c r="I40" s="45" t="s">
        <v>1884</v>
      </c>
      <c r="J40" s="45">
        <v>545439124</v>
      </c>
      <c r="K40" s="45" t="s">
        <v>336</v>
      </c>
      <c r="L40" s="48">
        <v>159.13</v>
      </c>
      <c r="M40" s="49">
        <v>20241113415</v>
      </c>
      <c r="N40" s="50" t="s">
        <v>28</v>
      </c>
      <c r="O40" s="50"/>
      <c r="P40" s="50"/>
      <c r="Q40" s="51"/>
      <c r="R40" s="50"/>
      <c r="S40" s="50"/>
      <c r="T40" s="51"/>
      <c r="U40" s="50"/>
    </row>
    <row r="41" spans="1:21" x14ac:dyDescent="0.25">
      <c r="A41" s="45" t="s">
        <v>29</v>
      </c>
      <c r="B41" s="46">
        <v>45737</v>
      </c>
      <c r="C41" s="45" t="s">
        <v>34</v>
      </c>
      <c r="D41" s="47" t="s">
        <v>168</v>
      </c>
      <c r="E41" s="45" t="s">
        <v>107</v>
      </c>
      <c r="F41" s="45" t="s">
        <v>108</v>
      </c>
      <c r="G41" s="45" t="s">
        <v>368</v>
      </c>
      <c r="H41" s="45" t="s">
        <v>1621</v>
      </c>
      <c r="I41" s="45" t="s">
        <v>1885</v>
      </c>
      <c r="J41" s="45">
        <v>545775504</v>
      </c>
      <c r="K41" s="45" t="s">
        <v>1702</v>
      </c>
      <c r="L41" s="48">
        <v>104</v>
      </c>
      <c r="M41" s="49">
        <v>20241111384</v>
      </c>
      <c r="N41" s="50" t="s">
        <v>28</v>
      </c>
      <c r="O41" s="50"/>
      <c r="P41" s="50"/>
      <c r="Q41" s="51"/>
      <c r="R41" s="50"/>
      <c r="S41" s="50"/>
      <c r="T41" s="51"/>
      <c r="U41" s="50"/>
    </row>
    <row r="42" spans="1:21" x14ac:dyDescent="0.25">
      <c r="A42" s="45" t="s">
        <v>20</v>
      </c>
      <c r="B42" s="46">
        <v>45737</v>
      </c>
      <c r="C42" s="45" t="s">
        <v>34</v>
      </c>
      <c r="D42" s="47" t="s">
        <v>168</v>
      </c>
      <c r="E42" s="45" t="s">
        <v>107</v>
      </c>
      <c r="F42" s="45" t="s">
        <v>108</v>
      </c>
      <c r="G42" s="45" t="s">
        <v>263</v>
      </c>
      <c r="H42" s="45" t="s">
        <v>1886</v>
      </c>
      <c r="I42" s="45" t="s">
        <v>1887</v>
      </c>
      <c r="J42" s="45">
        <v>546599062</v>
      </c>
      <c r="K42" s="45" t="s">
        <v>1888</v>
      </c>
      <c r="L42" s="48">
        <v>41.83</v>
      </c>
      <c r="M42" s="49">
        <v>20241112489</v>
      </c>
      <c r="N42" s="50" t="s">
        <v>28</v>
      </c>
      <c r="O42" s="50"/>
      <c r="P42" s="50"/>
      <c r="Q42" s="51"/>
      <c r="R42" s="50"/>
      <c r="S42" s="50"/>
      <c r="T42" s="51"/>
      <c r="U42" s="50"/>
    </row>
    <row r="43" spans="1:21" x14ac:dyDescent="0.25">
      <c r="A43" s="45" t="s">
        <v>20</v>
      </c>
      <c r="B43" s="46">
        <v>45737</v>
      </c>
      <c r="C43" s="45" t="s">
        <v>34</v>
      </c>
      <c r="D43" s="47" t="s">
        <v>168</v>
      </c>
      <c r="E43" s="45" t="s">
        <v>107</v>
      </c>
      <c r="F43" s="45" t="s">
        <v>108</v>
      </c>
      <c r="G43" s="45" t="s">
        <v>263</v>
      </c>
      <c r="H43" s="45" t="s">
        <v>1886</v>
      </c>
      <c r="I43" s="45" t="s">
        <v>1887</v>
      </c>
      <c r="J43" s="45">
        <v>546599062</v>
      </c>
      <c r="K43" s="45" t="s">
        <v>1889</v>
      </c>
      <c r="L43" s="48">
        <v>19.79</v>
      </c>
      <c r="M43" s="49">
        <v>20241112455</v>
      </c>
      <c r="N43" s="50" t="s">
        <v>28</v>
      </c>
      <c r="O43" s="50"/>
      <c r="P43" s="50"/>
      <c r="Q43" s="51"/>
      <c r="R43" s="50"/>
      <c r="S43" s="50"/>
      <c r="T43" s="51"/>
      <c r="U43" s="50"/>
    </row>
    <row r="44" spans="1:21" x14ac:dyDescent="0.25">
      <c r="A44" s="45" t="s">
        <v>20</v>
      </c>
      <c r="B44" s="46">
        <v>45737</v>
      </c>
      <c r="C44" s="45" t="s">
        <v>34</v>
      </c>
      <c r="D44" s="47" t="s">
        <v>168</v>
      </c>
      <c r="E44" s="45" t="s">
        <v>107</v>
      </c>
      <c r="F44" s="45" t="s">
        <v>108</v>
      </c>
      <c r="G44" s="45" t="s">
        <v>263</v>
      </c>
      <c r="H44" s="45" t="s">
        <v>1886</v>
      </c>
      <c r="I44" s="45" t="s">
        <v>1887</v>
      </c>
      <c r="J44" s="45">
        <v>546599062</v>
      </c>
      <c r="K44" s="45" t="s">
        <v>1702</v>
      </c>
      <c r="L44" s="48">
        <v>24.77</v>
      </c>
      <c r="M44" s="49">
        <v>20241112479</v>
      </c>
      <c r="N44" s="50" t="s">
        <v>28</v>
      </c>
      <c r="O44" s="50"/>
      <c r="P44" s="50"/>
      <c r="Q44" s="51"/>
      <c r="R44" s="50"/>
      <c r="S44" s="50"/>
      <c r="T44" s="51"/>
      <c r="U44" s="50"/>
    </row>
    <row r="45" spans="1:21" x14ac:dyDescent="0.25">
      <c r="A45" s="45" t="s">
        <v>20</v>
      </c>
      <c r="B45" s="46">
        <v>45737</v>
      </c>
      <c r="C45" s="45" t="s">
        <v>34</v>
      </c>
      <c r="D45" s="47" t="s">
        <v>168</v>
      </c>
      <c r="E45" s="45" t="s">
        <v>107</v>
      </c>
      <c r="F45" s="45" t="s">
        <v>108</v>
      </c>
      <c r="G45" s="45" t="s">
        <v>263</v>
      </c>
      <c r="H45" s="45" t="s">
        <v>1886</v>
      </c>
      <c r="I45" s="45" t="s">
        <v>1887</v>
      </c>
      <c r="J45" s="45">
        <v>546599062</v>
      </c>
      <c r="K45" s="45" t="s">
        <v>1734</v>
      </c>
      <c r="L45" s="48">
        <v>66.540000000000006</v>
      </c>
      <c r="M45" s="49">
        <v>20241112484</v>
      </c>
      <c r="N45" s="50" t="s">
        <v>28</v>
      </c>
      <c r="O45" s="50"/>
      <c r="P45" s="50"/>
      <c r="Q45" s="51"/>
      <c r="R45" s="50"/>
      <c r="S45" s="50"/>
      <c r="T45" s="51"/>
      <c r="U45" s="50"/>
    </row>
    <row r="46" spans="1:21" x14ac:dyDescent="0.25">
      <c r="A46" s="45" t="s">
        <v>756</v>
      </c>
      <c r="B46" s="46">
        <v>45737</v>
      </c>
      <c r="C46" s="45" t="s">
        <v>34</v>
      </c>
      <c r="D46" s="47" t="s">
        <v>168</v>
      </c>
      <c r="E46" s="45" t="s">
        <v>107</v>
      </c>
      <c r="F46" s="45" t="s">
        <v>108</v>
      </c>
      <c r="G46" s="45" t="s">
        <v>1890</v>
      </c>
      <c r="H46" s="45" t="s">
        <v>1891</v>
      </c>
      <c r="I46" s="45" t="s">
        <v>1892</v>
      </c>
      <c r="J46" s="45">
        <v>547530467</v>
      </c>
      <c r="K46" s="45" t="s">
        <v>1843</v>
      </c>
      <c r="L46" s="48">
        <v>1760.14</v>
      </c>
      <c r="M46" s="49">
        <v>20241114408</v>
      </c>
      <c r="N46" s="50" t="s">
        <v>28</v>
      </c>
      <c r="O46" s="50"/>
      <c r="P46" s="50"/>
      <c r="Q46" s="51"/>
      <c r="R46" s="50"/>
      <c r="S46" s="50"/>
      <c r="T46" s="51"/>
      <c r="U46" s="50"/>
    </row>
    <row r="47" spans="1:21" x14ac:dyDescent="0.25">
      <c r="A47" s="45" t="s">
        <v>20</v>
      </c>
      <c r="B47" s="46">
        <v>45737</v>
      </c>
      <c r="C47" s="45" t="s">
        <v>34</v>
      </c>
      <c r="D47" s="47" t="s">
        <v>168</v>
      </c>
      <c r="E47" s="45" t="s">
        <v>107</v>
      </c>
      <c r="F47" s="45" t="s">
        <v>108</v>
      </c>
      <c r="G47" s="45" t="s">
        <v>1893</v>
      </c>
      <c r="H47" s="45" t="s">
        <v>1091</v>
      </c>
      <c r="I47" s="45" t="s">
        <v>85</v>
      </c>
      <c r="J47" s="45">
        <v>549892932</v>
      </c>
      <c r="K47" s="45" t="s">
        <v>268</v>
      </c>
      <c r="L47" s="48">
        <v>18.2</v>
      </c>
      <c r="M47" s="49">
        <v>20241112545</v>
      </c>
      <c r="N47" s="50" t="s">
        <v>28</v>
      </c>
      <c r="O47" s="50"/>
      <c r="P47" s="50"/>
      <c r="Q47" s="51"/>
      <c r="R47" s="50"/>
      <c r="S47" s="50"/>
      <c r="T47" s="51"/>
      <c r="U47" s="50"/>
    </row>
    <row r="48" spans="1:21" x14ac:dyDescent="0.25">
      <c r="A48" s="45" t="s">
        <v>20</v>
      </c>
      <c r="B48" s="46">
        <v>45737</v>
      </c>
      <c r="C48" s="45" t="s">
        <v>34</v>
      </c>
      <c r="D48" s="47" t="s">
        <v>168</v>
      </c>
      <c r="E48" s="45" t="s">
        <v>107</v>
      </c>
      <c r="F48" s="45" t="s">
        <v>108</v>
      </c>
      <c r="G48" s="45" t="s">
        <v>1894</v>
      </c>
      <c r="H48" s="45" t="s">
        <v>1044</v>
      </c>
      <c r="I48" s="45" t="s">
        <v>1895</v>
      </c>
      <c r="J48" s="45">
        <v>549989210</v>
      </c>
      <c r="K48" s="45" t="s">
        <v>1888</v>
      </c>
      <c r="L48" s="48">
        <v>10</v>
      </c>
      <c r="M48" s="49">
        <v>20241113230</v>
      </c>
      <c r="N48" s="50" t="s">
        <v>28</v>
      </c>
      <c r="O48" s="50"/>
      <c r="P48" s="50"/>
      <c r="Q48" s="51"/>
      <c r="R48" s="50"/>
      <c r="S48" s="50"/>
      <c r="T48" s="51"/>
      <c r="U48" s="50"/>
    </row>
    <row r="49" spans="1:21" x14ac:dyDescent="0.25">
      <c r="A49" s="45" t="s">
        <v>20</v>
      </c>
      <c r="B49" s="46">
        <v>45737</v>
      </c>
      <c r="C49" s="45" t="s">
        <v>34</v>
      </c>
      <c r="D49" s="47" t="s">
        <v>168</v>
      </c>
      <c r="E49" s="45" t="s">
        <v>107</v>
      </c>
      <c r="F49" s="45" t="s">
        <v>108</v>
      </c>
      <c r="G49" s="45" t="s">
        <v>263</v>
      </c>
      <c r="H49" s="45" t="s">
        <v>1896</v>
      </c>
      <c r="I49" s="45" t="s">
        <v>1897</v>
      </c>
      <c r="J49" s="45">
        <v>550613796</v>
      </c>
      <c r="K49" s="45" t="s">
        <v>781</v>
      </c>
      <c r="L49" s="48">
        <v>675</v>
      </c>
      <c r="M49" s="49">
        <v>20241114261</v>
      </c>
      <c r="N49" s="50" t="s">
        <v>28</v>
      </c>
      <c r="O49" s="50"/>
      <c r="P49" s="50"/>
      <c r="Q49" s="51"/>
      <c r="R49" s="50"/>
      <c r="S49" s="50"/>
      <c r="T49" s="51"/>
      <c r="U49" s="50"/>
    </row>
    <row r="50" spans="1:21" x14ac:dyDescent="0.25">
      <c r="A50" s="45" t="s">
        <v>29</v>
      </c>
      <c r="B50" s="46">
        <v>45737</v>
      </c>
      <c r="C50" s="45" t="s">
        <v>34</v>
      </c>
      <c r="D50" s="47" t="s">
        <v>168</v>
      </c>
      <c r="E50" s="45" t="s">
        <v>155</v>
      </c>
      <c r="F50" s="45" t="s">
        <v>156</v>
      </c>
      <c r="G50" s="45" t="s">
        <v>1646</v>
      </c>
      <c r="H50" s="45" t="s">
        <v>1567</v>
      </c>
      <c r="I50" s="45" t="s">
        <v>855</v>
      </c>
      <c r="J50" s="45">
        <v>557633743</v>
      </c>
      <c r="K50" s="45" t="s">
        <v>301</v>
      </c>
      <c r="L50" s="48">
        <v>900</v>
      </c>
      <c r="M50" s="49">
        <v>20241107423</v>
      </c>
      <c r="N50" s="50" t="s">
        <v>28</v>
      </c>
      <c r="O50" s="50"/>
      <c r="P50" s="50"/>
      <c r="Q50" s="51"/>
      <c r="R50" s="50"/>
      <c r="S50" s="50"/>
      <c r="T50" s="51"/>
      <c r="U50" s="50"/>
    </row>
    <row r="51" spans="1:21" x14ac:dyDescent="0.25">
      <c r="A51" s="45" t="s">
        <v>29</v>
      </c>
      <c r="B51" s="46">
        <v>45737</v>
      </c>
      <c r="C51" s="45" t="s">
        <v>34</v>
      </c>
      <c r="D51" s="47" t="s">
        <v>168</v>
      </c>
      <c r="E51" s="45" t="s">
        <v>162</v>
      </c>
      <c r="F51" s="45" t="s">
        <v>163</v>
      </c>
      <c r="G51" s="45" t="s">
        <v>30</v>
      </c>
      <c r="H51" s="45" t="s">
        <v>1898</v>
      </c>
      <c r="I51" s="45" t="s">
        <v>1899</v>
      </c>
      <c r="J51" s="45">
        <v>576258267</v>
      </c>
      <c r="K51" s="45" t="s">
        <v>184</v>
      </c>
      <c r="L51" s="48">
        <v>800</v>
      </c>
      <c r="M51" s="49">
        <v>20241113205</v>
      </c>
      <c r="N51" s="50" t="s">
        <v>28</v>
      </c>
      <c r="O51" s="50"/>
      <c r="P51" s="50"/>
      <c r="Q51" s="51"/>
      <c r="R51" s="50"/>
      <c r="S51" s="50"/>
      <c r="T51" s="51"/>
      <c r="U51" s="50"/>
    </row>
    <row r="52" spans="1:21" x14ac:dyDescent="0.25">
      <c r="A52" s="45" t="s">
        <v>29</v>
      </c>
      <c r="B52" s="46">
        <v>45737</v>
      </c>
      <c r="C52" s="45" t="s">
        <v>34</v>
      </c>
      <c r="D52" s="47" t="s">
        <v>114</v>
      </c>
      <c r="E52" s="45" t="s">
        <v>176</v>
      </c>
      <c r="F52" s="45" t="s">
        <v>177</v>
      </c>
      <c r="G52" s="45" t="s">
        <v>975</v>
      </c>
      <c r="H52" s="45" t="s">
        <v>1900</v>
      </c>
      <c r="I52" s="45" t="s">
        <v>1901</v>
      </c>
      <c r="J52" s="45">
        <v>520215514</v>
      </c>
      <c r="K52" s="45" t="s">
        <v>1142</v>
      </c>
      <c r="L52" s="48">
        <v>450</v>
      </c>
      <c r="M52" s="49">
        <v>20241113645</v>
      </c>
      <c r="N52" s="50" t="s">
        <v>28</v>
      </c>
      <c r="O52" s="50"/>
      <c r="P52" s="50"/>
      <c r="Q52" s="51"/>
      <c r="R52" s="50"/>
      <c r="S52" s="50"/>
      <c r="T52" s="51"/>
      <c r="U52" s="50"/>
    </row>
    <row r="53" spans="1:21" x14ac:dyDescent="0.25">
      <c r="A53" s="45" t="s">
        <v>29</v>
      </c>
      <c r="B53" s="46">
        <v>45737</v>
      </c>
      <c r="C53" s="45" t="s">
        <v>34</v>
      </c>
      <c r="D53" s="47" t="s">
        <v>114</v>
      </c>
      <c r="E53" s="45" t="s">
        <v>176</v>
      </c>
      <c r="F53" s="45" t="s">
        <v>177</v>
      </c>
      <c r="G53" s="45" t="s">
        <v>975</v>
      </c>
      <c r="H53" s="45" t="s">
        <v>1900</v>
      </c>
      <c r="I53" s="45" t="s">
        <v>1901</v>
      </c>
      <c r="J53" s="45">
        <v>520215514</v>
      </c>
      <c r="K53" s="45" t="s">
        <v>891</v>
      </c>
      <c r="L53" s="48">
        <v>175</v>
      </c>
      <c r="M53" s="49">
        <v>20241113647</v>
      </c>
      <c r="N53" s="50" t="s">
        <v>28</v>
      </c>
      <c r="O53" s="50"/>
      <c r="P53" s="50"/>
      <c r="Q53" s="51"/>
      <c r="R53" s="50"/>
      <c r="S53" s="50"/>
      <c r="T53" s="51"/>
      <c r="U53" s="50"/>
    </row>
    <row r="54" spans="1:21" x14ac:dyDescent="0.25">
      <c r="A54" s="45" t="s">
        <v>29</v>
      </c>
      <c r="B54" s="46">
        <v>45737</v>
      </c>
      <c r="C54" s="45" t="s">
        <v>34</v>
      </c>
      <c r="D54" s="47" t="s">
        <v>114</v>
      </c>
      <c r="E54" s="45" t="s">
        <v>176</v>
      </c>
      <c r="F54" s="45" t="s">
        <v>177</v>
      </c>
      <c r="G54" s="45" t="s">
        <v>975</v>
      </c>
      <c r="H54" s="45" t="s">
        <v>1900</v>
      </c>
      <c r="I54" s="45" t="s">
        <v>1901</v>
      </c>
      <c r="J54" s="45">
        <v>520215514</v>
      </c>
      <c r="K54" s="45" t="s">
        <v>301</v>
      </c>
      <c r="L54" s="48">
        <v>450</v>
      </c>
      <c r="M54" s="49">
        <v>20241113653</v>
      </c>
      <c r="N54" s="50" t="s">
        <v>28</v>
      </c>
      <c r="O54" s="50"/>
      <c r="P54" s="50"/>
      <c r="Q54" s="51"/>
      <c r="R54" s="50"/>
      <c r="S54" s="50"/>
      <c r="T54" s="51"/>
      <c r="U54" s="50"/>
    </row>
    <row r="55" spans="1:21" x14ac:dyDescent="0.25">
      <c r="A55" s="45" t="s">
        <v>29</v>
      </c>
      <c r="B55" s="46">
        <v>45737</v>
      </c>
      <c r="C55" s="45" t="s">
        <v>34</v>
      </c>
      <c r="D55" s="47" t="s">
        <v>114</v>
      </c>
      <c r="E55" s="45" t="s">
        <v>176</v>
      </c>
      <c r="F55" s="45" t="s">
        <v>177</v>
      </c>
      <c r="G55" s="45" t="s">
        <v>975</v>
      </c>
      <c r="H55" s="45" t="s">
        <v>1900</v>
      </c>
      <c r="I55" s="45" t="s">
        <v>1901</v>
      </c>
      <c r="J55" s="45">
        <v>520215514</v>
      </c>
      <c r="K55" s="45" t="s">
        <v>241</v>
      </c>
      <c r="L55" s="48">
        <v>300</v>
      </c>
      <c r="M55" s="49">
        <v>20241113648</v>
      </c>
      <c r="N55" s="50" t="s">
        <v>28</v>
      </c>
      <c r="O55" s="50"/>
      <c r="P55" s="50"/>
      <c r="Q55" s="51"/>
      <c r="R55" s="50"/>
      <c r="S55" s="50"/>
      <c r="T55" s="51"/>
      <c r="U55" s="50"/>
    </row>
    <row r="56" spans="1:21" x14ac:dyDescent="0.25">
      <c r="A56" s="45" t="s">
        <v>29</v>
      </c>
      <c r="B56" s="46">
        <v>45737</v>
      </c>
      <c r="C56" s="45" t="s">
        <v>34</v>
      </c>
      <c r="D56" s="47" t="s">
        <v>114</v>
      </c>
      <c r="E56" s="45" t="s">
        <v>176</v>
      </c>
      <c r="F56" s="45" t="s">
        <v>177</v>
      </c>
      <c r="G56" s="45" t="s">
        <v>975</v>
      </c>
      <c r="H56" s="45" t="s">
        <v>1900</v>
      </c>
      <c r="I56" s="45" t="s">
        <v>1901</v>
      </c>
      <c r="J56" s="45">
        <v>520215514</v>
      </c>
      <c r="K56" s="45" t="s">
        <v>422</v>
      </c>
      <c r="L56" s="48">
        <v>450</v>
      </c>
      <c r="M56" s="49">
        <v>20241113649</v>
      </c>
      <c r="N56" s="50" t="s">
        <v>28</v>
      </c>
      <c r="O56" s="50"/>
      <c r="P56" s="50"/>
      <c r="Q56" s="51"/>
      <c r="R56" s="50"/>
      <c r="S56" s="50"/>
      <c r="T56" s="51"/>
      <c r="U56" s="50"/>
    </row>
    <row r="57" spans="1:21" x14ac:dyDescent="0.25">
      <c r="A57" s="45" t="s">
        <v>29</v>
      </c>
      <c r="B57" s="46">
        <v>45737</v>
      </c>
      <c r="C57" s="45" t="s">
        <v>34</v>
      </c>
      <c r="D57" s="47" t="s">
        <v>114</v>
      </c>
      <c r="E57" s="45" t="s">
        <v>176</v>
      </c>
      <c r="F57" s="45" t="s">
        <v>177</v>
      </c>
      <c r="G57" s="45" t="s">
        <v>975</v>
      </c>
      <c r="H57" s="45" t="s">
        <v>1900</v>
      </c>
      <c r="I57" s="45" t="s">
        <v>1901</v>
      </c>
      <c r="J57" s="45">
        <v>520215514</v>
      </c>
      <c r="K57" s="45" t="s">
        <v>891</v>
      </c>
      <c r="L57" s="48">
        <v>300</v>
      </c>
      <c r="M57" s="49">
        <v>20241113652</v>
      </c>
      <c r="N57" s="50" t="s">
        <v>28</v>
      </c>
      <c r="O57" s="50"/>
      <c r="P57" s="50"/>
      <c r="Q57" s="51"/>
      <c r="R57" s="50"/>
      <c r="S57" s="50"/>
      <c r="T57" s="51"/>
      <c r="U57" s="50"/>
    </row>
    <row r="58" spans="1:21" x14ac:dyDescent="0.25">
      <c r="A58" s="45" t="s">
        <v>29</v>
      </c>
      <c r="B58" s="46">
        <v>45622</v>
      </c>
      <c r="C58" s="45" t="s">
        <v>175</v>
      </c>
      <c r="D58" s="47"/>
      <c r="E58" s="45" t="s">
        <v>176</v>
      </c>
      <c r="F58" s="45" t="s">
        <v>177</v>
      </c>
      <c r="G58" s="45" t="s">
        <v>210</v>
      </c>
      <c r="H58" s="45" t="s">
        <v>1902</v>
      </c>
      <c r="I58" s="45" t="s">
        <v>1903</v>
      </c>
      <c r="J58" s="45">
        <v>520235208</v>
      </c>
      <c r="K58" s="45" t="s">
        <v>1904</v>
      </c>
      <c r="L58" s="48">
        <v>900</v>
      </c>
      <c r="M58" s="49">
        <v>20241115971</v>
      </c>
      <c r="N58" s="50" t="s">
        <v>28</v>
      </c>
      <c r="O58" s="50"/>
      <c r="P58" s="50"/>
      <c r="Q58" s="51"/>
      <c r="R58" s="50"/>
      <c r="S58" s="50"/>
      <c r="T58" s="51"/>
      <c r="U58" s="50"/>
    </row>
    <row r="59" spans="1:21" x14ac:dyDescent="0.25">
      <c r="A59" s="45" t="s">
        <v>20</v>
      </c>
      <c r="B59" s="46">
        <v>45622</v>
      </c>
      <c r="C59" s="45" t="s">
        <v>175</v>
      </c>
      <c r="D59" s="47"/>
      <c r="E59" s="45" t="s">
        <v>176</v>
      </c>
      <c r="F59" s="45" t="s">
        <v>177</v>
      </c>
      <c r="G59" s="45" t="s">
        <v>1905</v>
      </c>
      <c r="H59" s="45" t="s">
        <v>1816</v>
      </c>
      <c r="I59" s="45" t="s">
        <v>1906</v>
      </c>
      <c r="J59" s="45">
        <v>522296765</v>
      </c>
      <c r="K59" s="45" t="s">
        <v>1907</v>
      </c>
      <c r="L59" s="48">
        <v>79</v>
      </c>
      <c r="M59" s="49">
        <v>20241114709</v>
      </c>
      <c r="N59" s="50" t="s">
        <v>28</v>
      </c>
      <c r="O59" s="50"/>
      <c r="P59" s="50"/>
      <c r="Q59" s="51"/>
      <c r="R59" s="50"/>
      <c r="S59" s="50"/>
      <c r="T59" s="51"/>
      <c r="U59" s="50"/>
    </row>
    <row r="60" spans="1:21" x14ac:dyDescent="0.25">
      <c r="A60" s="45" t="s">
        <v>20</v>
      </c>
      <c r="B60" s="46">
        <v>45622</v>
      </c>
      <c r="C60" s="45" t="s">
        <v>175</v>
      </c>
      <c r="D60" s="47"/>
      <c r="E60" s="45" t="s">
        <v>176</v>
      </c>
      <c r="F60" s="45" t="s">
        <v>177</v>
      </c>
      <c r="G60" s="45" t="s">
        <v>1905</v>
      </c>
      <c r="H60" s="45" t="s">
        <v>1816</v>
      </c>
      <c r="I60" s="45" t="s">
        <v>1906</v>
      </c>
      <c r="J60" s="45">
        <v>522296765</v>
      </c>
      <c r="K60" s="45" t="s">
        <v>1908</v>
      </c>
      <c r="L60" s="48">
        <v>4.49</v>
      </c>
      <c r="M60" s="49">
        <v>20241114711</v>
      </c>
      <c r="N60" s="50" t="s">
        <v>28</v>
      </c>
      <c r="O60" s="50"/>
      <c r="P60" s="50"/>
      <c r="Q60" s="51"/>
      <c r="R60" s="50"/>
      <c r="S60" s="50"/>
      <c r="T60" s="51"/>
      <c r="U60" s="50"/>
    </row>
    <row r="61" spans="1:21" x14ac:dyDescent="0.25">
      <c r="A61" s="45" t="s">
        <v>20</v>
      </c>
      <c r="B61" s="46">
        <v>45622</v>
      </c>
      <c r="C61" s="45" t="s">
        <v>175</v>
      </c>
      <c r="D61" s="47"/>
      <c r="E61" s="45" t="s">
        <v>176</v>
      </c>
      <c r="F61" s="45" t="s">
        <v>177</v>
      </c>
      <c r="G61" s="45" t="s">
        <v>1905</v>
      </c>
      <c r="H61" s="45" t="s">
        <v>1816</v>
      </c>
      <c r="I61" s="45" t="s">
        <v>1906</v>
      </c>
      <c r="J61" s="45">
        <v>522296765</v>
      </c>
      <c r="K61" s="45" t="s">
        <v>1460</v>
      </c>
      <c r="L61" s="48">
        <v>31.32</v>
      </c>
      <c r="M61" s="49">
        <v>20241114708</v>
      </c>
      <c r="N61" s="50" t="s">
        <v>28</v>
      </c>
      <c r="O61" s="50"/>
      <c r="P61" s="50"/>
      <c r="Q61" s="51"/>
      <c r="R61" s="50"/>
      <c r="S61" s="50"/>
      <c r="T61" s="51"/>
      <c r="U61" s="50"/>
    </row>
    <row r="62" spans="1:21" x14ac:dyDescent="0.25">
      <c r="A62" s="45" t="s">
        <v>20</v>
      </c>
      <c r="B62" s="46">
        <v>45622</v>
      </c>
      <c r="C62" s="45" t="s">
        <v>175</v>
      </c>
      <c r="D62" s="47"/>
      <c r="E62" s="45" t="s">
        <v>176</v>
      </c>
      <c r="F62" s="45" t="s">
        <v>177</v>
      </c>
      <c r="G62" s="45" t="s">
        <v>1905</v>
      </c>
      <c r="H62" s="45" t="s">
        <v>1816</v>
      </c>
      <c r="I62" s="45" t="s">
        <v>1906</v>
      </c>
      <c r="J62" s="45">
        <v>522296765</v>
      </c>
      <c r="K62" s="45" t="s">
        <v>213</v>
      </c>
      <c r="L62" s="48">
        <v>26.3</v>
      </c>
      <c r="M62" s="49">
        <v>20241114712</v>
      </c>
      <c r="N62" s="50" t="s">
        <v>28</v>
      </c>
      <c r="O62" s="50"/>
      <c r="P62" s="50"/>
      <c r="Q62" s="51"/>
      <c r="R62" s="50"/>
      <c r="S62" s="50"/>
      <c r="T62" s="51"/>
      <c r="U62" s="50"/>
    </row>
    <row r="63" spans="1:21" x14ac:dyDescent="0.25">
      <c r="A63" s="45" t="s">
        <v>20</v>
      </c>
      <c r="B63" s="46">
        <v>45622</v>
      </c>
      <c r="C63" s="45" t="s">
        <v>175</v>
      </c>
      <c r="D63" s="47"/>
      <c r="E63" s="45" t="s">
        <v>176</v>
      </c>
      <c r="F63" s="45" t="s">
        <v>177</v>
      </c>
      <c r="G63" s="45" t="s">
        <v>1909</v>
      </c>
      <c r="H63" s="45" t="s">
        <v>1910</v>
      </c>
      <c r="I63" s="45" t="s">
        <v>1911</v>
      </c>
      <c r="J63" s="45">
        <v>522598851</v>
      </c>
      <c r="K63" s="45" t="s">
        <v>1912</v>
      </c>
      <c r="L63" s="48">
        <v>752</v>
      </c>
      <c r="M63" s="49">
        <v>20241111916</v>
      </c>
      <c r="N63" s="50" t="s">
        <v>28</v>
      </c>
      <c r="O63" s="50"/>
      <c r="P63" s="50"/>
      <c r="Q63" s="51"/>
      <c r="R63" s="50"/>
      <c r="S63" s="50"/>
      <c r="T63" s="51"/>
      <c r="U63" s="50"/>
    </row>
    <row r="64" spans="1:21" x14ac:dyDescent="0.25">
      <c r="A64" s="45" t="s">
        <v>20</v>
      </c>
      <c r="B64" s="46">
        <v>45622</v>
      </c>
      <c r="C64" s="45" t="s">
        <v>175</v>
      </c>
      <c r="D64" s="47"/>
      <c r="E64" s="45" t="s">
        <v>176</v>
      </c>
      <c r="F64" s="45" t="s">
        <v>177</v>
      </c>
      <c r="G64" s="45" t="s">
        <v>1913</v>
      </c>
      <c r="H64" s="45" t="s">
        <v>377</v>
      </c>
      <c r="I64" s="45" t="s">
        <v>1914</v>
      </c>
      <c r="J64" s="45">
        <v>523392631</v>
      </c>
      <c r="K64" s="45" t="s">
        <v>741</v>
      </c>
      <c r="L64" s="48">
        <v>177.8</v>
      </c>
      <c r="M64" s="49">
        <v>202411111086</v>
      </c>
      <c r="N64" s="50" t="s">
        <v>28</v>
      </c>
      <c r="O64" s="50"/>
      <c r="P64" s="50"/>
      <c r="Q64" s="51"/>
      <c r="R64" s="50"/>
      <c r="S64" s="50"/>
      <c r="T64" s="51"/>
      <c r="U64" s="50"/>
    </row>
    <row r="65" spans="1:21" x14ac:dyDescent="0.25">
      <c r="A65" s="45" t="s">
        <v>20</v>
      </c>
      <c r="B65" s="46">
        <v>45622</v>
      </c>
      <c r="C65" s="45" t="s">
        <v>175</v>
      </c>
      <c r="D65" s="47"/>
      <c r="E65" s="45" t="s">
        <v>176</v>
      </c>
      <c r="F65" s="45" t="s">
        <v>177</v>
      </c>
      <c r="G65" s="45" t="s">
        <v>1913</v>
      </c>
      <c r="H65" s="45" t="s">
        <v>377</v>
      </c>
      <c r="I65" s="45" t="s">
        <v>1914</v>
      </c>
      <c r="J65" s="45">
        <v>523392631</v>
      </c>
      <c r="K65" s="45" t="s">
        <v>365</v>
      </c>
      <c r="L65" s="48">
        <v>38.200000000000003</v>
      </c>
      <c r="M65" s="49">
        <v>202411111088</v>
      </c>
      <c r="N65" s="50" t="s">
        <v>28</v>
      </c>
      <c r="O65" s="50"/>
      <c r="P65" s="50"/>
      <c r="Q65" s="51"/>
      <c r="R65" s="50"/>
      <c r="S65" s="50"/>
      <c r="T65" s="51"/>
      <c r="U65" s="50"/>
    </row>
    <row r="66" spans="1:21" x14ac:dyDescent="0.25">
      <c r="A66" s="45" t="s">
        <v>20</v>
      </c>
      <c r="B66" s="46">
        <v>45622</v>
      </c>
      <c r="C66" s="45" t="s">
        <v>175</v>
      </c>
      <c r="D66" s="47"/>
      <c r="E66" s="45" t="s">
        <v>176</v>
      </c>
      <c r="F66" s="45" t="s">
        <v>177</v>
      </c>
      <c r="G66" s="45" t="s">
        <v>1913</v>
      </c>
      <c r="H66" s="45" t="s">
        <v>377</v>
      </c>
      <c r="I66" s="45" t="s">
        <v>1914</v>
      </c>
      <c r="J66" s="45">
        <v>523392631</v>
      </c>
      <c r="K66" s="45" t="s">
        <v>1543</v>
      </c>
      <c r="L66" s="48">
        <v>347</v>
      </c>
      <c r="M66" s="49">
        <v>202411111087</v>
      </c>
      <c r="N66" s="50" t="s">
        <v>28</v>
      </c>
      <c r="O66" s="50"/>
      <c r="P66" s="50"/>
      <c r="Q66" s="51"/>
      <c r="R66" s="50"/>
      <c r="S66" s="50"/>
      <c r="T66" s="51"/>
      <c r="U66" s="50"/>
    </row>
    <row r="67" spans="1:21" ht="300" x14ac:dyDescent="0.25">
      <c r="A67" s="45" t="s">
        <v>324</v>
      </c>
      <c r="B67" s="46">
        <v>45622</v>
      </c>
      <c r="C67" s="45" t="s">
        <v>175</v>
      </c>
      <c r="D67" s="47"/>
      <c r="E67" s="45" t="s">
        <v>208</v>
      </c>
      <c r="F67" s="45" t="s">
        <v>209</v>
      </c>
      <c r="G67" s="45" t="s">
        <v>298</v>
      </c>
      <c r="H67" s="45" t="s">
        <v>1915</v>
      </c>
      <c r="I67" s="45" t="s">
        <v>1916</v>
      </c>
      <c r="J67" s="45">
        <v>48474</v>
      </c>
      <c r="K67" s="45" t="s">
        <v>301</v>
      </c>
      <c r="L67" s="48">
        <v>7.71</v>
      </c>
      <c r="M67" s="49">
        <v>20241114703</v>
      </c>
      <c r="N67" s="50" t="s">
        <v>124</v>
      </c>
      <c r="O67" s="50"/>
      <c r="P67" s="50"/>
      <c r="Q67" s="51" t="s">
        <v>1917</v>
      </c>
      <c r="R67" s="50"/>
      <c r="S67" s="50" t="s">
        <v>1918</v>
      </c>
      <c r="T67" s="51"/>
      <c r="U67" s="50"/>
    </row>
    <row r="68" spans="1:21" ht="30" x14ac:dyDescent="0.25">
      <c r="A68" s="45" t="s">
        <v>324</v>
      </c>
      <c r="B68" s="46">
        <v>45622</v>
      </c>
      <c r="C68" s="45" t="s">
        <v>175</v>
      </c>
      <c r="D68" s="47"/>
      <c r="E68" s="45" t="s">
        <v>208</v>
      </c>
      <c r="F68" s="45" t="s">
        <v>209</v>
      </c>
      <c r="G68" s="45" t="s">
        <v>298</v>
      </c>
      <c r="H68" s="45" t="s">
        <v>1915</v>
      </c>
      <c r="I68" s="45" t="s">
        <v>1916</v>
      </c>
      <c r="J68" s="45">
        <v>48474</v>
      </c>
      <c r="K68" s="45" t="s">
        <v>48</v>
      </c>
      <c r="L68" s="48">
        <v>7.71</v>
      </c>
      <c r="M68" s="49">
        <v>20241114704</v>
      </c>
      <c r="N68" s="50" t="s">
        <v>28</v>
      </c>
      <c r="O68" s="50"/>
      <c r="P68" s="50"/>
      <c r="Q68" s="51" t="s">
        <v>1919</v>
      </c>
      <c r="R68" s="50"/>
      <c r="S68" s="50"/>
      <c r="T68" s="51"/>
      <c r="U68" s="50"/>
    </row>
    <row r="69" spans="1:21" ht="30" x14ac:dyDescent="0.25">
      <c r="A69" s="45" t="s">
        <v>324</v>
      </c>
      <c r="B69" s="46">
        <v>45622</v>
      </c>
      <c r="C69" s="45" t="s">
        <v>175</v>
      </c>
      <c r="D69" s="47"/>
      <c r="E69" s="45" t="s">
        <v>208</v>
      </c>
      <c r="F69" s="45" t="s">
        <v>209</v>
      </c>
      <c r="G69" s="45" t="s">
        <v>298</v>
      </c>
      <c r="H69" s="45" t="s">
        <v>1915</v>
      </c>
      <c r="I69" s="45" t="s">
        <v>1916</v>
      </c>
      <c r="J69" s="45">
        <v>48474</v>
      </c>
      <c r="K69" s="45" t="s">
        <v>1843</v>
      </c>
      <c r="L69" s="48">
        <v>7.71</v>
      </c>
      <c r="M69" s="49">
        <v>20241114707</v>
      </c>
      <c r="N69" s="50" t="s">
        <v>28</v>
      </c>
      <c r="O69" s="50"/>
      <c r="P69" s="50"/>
      <c r="Q69" s="51" t="s">
        <v>1919</v>
      </c>
      <c r="R69" s="50"/>
      <c r="S69" s="50"/>
      <c r="T69" s="51"/>
      <c r="U69" s="50"/>
    </row>
    <row r="70" spans="1:21" ht="30" x14ac:dyDescent="0.25">
      <c r="A70" s="45" t="s">
        <v>324</v>
      </c>
      <c r="B70" s="46">
        <v>45622</v>
      </c>
      <c r="C70" s="45" t="s">
        <v>175</v>
      </c>
      <c r="D70" s="47"/>
      <c r="E70" s="45" t="s">
        <v>208</v>
      </c>
      <c r="F70" s="45" t="s">
        <v>209</v>
      </c>
      <c r="G70" s="45" t="s">
        <v>298</v>
      </c>
      <c r="H70" s="45" t="s">
        <v>1915</v>
      </c>
      <c r="I70" s="45" t="s">
        <v>1916</v>
      </c>
      <c r="J70" s="45">
        <v>48474</v>
      </c>
      <c r="K70" s="45" t="s">
        <v>184</v>
      </c>
      <c r="L70" s="48">
        <v>7.71</v>
      </c>
      <c r="M70" s="49">
        <v>20241114705</v>
      </c>
      <c r="N70" s="50" t="s">
        <v>28</v>
      </c>
      <c r="O70" s="50"/>
      <c r="P70" s="50"/>
      <c r="Q70" s="51" t="s">
        <v>1919</v>
      </c>
      <c r="R70" s="50"/>
      <c r="S70" s="50"/>
      <c r="T70" s="51"/>
      <c r="U70" s="50"/>
    </row>
    <row r="71" spans="1:21" ht="30" x14ac:dyDescent="0.25">
      <c r="A71" s="45" t="s">
        <v>324</v>
      </c>
      <c r="B71" s="46">
        <v>45622</v>
      </c>
      <c r="C71" s="45" t="s">
        <v>175</v>
      </c>
      <c r="D71" s="47"/>
      <c r="E71" s="45" t="s">
        <v>208</v>
      </c>
      <c r="F71" s="45" t="s">
        <v>209</v>
      </c>
      <c r="G71" s="45" t="s">
        <v>298</v>
      </c>
      <c r="H71" s="45" t="s">
        <v>1915</v>
      </c>
      <c r="I71" s="45" t="s">
        <v>1916</v>
      </c>
      <c r="J71" s="45">
        <v>48474</v>
      </c>
      <c r="K71" s="45" t="s">
        <v>978</v>
      </c>
      <c r="L71" s="48">
        <v>133.83000000000001</v>
      </c>
      <c r="M71" s="49">
        <v>20241114689</v>
      </c>
      <c r="N71" s="50" t="s">
        <v>28</v>
      </c>
      <c r="O71" s="50"/>
      <c r="P71" s="50"/>
      <c r="Q71" s="51" t="s">
        <v>1919</v>
      </c>
      <c r="R71" s="50"/>
      <c r="S71" s="50"/>
      <c r="T71" s="51"/>
      <c r="U71" s="50"/>
    </row>
    <row r="72" spans="1:21" ht="30" x14ac:dyDescent="0.25">
      <c r="A72" s="45" t="s">
        <v>324</v>
      </c>
      <c r="B72" s="46">
        <v>45622</v>
      </c>
      <c r="C72" s="45" t="s">
        <v>175</v>
      </c>
      <c r="D72" s="47"/>
      <c r="E72" s="45" t="s">
        <v>208</v>
      </c>
      <c r="F72" s="45" t="s">
        <v>209</v>
      </c>
      <c r="G72" s="45" t="s">
        <v>298</v>
      </c>
      <c r="H72" s="45" t="s">
        <v>1915</v>
      </c>
      <c r="I72" s="45" t="s">
        <v>1916</v>
      </c>
      <c r="J72" s="45">
        <v>48474</v>
      </c>
      <c r="K72" s="45" t="s">
        <v>301</v>
      </c>
      <c r="L72" s="48">
        <v>133.83000000000001</v>
      </c>
      <c r="M72" s="49">
        <v>20241114690</v>
      </c>
      <c r="N72" s="50" t="s">
        <v>28</v>
      </c>
      <c r="O72" s="50"/>
      <c r="P72" s="50"/>
      <c r="Q72" s="51" t="s">
        <v>1919</v>
      </c>
      <c r="R72" s="50"/>
      <c r="S72" s="50"/>
      <c r="T72" s="51"/>
      <c r="U72" s="50"/>
    </row>
    <row r="73" spans="1:21" ht="30" x14ac:dyDescent="0.25">
      <c r="A73" s="45" t="s">
        <v>324</v>
      </c>
      <c r="B73" s="46">
        <v>45622</v>
      </c>
      <c r="C73" s="45" t="s">
        <v>175</v>
      </c>
      <c r="D73" s="47"/>
      <c r="E73" s="45" t="s">
        <v>208</v>
      </c>
      <c r="F73" s="45" t="s">
        <v>209</v>
      </c>
      <c r="G73" s="45" t="s">
        <v>298</v>
      </c>
      <c r="H73" s="45" t="s">
        <v>1915</v>
      </c>
      <c r="I73" s="45" t="s">
        <v>1916</v>
      </c>
      <c r="J73" s="45">
        <v>48474</v>
      </c>
      <c r="K73" s="45" t="s">
        <v>48</v>
      </c>
      <c r="L73" s="48">
        <v>133.83000000000001</v>
      </c>
      <c r="M73" s="49">
        <v>20241114691</v>
      </c>
      <c r="N73" s="50" t="s">
        <v>28</v>
      </c>
      <c r="O73" s="50"/>
      <c r="P73" s="50"/>
      <c r="Q73" s="51" t="s">
        <v>1919</v>
      </c>
      <c r="R73" s="50"/>
      <c r="S73" s="50"/>
      <c r="T73" s="51"/>
      <c r="U73" s="50"/>
    </row>
    <row r="74" spans="1:21" ht="30" x14ac:dyDescent="0.25">
      <c r="A74" s="45" t="s">
        <v>324</v>
      </c>
      <c r="B74" s="46">
        <v>45622</v>
      </c>
      <c r="C74" s="45" t="s">
        <v>175</v>
      </c>
      <c r="D74" s="47"/>
      <c r="E74" s="45" t="s">
        <v>208</v>
      </c>
      <c r="F74" s="45" t="s">
        <v>209</v>
      </c>
      <c r="G74" s="45" t="s">
        <v>298</v>
      </c>
      <c r="H74" s="45" t="s">
        <v>1915</v>
      </c>
      <c r="I74" s="45" t="s">
        <v>1916</v>
      </c>
      <c r="J74" s="45">
        <v>48474</v>
      </c>
      <c r="K74" s="45" t="s">
        <v>184</v>
      </c>
      <c r="L74" s="48">
        <v>133.83000000000001</v>
      </c>
      <c r="M74" s="49">
        <v>20241114692</v>
      </c>
      <c r="N74" s="50" t="s">
        <v>28</v>
      </c>
      <c r="O74" s="50"/>
      <c r="P74" s="50"/>
      <c r="Q74" s="51" t="s">
        <v>1919</v>
      </c>
      <c r="R74" s="50"/>
      <c r="S74" s="50"/>
      <c r="T74" s="51"/>
      <c r="U74" s="50"/>
    </row>
    <row r="75" spans="1:21" x14ac:dyDescent="0.25">
      <c r="A75" s="45" t="s">
        <v>20</v>
      </c>
      <c r="B75" s="46">
        <v>45737</v>
      </c>
      <c r="C75" s="45" t="s">
        <v>352</v>
      </c>
      <c r="D75" s="47" t="s">
        <v>114</v>
      </c>
      <c r="E75" s="45" t="s">
        <v>208</v>
      </c>
      <c r="F75" s="45" t="s">
        <v>209</v>
      </c>
      <c r="G75" s="45" t="s">
        <v>164</v>
      </c>
      <c r="H75" s="45" t="s">
        <v>616</v>
      </c>
      <c r="I75" s="45" t="s">
        <v>394</v>
      </c>
      <c r="J75" s="45">
        <v>62746</v>
      </c>
      <c r="K75" s="45" t="s">
        <v>1920</v>
      </c>
      <c r="L75" s="48">
        <v>2.82</v>
      </c>
      <c r="M75" s="49">
        <v>20241111557</v>
      </c>
      <c r="N75" s="50" t="s">
        <v>28</v>
      </c>
      <c r="O75" s="50"/>
      <c r="P75" s="50"/>
      <c r="Q75" s="51"/>
      <c r="R75" s="50"/>
      <c r="S75" s="50"/>
      <c r="T75" s="51"/>
      <c r="U75" s="50"/>
    </row>
    <row r="76" spans="1:21" x14ac:dyDescent="0.25">
      <c r="A76" s="45" t="s">
        <v>20</v>
      </c>
      <c r="B76" s="46">
        <v>45737</v>
      </c>
      <c r="C76" s="45" t="s">
        <v>352</v>
      </c>
      <c r="D76" s="47" t="s">
        <v>114</v>
      </c>
      <c r="E76" s="45" t="s">
        <v>208</v>
      </c>
      <c r="F76" s="45" t="s">
        <v>209</v>
      </c>
      <c r="G76" s="45" t="s">
        <v>164</v>
      </c>
      <c r="H76" s="45" t="s">
        <v>616</v>
      </c>
      <c r="I76" s="45" t="s">
        <v>394</v>
      </c>
      <c r="J76" s="45">
        <v>62746</v>
      </c>
      <c r="K76" s="45" t="s">
        <v>213</v>
      </c>
      <c r="L76" s="48">
        <v>5.77</v>
      </c>
      <c r="M76" s="49">
        <v>20241111583</v>
      </c>
      <c r="N76" s="50" t="s">
        <v>28</v>
      </c>
      <c r="O76" s="50"/>
      <c r="P76" s="50"/>
      <c r="Q76" s="51"/>
      <c r="R76" s="50"/>
      <c r="S76" s="50"/>
      <c r="T76" s="51"/>
      <c r="U76" s="50"/>
    </row>
    <row r="77" spans="1:21" x14ac:dyDescent="0.25">
      <c r="A77" s="45" t="s">
        <v>20</v>
      </c>
      <c r="B77" s="46">
        <v>45737</v>
      </c>
      <c r="C77" s="45" t="s">
        <v>352</v>
      </c>
      <c r="D77" s="47" t="s">
        <v>114</v>
      </c>
      <c r="E77" s="45" t="s">
        <v>208</v>
      </c>
      <c r="F77" s="45" t="s">
        <v>209</v>
      </c>
      <c r="G77" s="45" t="s">
        <v>164</v>
      </c>
      <c r="H77" s="45" t="s">
        <v>616</v>
      </c>
      <c r="I77" s="45" t="s">
        <v>394</v>
      </c>
      <c r="J77" s="45">
        <v>62746</v>
      </c>
      <c r="K77" s="45" t="s">
        <v>1921</v>
      </c>
      <c r="L77" s="48">
        <v>5.77</v>
      </c>
      <c r="M77" s="49">
        <v>20241111553</v>
      </c>
      <c r="N77" s="50" t="s">
        <v>28</v>
      </c>
      <c r="O77" s="50"/>
      <c r="P77" s="50"/>
      <c r="Q77" s="51"/>
      <c r="R77" s="50"/>
      <c r="S77" s="50"/>
      <c r="T77" s="51"/>
      <c r="U77" s="50"/>
    </row>
    <row r="78" spans="1:21" x14ac:dyDescent="0.25">
      <c r="A78" s="45" t="s">
        <v>20</v>
      </c>
      <c r="B78" s="46">
        <v>45737</v>
      </c>
      <c r="C78" s="45" t="s">
        <v>352</v>
      </c>
      <c r="D78" s="47" t="s">
        <v>114</v>
      </c>
      <c r="E78" s="45" t="s">
        <v>208</v>
      </c>
      <c r="F78" s="45" t="s">
        <v>209</v>
      </c>
      <c r="G78" s="45" t="s">
        <v>164</v>
      </c>
      <c r="H78" s="45" t="s">
        <v>616</v>
      </c>
      <c r="I78" s="45" t="s">
        <v>394</v>
      </c>
      <c r="J78" s="45">
        <v>62746</v>
      </c>
      <c r="K78" s="45" t="s">
        <v>1588</v>
      </c>
      <c r="L78" s="48">
        <v>21.99</v>
      </c>
      <c r="M78" s="49">
        <v>20241111629</v>
      </c>
      <c r="N78" s="50" t="s">
        <v>28</v>
      </c>
      <c r="O78" s="50"/>
      <c r="P78" s="50"/>
      <c r="Q78" s="51"/>
      <c r="R78" s="50"/>
      <c r="S78" s="50"/>
      <c r="T78" s="51"/>
      <c r="U78" s="50"/>
    </row>
    <row r="79" spans="1:21" x14ac:dyDescent="0.25">
      <c r="A79" s="45" t="s">
        <v>20</v>
      </c>
      <c r="B79" s="46">
        <v>45737</v>
      </c>
      <c r="C79" s="45" t="s">
        <v>352</v>
      </c>
      <c r="D79" s="47" t="s">
        <v>114</v>
      </c>
      <c r="E79" s="45" t="s">
        <v>208</v>
      </c>
      <c r="F79" s="45" t="s">
        <v>209</v>
      </c>
      <c r="G79" s="45" t="s">
        <v>164</v>
      </c>
      <c r="H79" s="45" t="s">
        <v>616</v>
      </c>
      <c r="I79" s="45" t="s">
        <v>394</v>
      </c>
      <c r="J79" s="45">
        <v>62746</v>
      </c>
      <c r="K79" s="45" t="s">
        <v>1750</v>
      </c>
      <c r="L79" s="48">
        <v>5.77</v>
      </c>
      <c r="M79" s="49">
        <v>20241111614</v>
      </c>
      <c r="N79" s="50" t="s">
        <v>28</v>
      </c>
      <c r="O79" s="50"/>
      <c r="P79" s="50"/>
      <c r="Q79" s="51"/>
      <c r="R79" s="50"/>
      <c r="S79" s="50"/>
      <c r="T79" s="51"/>
      <c r="U79" s="50"/>
    </row>
    <row r="80" spans="1:21" x14ac:dyDescent="0.25">
      <c r="A80" s="45" t="s">
        <v>20</v>
      </c>
      <c r="B80" s="46">
        <v>45737</v>
      </c>
      <c r="C80" s="45" t="s">
        <v>352</v>
      </c>
      <c r="D80" s="47" t="s">
        <v>114</v>
      </c>
      <c r="E80" s="45" t="s">
        <v>208</v>
      </c>
      <c r="F80" s="45" t="s">
        <v>209</v>
      </c>
      <c r="G80" s="45" t="s">
        <v>164</v>
      </c>
      <c r="H80" s="45" t="s">
        <v>616</v>
      </c>
      <c r="I80" s="45" t="s">
        <v>394</v>
      </c>
      <c r="J80" s="45">
        <v>62746</v>
      </c>
      <c r="K80" s="45" t="s">
        <v>383</v>
      </c>
      <c r="L80" s="48">
        <v>3.18</v>
      </c>
      <c r="M80" s="49">
        <v>20241111627</v>
      </c>
      <c r="N80" s="50" t="s">
        <v>28</v>
      </c>
      <c r="O80" s="50"/>
      <c r="P80" s="50"/>
      <c r="Q80" s="51"/>
      <c r="R80" s="50"/>
      <c r="S80" s="50"/>
      <c r="T80" s="51"/>
      <c r="U80" s="50"/>
    </row>
    <row r="81" spans="1:21" x14ac:dyDescent="0.25">
      <c r="A81" s="45" t="s">
        <v>20</v>
      </c>
      <c r="B81" s="46">
        <v>45737</v>
      </c>
      <c r="C81" s="45" t="s">
        <v>352</v>
      </c>
      <c r="D81" s="47" t="s">
        <v>114</v>
      </c>
      <c r="E81" s="45" t="s">
        <v>208</v>
      </c>
      <c r="F81" s="45" t="s">
        <v>209</v>
      </c>
      <c r="G81" s="45" t="s">
        <v>164</v>
      </c>
      <c r="H81" s="45" t="s">
        <v>616</v>
      </c>
      <c r="I81" s="45" t="s">
        <v>394</v>
      </c>
      <c r="J81" s="45">
        <v>62746</v>
      </c>
      <c r="K81" s="45" t="s">
        <v>1922</v>
      </c>
      <c r="L81" s="48">
        <v>8.9499999999999993</v>
      </c>
      <c r="M81" s="49">
        <v>20241111538</v>
      </c>
      <c r="N81" s="50" t="s">
        <v>28</v>
      </c>
      <c r="O81" s="50"/>
      <c r="P81" s="50"/>
      <c r="Q81" s="51"/>
      <c r="R81" s="50"/>
      <c r="S81" s="50"/>
      <c r="T81" s="51"/>
      <c r="U81" s="50"/>
    </row>
    <row r="82" spans="1:21" ht="25.5" x14ac:dyDescent="0.25">
      <c r="A82" s="45" t="s">
        <v>29</v>
      </c>
      <c r="B82" s="46">
        <v>45757</v>
      </c>
      <c r="C82" s="45" t="s">
        <v>352</v>
      </c>
      <c r="D82" s="47" t="s">
        <v>175</v>
      </c>
      <c r="E82" s="45" t="s">
        <v>245</v>
      </c>
      <c r="F82" s="45" t="s">
        <v>246</v>
      </c>
      <c r="G82" s="45" t="s">
        <v>1923</v>
      </c>
      <c r="H82" s="45" t="s">
        <v>371</v>
      </c>
      <c r="I82" s="45" t="s">
        <v>1924</v>
      </c>
      <c r="J82" s="45">
        <v>510022401</v>
      </c>
      <c r="K82" s="45" t="s">
        <v>1337</v>
      </c>
      <c r="L82" s="48">
        <v>900</v>
      </c>
      <c r="M82" s="49">
        <v>20241105640</v>
      </c>
      <c r="N82" s="50" t="s">
        <v>28</v>
      </c>
      <c r="O82" s="50"/>
      <c r="P82" s="50"/>
      <c r="Q82" s="51"/>
      <c r="R82" s="50"/>
      <c r="S82" s="50"/>
      <c r="T82" s="51"/>
      <c r="U82" s="50"/>
    </row>
    <row r="83" spans="1:21" x14ac:dyDescent="0.25">
      <c r="A83" s="45" t="s">
        <v>233</v>
      </c>
      <c r="B83" s="46">
        <v>45757</v>
      </c>
      <c r="C83" s="45" t="s">
        <v>352</v>
      </c>
      <c r="D83" s="47" t="s">
        <v>175</v>
      </c>
      <c r="E83" s="45" t="s">
        <v>245</v>
      </c>
      <c r="F83" s="45" t="s">
        <v>246</v>
      </c>
      <c r="G83" s="45" t="s">
        <v>247</v>
      </c>
      <c r="H83" s="45" t="s">
        <v>1925</v>
      </c>
      <c r="I83" s="45" t="s">
        <v>1926</v>
      </c>
      <c r="J83" s="45">
        <v>510887243</v>
      </c>
      <c r="K83" s="45" t="s">
        <v>223</v>
      </c>
      <c r="L83" s="48">
        <v>5019.6000000000004</v>
      </c>
      <c r="M83" s="49">
        <v>20241111176</v>
      </c>
      <c r="N83" s="50" t="s">
        <v>28</v>
      </c>
      <c r="O83" s="50"/>
      <c r="P83" s="50"/>
      <c r="Q83" s="51"/>
      <c r="R83" s="50"/>
      <c r="S83" s="50"/>
      <c r="T83" s="51"/>
      <c r="U83" s="50"/>
    </row>
    <row r="84" spans="1:21" ht="150" x14ac:dyDescent="0.25">
      <c r="A84" s="45" t="s">
        <v>1283</v>
      </c>
      <c r="B84" s="46">
        <v>45757</v>
      </c>
      <c r="C84" s="45" t="s">
        <v>352</v>
      </c>
      <c r="D84" s="47" t="s">
        <v>175</v>
      </c>
      <c r="E84" s="45" t="s">
        <v>245</v>
      </c>
      <c r="F84" s="45" t="s">
        <v>246</v>
      </c>
      <c r="G84" s="45" t="s">
        <v>1284</v>
      </c>
      <c r="H84" s="45" t="s">
        <v>1927</v>
      </c>
      <c r="I84" s="45" t="s">
        <v>1928</v>
      </c>
      <c r="J84" s="45">
        <v>518048261</v>
      </c>
      <c r="K84" s="45" t="s">
        <v>309</v>
      </c>
      <c r="L84" s="48">
        <v>478</v>
      </c>
      <c r="M84" s="49">
        <v>20241112400</v>
      </c>
      <c r="N84" s="50" t="s">
        <v>124</v>
      </c>
      <c r="O84" s="50" t="s">
        <v>124</v>
      </c>
      <c r="P84" s="50"/>
      <c r="Q84" s="51" t="s">
        <v>1929</v>
      </c>
      <c r="R84" s="50"/>
      <c r="S84" s="50"/>
      <c r="T84" s="51"/>
      <c r="U84" s="50"/>
    </row>
    <row r="85" spans="1:21" x14ac:dyDescent="0.25">
      <c r="A85" s="45" t="s">
        <v>1283</v>
      </c>
      <c r="B85" s="46">
        <v>45757</v>
      </c>
      <c r="C85" s="45" t="s">
        <v>352</v>
      </c>
      <c r="D85" s="47" t="s">
        <v>175</v>
      </c>
      <c r="E85" s="45" t="s">
        <v>245</v>
      </c>
      <c r="F85" s="45" t="s">
        <v>246</v>
      </c>
      <c r="G85" s="45" t="s">
        <v>1284</v>
      </c>
      <c r="H85" s="45" t="s">
        <v>1927</v>
      </c>
      <c r="I85" s="45" t="s">
        <v>1928</v>
      </c>
      <c r="J85" s="45">
        <v>518048261</v>
      </c>
      <c r="K85" s="45" t="s">
        <v>1930</v>
      </c>
      <c r="L85" s="48">
        <v>340.13</v>
      </c>
      <c r="M85" s="49">
        <v>20241112404</v>
      </c>
      <c r="N85" s="50" t="s">
        <v>28</v>
      </c>
      <c r="O85" s="50"/>
      <c r="P85" s="50"/>
      <c r="Q85" s="51"/>
      <c r="R85" s="50"/>
      <c r="S85" s="50"/>
      <c r="T85" s="51"/>
      <c r="U85" s="50"/>
    </row>
    <row r="86" spans="1:21" ht="30" x14ac:dyDescent="0.25">
      <c r="A86" s="45" t="s">
        <v>1765</v>
      </c>
      <c r="B86" s="46">
        <v>45757</v>
      </c>
      <c r="C86" s="45" t="s">
        <v>352</v>
      </c>
      <c r="D86" s="47" t="s">
        <v>175</v>
      </c>
      <c r="E86" s="45" t="s">
        <v>245</v>
      </c>
      <c r="F86" s="45" t="s">
        <v>246</v>
      </c>
      <c r="G86" s="45" t="s">
        <v>1284</v>
      </c>
      <c r="H86" s="45" t="s">
        <v>1927</v>
      </c>
      <c r="I86" s="45" t="s">
        <v>1928</v>
      </c>
      <c r="J86" s="45">
        <v>518048261</v>
      </c>
      <c r="K86" s="45" t="s">
        <v>309</v>
      </c>
      <c r="L86" s="48">
        <v>478</v>
      </c>
      <c r="M86" s="49">
        <v>20241112400</v>
      </c>
      <c r="N86" s="50" t="s">
        <v>28</v>
      </c>
      <c r="O86" s="50"/>
      <c r="P86" s="50"/>
      <c r="Q86" s="51" t="s">
        <v>1931</v>
      </c>
      <c r="R86" s="50"/>
      <c r="S86" s="50"/>
      <c r="T86" s="51"/>
      <c r="U86" s="50"/>
    </row>
    <row r="87" spans="1:21" x14ac:dyDescent="0.25">
      <c r="A87" s="45" t="s">
        <v>1283</v>
      </c>
      <c r="B87" s="46">
        <v>45757</v>
      </c>
      <c r="C87" s="45" t="s">
        <v>352</v>
      </c>
      <c r="D87" s="47" t="s">
        <v>175</v>
      </c>
      <c r="E87" s="45" t="s">
        <v>245</v>
      </c>
      <c r="F87" s="45" t="s">
        <v>246</v>
      </c>
      <c r="G87" s="45" t="s">
        <v>1284</v>
      </c>
      <c r="H87" s="45" t="s">
        <v>1932</v>
      </c>
      <c r="I87" s="45" t="s">
        <v>1933</v>
      </c>
      <c r="J87" s="45">
        <v>518236562</v>
      </c>
      <c r="K87" s="45" t="s">
        <v>393</v>
      </c>
      <c r="L87" s="48">
        <v>132.03</v>
      </c>
      <c r="M87" s="49">
        <v>20241112408</v>
      </c>
      <c r="N87" s="50" t="s">
        <v>28</v>
      </c>
      <c r="O87" s="50"/>
      <c r="P87" s="50"/>
      <c r="Q87" s="51"/>
      <c r="R87" s="50"/>
      <c r="S87" s="50"/>
      <c r="T87" s="51"/>
      <c r="U87" s="50"/>
    </row>
    <row r="88" spans="1:21" x14ac:dyDescent="0.25">
      <c r="A88" s="45" t="s">
        <v>1283</v>
      </c>
      <c r="B88" s="46">
        <v>45757</v>
      </c>
      <c r="C88" s="45" t="s">
        <v>352</v>
      </c>
      <c r="D88" s="47" t="s">
        <v>175</v>
      </c>
      <c r="E88" s="45" t="s">
        <v>245</v>
      </c>
      <c r="F88" s="45" t="s">
        <v>246</v>
      </c>
      <c r="G88" s="45" t="s">
        <v>1284</v>
      </c>
      <c r="H88" s="45" t="s">
        <v>1932</v>
      </c>
      <c r="I88" s="45" t="s">
        <v>1933</v>
      </c>
      <c r="J88" s="45">
        <v>518236562</v>
      </c>
      <c r="K88" s="45" t="s">
        <v>422</v>
      </c>
      <c r="L88" s="48">
        <v>17.04</v>
      </c>
      <c r="M88" s="49">
        <v>20241112403</v>
      </c>
      <c r="N88" s="50" t="s">
        <v>28</v>
      </c>
      <c r="O88" s="50"/>
      <c r="P88" s="50"/>
      <c r="Q88" s="51"/>
      <c r="R88" s="50"/>
      <c r="S88" s="50"/>
      <c r="T88" s="51"/>
      <c r="U88" s="50"/>
    </row>
    <row r="89" spans="1:21" x14ac:dyDescent="0.25">
      <c r="A89" s="45" t="s">
        <v>1765</v>
      </c>
      <c r="B89" s="46">
        <v>45757</v>
      </c>
      <c r="C89" s="45" t="s">
        <v>352</v>
      </c>
      <c r="D89" s="47" t="s">
        <v>175</v>
      </c>
      <c r="E89" s="45" t="s">
        <v>245</v>
      </c>
      <c r="F89" s="45" t="s">
        <v>246</v>
      </c>
      <c r="G89" s="45" t="s">
        <v>1284</v>
      </c>
      <c r="H89" s="45" t="s">
        <v>1932</v>
      </c>
      <c r="I89" s="45" t="s">
        <v>1933</v>
      </c>
      <c r="J89" s="45">
        <v>518236562</v>
      </c>
      <c r="K89" s="45" t="s">
        <v>422</v>
      </c>
      <c r="L89" s="48">
        <v>17.04</v>
      </c>
      <c r="M89" s="49">
        <v>20241112403</v>
      </c>
      <c r="N89" s="50" t="s">
        <v>28</v>
      </c>
      <c r="O89" s="50"/>
      <c r="P89" s="50"/>
      <c r="Q89" s="51"/>
      <c r="R89" s="50"/>
      <c r="S89" s="50"/>
      <c r="T89" s="51"/>
      <c r="U89" s="50"/>
    </row>
    <row r="90" spans="1:21" x14ac:dyDescent="0.25">
      <c r="A90" s="45" t="s">
        <v>1283</v>
      </c>
      <c r="B90" s="46">
        <v>45757</v>
      </c>
      <c r="C90" s="45" t="s">
        <v>352</v>
      </c>
      <c r="D90" s="47" t="s">
        <v>175</v>
      </c>
      <c r="E90" s="45" t="s">
        <v>245</v>
      </c>
      <c r="F90" s="45" t="s">
        <v>246</v>
      </c>
      <c r="G90" s="45" t="s">
        <v>1284</v>
      </c>
      <c r="H90" s="45" t="s">
        <v>1934</v>
      </c>
      <c r="I90" s="45" t="s">
        <v>1935</v>
      </c>
      <c r="J90" s="45">
        <v>518926095</v>
      </c>
      <c r="K90" s="45" t="s">
        <v>894</v>
      </c>
      <c r="L90" s="48">
        <v>458.48</v>
      </c>
      <c r="M90" s="49">
        <v>20241112394</v>
      </c>
      <c r="N90" s="50" t="s">
        <v>28</v>
      </c>
      <c r="O90" s="50"/>
      <c r="P90" s="50"/>
      <c r="Q90" s="51"/>
      <c r="R90" s="50"/>
      <c r="S90" s="50"/>
      <c r="T90" s="51"/>
      <c r="U90" s="50"/>
    </row>
    <row r="91" spans="1:21" x14ac:dyDescent="0.25">
      <c r="A91" s="45" t="s">
        <v>1765</v>
      </c>
      <c r="B91" s="46">
        <v>45757</v>
      </c>
      <c r="C91" s="45" t="s">
        <v>352</v>
      </c>
      <c r="D91" s="47" t="s">
        <v>175</v>
      </c>
      <c r="E91" s="45" t="s">
        <v>245</v>
      </c>
      <c r="F91" s="45" t="s">
        <v>246</v>
      </c>
      <c r="G91" s="45" t="s">
        <v>1284</v>
      </c>
      <c r="H91" s="45" t="s">
        <v>1934</v>
      </c>
      <c r="I91" s="45" t="s">
        <v>1935</v>
      </c>
      <c r="J91" s="45">
        <v>518926095</v>
      </c>
      <c r="K91" s="45" t="s">
        <v>1936</v>
      </c>
      <c r="L91" s="48">
        <v>445.58</v>
      </c>
      <c r="M91" s="49">
        <v>20241112410</v>
      </c>
      <c r="N91" s="50" t="s">
        <v>28</v>
      </c>
      <c r="O91" s="50"/>
      <c r="P91" s="50"/>
      <c r="Q91" s="51"/>
      <c r="R91" s="50"/>
      <c r="S91" s="50"/>
      <c r="T91" s="51"/>
      <c r="U91" s="50"/>
    </row>
    <row r="92" spans="1:21" x14ac:dyDescent="0.25">
      <c r="A92" s="45" t="s">
        <v>1283</v>
      </c>
      <c r="B92" s="46">
        <v>45757</v>
      </c>
      <c r="C92" s="45" t="s">
        <v>352</v>
      </c>
      <c r="D92" s="47" t="s">
        <v>175</v>
      </c>
      <c r="E92" s="45" t="s">
        <v>245</v>
      </c>
      <c r="F92" s="45" t="s">
        <v>246</v>
      </c>
      <c r="G92" s="45" t="s">
        <v>1284</v>
      </c>
      <c r="H92" s="45" t="s">
        <v>1934</v>
      </c>
      <c r="I92" s="45" t="s">
        <v>1935</v>
      </c>
      <c r="J92" s="45">
        <v>518926095</v>
      </c>
      <c r="K92" s="45" t="s">
        <v>1936</v>
      </c>
      <c r="L92" s="48">
        <v>445.58</v>
      </c>
      <c r="M92" s="49">
        <v>20241112410</v>
      </c>
      <c r="N92" s="50" t="s">
        <v>28</v>
      </c>
      <c r="O92" s="50"/>
      <c r="P92" s="50"/>
      <c r="Q92" s="51"/>
      <c r="R92" s="50"/>
      <c r="S92" s="50"/>
      <c r="T92" s="51"/>
      <c r="U92" s="50"/>
    </row>
    <row r="93" spans="1:21" x14ac:dyDescent="0.25">
      <c r="A93" s="45" t="s">
        <v>1765</v>
      </c>
      <c r="B93" s="46">
        <v>45757</v>
      </c>
      <c r="C93" s="45" t="s">
        <v>352</v>
      </c>
      <c r="D93" s="47" t="s">
        <v>175</v>
      </c>
      <c r="E93" s="45" t="s">
        <v>245</v>
      </c>
      <c r="F93" s="45" t="s">
        <v>246</v>
      </c>
      <c r="G93" s="45" t="s">
        <v>1284</v>
      </c>
      <c r="H93" s="45" t="s">
        <v>1934</v>
      </c>
      <c r="I93" s="45" t="s">
        <v>1935</v>
      </c>
      <c r="J93" s="45">
        <v>518926095</v>
      </c>
      <c r="K93" s="45" t="s">
        <v>894</v>
      </c>
      <c r="L93" s="48">
        <v>458.48</v>
      </c>
      <c r="M93" s="49">
        <v>20241112394</v>
      </c>
      <c r="N93" s="50" t="s">
        <v>28</v>
      </c>
      <c r="O93" s="50"/>
      <c r="P93" s="50"/>
      <c r="Q93" s="51"/>
      <c r="R93" s="50"/>
      <c r="S93" s="50"/>
      <c r="T93" s="51"/>
      <c r="U93" s="50"/>
    </row>
    <row r="94" spans="1:21" x14ac:dyDescent="0.25">
      <c r="A94" s="45" t="s">
        <v>1765</v>
      </c>
      <c r="B94" s="46">
        <v>45757</v>
      </c>
      <c r="C94" s="45" t="s">
        <v>352</v>
      </c>
      <c r="D94" s="47" t="s">
        <v>175</v>
      </c>
      <c r="E94" s="45" t="s">
        <v>245</v>
      </c>
      <c r="F94" s="45" t="s">
        <v>246</v>
      </c>
      <c r="G94" s="45" t="s">
        <v>1284</v>
      </c>
      <c r="H94" s="45" t="s">
        <v>1937</v>
      </c>
      <c r="I94" s="45" t="s">
        <v>1938</v>
      </c>
      <c r="J94" s="45">
        <v>518987888</v>
      </c>
      <c r="K94" s="45" t="s">
        <v>270</v>
      </c>
      <c r="L94" s="48">
        <v>89.07</v>
      </c>
      <c r="M94" s="49">
        <v>20241112406</v>
      </c>
      <c r="N94" s="50" t="s">
        <v>28</v>
      </c>
      <c r="O94" s="50"/>
      <c r="P94" s="50"/>
      <c r="Q94" s="51"/>
      <c r="R94" s="50"/>
      <c r="S94" s="50"/>
      <c r="T94" s="51"/>
      <c r="U94" s="50"/>
    </row>
    <row r="95" spans="1:21" x14ac:dyDescent="0.25">
      <c r="A95" s="45" t="s">
        <v>1765</v>
      </c>
      <c r="B95" s="46">
        <v>45757</v>
      </c>
      <c r="C95" s="45" t="s">
        <v>352</v>
      </c>
      <c r="D95" s="47" t="s">
        <v>175</v>
      </c>
      <c r="E95" s="45" t="s">
        <v>245</v>
      </c>
      <c r="F95" s="45" t="s">
        <v>246</v>
      </c>
      <c r="G95" s="45" t="s">
        <v>1284</v>
      </c>
      <c r="H95" s="45" t="s">
        <v>1939</v>
      </c>
      <c r="I95" s="45" t="s">
        <v>1940</v>
      </c>
      <c r="J95" s="45">
        <v>519021460</v>
      </c>
      <c r="K95" s="45" t="s">
        <v>1071</v>
      </c>
      <c r="L95" s="48">
        <v>1419.82</v>
      </c>
      <c r="M95" s="49">
        <v>20241112395</v>
      </c>
      <c r="N95" s="50" t="s">
        <v>28</v>
      </c>
      <c r="O95" s="50"/>
      <c r="P95" s="50"/>
      <c r="Q95" s="51"/>
      <c r="R95" s="50"/>
      <c r="S95" s="50"/>
      <c r="T95" s="51"/>
      <c r="U95" s="50"/>
    </row>
    <row r="96" spans="1:21" x14ac:dyDescent="0.25">
      <c r="A96" s="45" t="s">
        <v>1765</v>
      </c>
      <c r="B96" s="46">
        <v>45757</v>
      </c>
      <c r="C96" s="45" t="s">
        <v>352</v>
      </c>
      <c r="D96" s="47" t="s">
        <v>175</v>
      </c>
      <c r="E96" s="45" t="s">
        <v>245</v>
      </c>
      <c r="F96" s="45" t="s">
        <v>246</v>
      </c>
      <c r="G96" s="45" t="s">
        <v>1284</v>
      </c>
      <c r="H96" s="45" t="s">
        <v>1939</v>
      </c>
      <c r="I96" s="45" t="s">
        <v>1940</v>
      </c>
      <c r="J96" s="45">
        <v>519021460</v>
      </c>
      <c r="K96" s="45" t="s">
        <v>1219</v>
      </c>
      <c r="L96" s="48">
        <v>279.08</v>
      </c>
      <c r="M96" s="49">
        <v>20241112398</v>
      </c>
      <c r="N96" s="50" t="s">
        <v>28</v>
      </c>
      <c r="O96" s="50"/>
      <c r="P96" s="50"/>
      <c r="Q96" s="51"/>
      <c r="R96" s="50"/>
      <c r="S96" s="50"/>
      <c r="T96" s="51"/>
      <c r="U96" s="50"/>
    </row>
    <row r="97" spans="1:21" x14ac:dyDescent="0.25">
      <c r="A97" s="45" t="s">
        <v>20</v>
      </c>
      <c r="B97" s="46">
        <v>45757</v>
      </c>
      <c r="C97" s="45" t="s">
        <v>352</v>
      </c>
      <c r="D97" s="47" t="s">
        <v>168</v>
      </c>
      <c r="E97" s="45" t="s">
        <v>635</v>
      </c>
      <c r="F97" s="45" t="s">
        <v>636</v>
      </c>
      <c r="G97" s="45" t="s">
        <v>1941</v>
      </c>
      <c r="H97" s="45" t="s">
        <v>1308</v>
      </c>
      <c r="I97" s="45" t="s">
        <v>1942</v>
      </c>
      <c r="J97" s="45">
        <v>529886946</v>
      </c>
      <c r="K97" s="45" t="s">
        <v>1943</v>
      </c>
      <c r="L97" s="48">
        <v>3504.37</v>
      </c>
      <c r="M97" s="49">
        <v>20241113679</v>
      </c>
      <c r="N97" s="50" t="s">
        <v>28</v>
      </c>
      <c r="O97" s="50"/>
      <c r="P97" s="50"/>
      <c r="Q97" s="51"/>
      <c r="R97" s="50"/>
      <c r="S97" s="50"/>
      <c r="T97" s="51"/>
      <c r="U97" s="50"/>
    </row>
    <row r="98" spans="1:21" x14ac:dyDescent="0.25">
      <c r="A98" s="45" t="s">
        <v>20</v>
      </c>
      <c r="B98" s="46">
        <v>45757</v>
      </c>
      <c r="C98" s="45" t="s">
        <v>352</v>
      </c>
      <c r="D98" s="47" t="s">
        <v>168</v>
      </c>
      <c r="E98" s="45" t="s">
        <v>277</v>
      </c>
      <c r="F98" s="45" t="s">
        <v>278</v>
      </c>
      <c r="G98" s="45" t="s">
        <v>1944</v>
      </c>
      <c r="H98" s="45" t="s">
        <v>1945</v>
      </c>
      <c r="I98" s="45" t="s">
        <v>1946</v>
      </c>
      <c r="J98" s="45">
        <v>528616848</v>
      </c>
      <c r="K98" s="45" t="s">
        <v>1947</v>
      </c>
      <c r="L98" s="48">
        <v>29.51</v>
      </c>
      <c r="M98" s="49">
        <v>20241112620</v>
      </c>
      <c r="N98" s="50" t="s">
        <v>28</v>
      </c>
      <c r="O98" s="50"/>
      <c r="P98" s="50"/>
      <c r="Q98" s="51"/>
      <c r="R98" s="50"/>
      <c r="S98" s="50"/>
      <c r="T98" s="51"/>
      <c r="U98" s="50"/>
    </row>
    <row r="99" spans="1:21" x14ac:dyDescent="0.25">
      <c r="A99" s="45" t="s">
        <v>20</v>
      </c>
      <c r="B99" s="46">
        <v>45757</v>
      </c>
      <c r="C99" s="45" t="s">
        <v>352</v>
      </c>
      <c r="D99" s="47" t="s">
        <v>168</v>
      </c>
      <c r="E99" s="45" t="s">
        <v>277</v>
      </c>
      <c r="F99" s="45" t="s">
        <v>278</v>
      </c>
      <c r="G99" s="45" t="s">
        <v>900</v>
      </c>
      <c r="H99" s="45" t="s">
        <v>1948</v>
      </c>
      <c r="I99" s="45" t="s">
        <v>1949</v>
      </c>
      <c r="J99" s="45">
        <v>528720531</v>
      </c>
      <c r="K99" s="45" t="s">
        <v>1907</v>
      </c>
      <c r="L99" s="48">
        <v>60</v>
      </c>
      <c r="M99" s="49">
        <v>20241114448</v>
      </c>
      <c r="N99" s="50" t="s">
        <v>28</v>
      </c>
      <c r="O99" s="50"/>
      <c r="P99" s="50"/>
      <c r="Q99" s="51"/>
      <c r="R99" s="50"/>
      <c r="S99" s="50"/>
      <c r="T99" s="51"/>
      <c r="U99" s="50"/>
    </row>
    <row r="100" spans="1:21" x14ac:dyDescent="0.25">
      <c r="A100" s="45" t="s">
        <v>20</v>
      </c>
      <c r="B100" s="46">
        <v>45757</v>
      </c>
      <c r="C100" s="45" t="s">
        <v>352</v>
      </c>
      <c r="D100" s="47" t="s">
        <v>168</v>
      </c>
      <c r="E100" s="45" t="s">
        <v>277</v>
      </c>
      <c r="F100" s="45" t="s">
        <v>278</v>
      </c>
      <c r="G100" s="45" t="s">
        <v>1294</v>
      </c>
      <c r="H100" s="45" t="s">
        <v>1052</v>
      </c>
      <c r="I100" s="45" t="s">
        <v>1950</v>
      </c>
      <c r="J100" s="45">
        <v>528964940</v>
      </c>
      <c r="K100" s="45" t="s">
        <v>926</v>
      </c>
      <c r="L100" s="48">
        <v>838.7</v>
      </c>
      <c r="M100" s="49">
        <v>20241107309</v>
      </c>
      <c r="N100" s="50" t="s">
        <v>28</v>
      </c>
      <c r="O100" s="50"/>
      <c r="P100" s="50"/>
      <c r="Q100" s="51"/>
      <c r="R100" s="50"/>
      <c r="S100" s="50"/>
      <c r="T100" s="51"/>
      <c r="U100" s="50"/>
    </row>
    <row r="101" spans="1:21" x14ac:dyDescent="0.25">
      <c r="A101" s="45" t="s">
        <v>756</v>
      </c>
      <c r="B101" s="46">
        <v>45757</v>
      </c>
      <c r="C101" s="45" t="s">
        <v>352</v>
      </c>
      <c r="D101" s="47" t="s">
        <v>168</v>
      </c>
      <c r="E101" s="45" t="s">
        <v>277</v>
      </c>
      <c r="F101" s="45" t="s">
        <v>278</v>
      </c>
      <c r="G101" s="45" t="s">
        <v>1951</v>
      </c>
      <c r="H101" s="45" t="s">
        <v>1091</v>
      </c>
      <c r="I101" s="45" t="s">
        <v>557</v>
      </c>
      <c r="J101" s="45">
        <v>529191643</v>
      </c>
      <c r="K101" s="45" t="s">
        <v>1491</v>
      </c>
      <c r="L101" s="48">
        <v>3373.18</v>
      </c>
      <c r="M101" s="49">
        <v>20241114521</v>
      </c>
      <c r="N101" s="50" t="s">
        <v>28</v>
      </c>
      <c r="O101" s="50"/>
      <c r="P101" s="50"/>
      <c r="Q101" s="51"/>
      <c r="R101" s="50"/>
      <c r="S101" s="50"/>
      <c r="T101" s="51"/>
      <c r="U101" s="50"/>
    </row>
    <row r="102" spans="1:21" x14ac:dyDescent="0.25">
      <c r="A102" s="45" t="s">
        <v>29</v>
      </c>
      <c r="B102" s="46">
        <v>45757</v>
      </c>
      <c r="C102" s="45" t="s">
        <v>352</v>
      </c>
      <c r="D102" s="47" t="s">
        <v>168</v>
      </c>
      <c r="E102" s="45" t="s">
        <v>277</v>
      </c>
      <c r="F102" s="45" t="s">
        <v>278</v>
      </c>
      <c r="G102" s="45" t="s">
        <v>1952</v>
      </c>
      <c r="H102" s="45" t="s">
        <v>1953</v>
      </c>
      <c r="I102" s="45" t="s">
        <v>1954</v>
      </c>
      <c r="J102" s="45">
        <v>529716472</v>
      </c>
      <c r="K102" s="45" t="s">
        <v>272</v>
      </c>
      <c r="L102" s="48">
        <v>500</v>
      </c>
      <c r="M102" s="49">
        <v>20241115223</v>
      </c>
      <c r="N102" s="50" t="s">
        <v>28</v>
      </c>
      <c r="O102" s="50"/>
      <c r="P102" s="50"/>
      <c r="Q102" s="51"/>
      <c r="R102" s="50"/>
      <c r="S102" s="50"/>
      <c r="T102" s="51"/>
      <c r="U102" s="50"/>
    </row>
    <row r="103" spans="1:21" x14ac:dyDescent="0.25">
      <c r="A103" s="45" t="s">
        <v>20</v>
      </c>
      <c r="B103" s="46">
        <v>45757</v>
      </c>
      <c r="C103" s="45" t="s">
        <v>352</v>
      </c>
      <c r="D103" s="47" t="s">
        <v>168</v>
      </c>
      <c r="E103" s="45" t="s">
        <v>277</v>
      </c>
      <c r="F103" s="45" t="s">
        <v>278</v>
      </c>
      <c r="G103" s="45" t="s">
        <v>1955</v>
      </c>
      <c r="H103" s="45" t="s">
        <v>1956</v>
      </c>
      <c r="I103" s="45" t="s">
        <v>1957</v>
      </c>
      <c r="J103" s="45">
        <v>529883118</v>
      </c>
      <c r="K103" s="45" t="s">
        <v>1338</v>
      </c>
      <c r="L103" s="48">
        <v>5</v>
      </c>
      <c r="M103" s="49">
        <v>20241111792</v>
      </c>
      <c r="N103" s="50" t="s">
        <v>28</v>
      </c>
      <c r="O103" s="50"/>
      <c r="P103" s="50"/>
      <c r="Q103" s="51"/>
      <c r="R103" s="50"/>
      <c r="S103" s="50"/>
      <c r="T103" s="51"/>
      <c r="U103" s="50"/>
    </row>
    <row r="104" spans="1:21" x14ac:dyDescent="0.25">
      <c r="A104" s="45" t="s">
        <v>20</v>
      </c>
      <c r="B104" s="46">
        <v>45757</v>
      </c>
      <c r="C104" s="45" t="s">
        <v>352</v>
      </c>
      <c r="D104" s="47" t="s">
        <v>168</v>
      </c>
      <c r="E104" s="45" t="s">
        <v>277</v>
      </c>
      <c r="F104" s="45" t="s">
        <v>278</v>
      </c>
      <c r="G104" s="45" t="s">
        <v>1955</v>
      </c>
      <c r="H104" s="45" t="s">
        <v>1956</v>
      </c>
      <c r="I104" s="45" t="s">
        <v>1957</v>
      </c>
      <c r="J104" s="45">
        <v>529883118</v>
      </c>
      <c r="K104" s="45" t="s">
        <v>1460</v>
      </c>
      <c r="L104" s="48">
        <v>5</v>
      </c>
      <c r="M104" s="49">
        <v>20241111794</v>
      </c>
      <c r="N104" s="50" t="s">
        <v>28</v>
      </c>
      <c r="O104" s="50"/>
      <c r="P104" s="50"/>
      <c r="Q104" s="51"/>
      <c r="R104" s="50"/>
      <c r="S104" s="50"/>
      <c r="T104" s="51"/>
      <c r="U104" s="50"/>
    </row>
    <row r="105" spans="1:21" x14ac:dyDescent="0.25">
      <c r="A105" s="45" t="s">
        <v>20</v>
      </c>
      <c r="B105" s="46">
        <v>45757</v>
      </c>
      <c r="C105" s="45" t="s">
        <v>352</v>
      </c>
      <c r="D105" s="47" t="s">
        <v>168</v>
      </c>
      <c r="E105" s="45" t="s">
        <v>277</v>
      </c>
      <c r="F105" s="45" t="s">
        <v>278</v>
      </c>
      <c r="G105" s="45" t="s">
        <v>1955</v>
      </c>
      <c r="H105" s="45" t="s">
        <v>1956</v>
      </c>
      <c r="I105" s="45" t="s">
        <v>1957</v>
      </c>
      <c r="J105" s="45">
        <v>529883118</v>
      </c>
      <c r="K105" s="45" t="s">
        <v>747</v>
      </c>
      <c r="L105" s="48">
        <v>24.66</v>
      </c>
      <c r="M105" s="49">
        <v>20241111793</v>
      </c>
      <c r="N105" s="50" t="s">
        <v>28</v>
      </c>
      <c r="O105" s="50"/>
      <c r="P105" s="50"/>
      <c r="Q105" s="51"/>
      <c r="R105" s="50"/>
      <c r="S105" s="50"/>
      <c r="T105" s="51"/>
      <c r="U105" s="50"/>
    </row>
    <row r="106" spans="1:21" x14ac:dyDescent="0.25">
      <c r="A106" s="45" t="s">
        <v>20</v>
      </c>
      <c r="B106" s="46">
        <v>45622</v>
      </c>
      <c r="C106" s="45" t="s">
        <v>114</v>
      </c>
      <c r="D106" s="47"/>
      <c r="E106" s="45" t="s">
        <v>277</v>
      </c>
      <c r="F106" s="45" t="s">
        <v>278</v>
      </c>
      <c r="G106" s="45" t="s">
        <v>1955</v>
      </c>
      <c r="H106" s="45" t="s">
        <v>1956</v>
      </c>
      <c r="I106" s="45" t="s">
        <v>1957</v>
      </c>
      <c r="J106" s="45">
        <v>529883118</v>
      </c>
      <c r="K106" s="45" t="s">
        <v>1888</v>
      </c>
      <c r="L106" s="48">
        <v>85</v>
      </c>
      <c r="M106" s="49">
        <v>20241111795</v>
      </c>
      <c r="N106" s="50" t="s">
        <v>28</v>
      </c>
      <c r="O106" s="50"/>
      <c r="P106" s="50"/>
      <c r="Q106" s="51"/>
      <c r="R106" s="50"/>
      <c r="S106" s="50"/>
      <c r="T106" s="51"/>
      <c r="U106" s="50"/>
    </row>
    <row r="107" spans="1:21" x14ac:dyDescent="0.25">
      <c r="A107" s="45" t="s">
        <v>20</v>
      </c>
      <c r="B107" s="46">
        <v>45622</v>
      </c>
      <c r="C107" s="45" t="s">
        <v>114</v>
      </c>
      <c r="D107" s="47"/>
      <c r="E107" s="45" t="s">
        <v>277</v>
      </c>
      <c r="F107" s="45" t="s">
        <v>278</v>
      </c>
      <c r="G107" s="45" t="s">
        <v>1955</v>
      </c>
      <c r="H107" s="45" t="s">
        <v>1956</v>
      </c>
      <c r="I107" s="45" t="s">
        <v>1957</v>
      </c>
      <c r="J107" s="45">
        <v>529883118</v>
      </c>
      <c r="K107" s="45" t="s">
        <v>1338</v>
      </c>
      <c r="L107" s="48">
        <v>11.99</v>
      </c>
      <c r="M107" s="49">
        <v>20241111791</v>
      </c>
      <c r="N107" s="50" t="s">
        <v>28</v>
      </c>
      <c r="O107" s="50"/>
      <c r="P107" s="50"/>
      <c r="Q107" s="51"/>
      <c r="R107" s="50"/>
      <c r="S107" s="50"/>
      <c r="T107" s="51"/>
      <c r="U107" s="50"/>
    </row>
    <row r="108" spans="1:21" x14ac:dyDescent="0.25">
      <c r="A108" s="45" t="s">
        <v>20</v>
      </c>
      <c r="B108" s="46">
        <v>45622</v>
      </c>
      <c r="C108" s="45" t="s">
        <v>114</v>
      </c>
      <c r="D108" s="47"/>
      <c r="E108" s="45" t="s">
        <v>277</v>
      </c>
      <c r="F108" s="45" t="s">
        <v>278</v>
      </c>
      <c r="G108" s="45" t="s">
        <v>1955</v>
      </c>
      <c r="H108" s="45" t="s">
        <v>1956</v>
      </c>
      <c r="I108" s="45" t="s">
        <v>1957</v>
      </c>
      <c r="J108" s="45">
        <v>529883118</v>
      </c>
      <c r="K108" s="45" t="s">
        <v>1888</v>
      </c>
      <c r="L108" s="48">
        <v>914.76</v>
      </c>
      <c r="M108" s="49">
        <v>20241111796</v>
      </c>
      <c r="N108" s="50" t="s">
        <v>28</v>
      </c>
      <c r="O108" s="50"/>
      <c r="P108" s="50"/>
      <c r="Q108" s="51"/>
      <c r="R108" s="50"/>
      <c r="S108" s="50"/>
      <c r="T108" s="51"/>
      <c r="U108" s="50"/>
    </row>
    <row r="109" spans="1:21" x14ac:dyDescent="0.25">
      <c r="A109" s="45" t="s">
        <v>20</v>
      </c>
      <c r="B109" s="46">
        <v>45622</v>
      </c>
      <c r="C109" s="45" t="s">
        <v>114</v>
      </c>
      <c r="D109" s="47"/>
      <c r="E109" s="45" t="s">
        <v>277</v>
      </c>
      <c r="F109" s="45" t="s">
        <v>278</v>
      </c>
      <c r="G109" s="45" t="s">
        <v>376</v>
      </c>
      <c r="H109" s="45" t="s">
        <v>1958</v>
      </c>
      <c r="I109" s="45" t="s">
        <v>1959</v>
      </c>
      <c r="J109" s="45">
        <v>531234912</v>
      </c>
      <c r="K109" s="45" t="s">
        <v>1261</v>
      </c>
      <c r="L109" s="48">
        <v>175</v>
      </c>
      <c r="M109" s="49">
        <v>20241108383</v>
      </c>
      <c r="N109" s="50" t="s">
        <v>28</v>
      </c>
      <c r="O109" s="50"/>
      <c r="P109" s="50"/>
      <c r="Q109" s="51"/>
      <c r="R109" s="50"/>
      <c r="S109" s="50"/>
      <c r="T109" s="51"/>
      <c r="U109" s="50"/>
    </row>
    <row r="110" spans="1:21" x14ac:dyDescent="0.25">
      <c r="A110" s="45" t="s">
        <v>20</v>
      </c>
      <c r="B110" s="46">
        <v>45622</v>
      </c>
      <c r="C110" s="45" t="s">
        <v>114</v>
      </c>
      <c r="D110" s="47"/>
      <c r="E110" s="45" t="s">
        <v>277</v>
      </c>
      <c r="F110" s="45" t="s">
        <v>278</v>
      </c>
      <c r="G110" s="45" t="s">
        <v>1723</v>
      </c>
      <c r="H110" s="45" t="s">
        <v>1724</v>
      </c>
      <c r="I110" s="45" t="s">
        <v>1725</v>
      </c>
      <c r="J110" s="45">
        <v>532960713</v>
      </c>
      <c r="K110" s="45" t="s">
        <v>1358</v>
      </c>
      <c r="L110" s="48">
        <v>50</v>
      </c>
      <c r="M110" s="49">
        <v>20241105161</v>
      </c>
      <c r="N110" s="50" t="s">
        <v>28</v>
      </c>
      <c r="O110" s="50"/>
      <c r="P110" s="50"/>
      <c r="Q110" s="51"/>
      <c r="R110" s="50"/>
      <c r="S110" s="50"/>
      <c r="T110" s="51"/>
      <c r="U110" s="50"/>
    </row>
    <row r="111" spans="1:21" x14ac:dyDescent="0.25">
      <c r="A111" s="45" t="s">
        <v>20</v>
      </c>
      <c r="B111" s="46">
        <v>45622</v>
      </c>
      <c r="C111" s="45" t="s">
        <v>114</v>
      </c>
      <c r="D111" s="47"/>
      <c r="E111" s="45" t="s">
        <v>277</v>
      </c>
      <c r="F111" s="45" t="s">
        <v>278</v>
      </c>
      <c r="G111" s="45" t="s">
        <v>940</v>
      </c>
      <c r="H111" s="45" t="s">
        <v>1960</v>
      </c>
      <c r="I111" s="45" t="s">
        <v>1961</v>
      </c>
      <c r="J111" s="45">
        <v>545493482</v>
      </c>
      <c r="K111" s="45" t="s">
        <v>1227</v>
      </c>
      <c r="L111" s="48">
        <v>209.42</v>
      </c>
      <c r="M111" s="49">
        <v>20241111547</v>
      </c>
      <c r="N111" s="50" t="s">
        <v>28</v>
      </c>
      <c r="O111" s="50"/>
      <c r="P111" s="50"/>
      <c r="Q111" s="51"/>
      <c r="R111" s="50"/>
      <c r="S111" s="50"/>
      <c r="T111" s="51"/>
      <c r="U111" s="50"/>
    </row>
    <row r="112" spans="1:21" x14ac:dyDescent="0.25">
      <c r="A112" s="45" t="s">
        <v>20</v>
      </c>
      <c r="B112" s="46">
        <v>45622</v>
      </c>
      <c r="C112" s="45" t="s">
        <v>114</v>
      </c>
      <c r="D112" s="47"/>
      <c r="E112" s="45" t="s">
        <v>277</v>
      </c>
      <c r="F112" s="45" t="s">
        <v>278</v>
      </c>
      <c r="G112" s="45" t="s">
        <v>1646</v>
      </c>
      <c r="H112" s="45" t="s">
        <v>1962</v>
      </c>
      <c r="I112" s="45" t="s">
        <v>1963</v>
      </c>
      <c r="J112" s="45">
        <v>549089194</v>
      </c>
      <c r="K112" s="45" t="s">
        <v>1964</v>
      </c>
      <c r="L112" s="48">
        <v>2500</v>
      </c>
      <c r="M112" s="49">
        <v>20241010417</v>
      </c>
      <c r="N112" s="50" t="s">
        <v>28</v>
      </c>
      <c r="O112" s="50"/>
      <c r="P112" s="50"/>
      <c r="Q112" s="51"/>
      <c r="R112" s="50"/>
      <c r="S112" s="50"/>
      <c r="T112" s="51"/>
      <c r="U112" s="50"/>
    </row>
    <row r="113" spans="1:21" x14ac:dyDescent="0.25">
      <c r="A113" s="45" t="s">
        <v>70</v>
      </c>
      <c r="B113" s="46">
        <v>45622</v>
      </c>
      <c r="C113" s="45" t="s">
        <v>114</v>
      </c>
      <c r="D113" s="47"/>
      <c r="E113" s="45" t="s">
        <v>296</v>
      </c>
      <c r="F113" s="45" t="s">
        <v>297</v>
      </c>
      <c r="G113" s="45" t="s">
        <v>1965</v>
      </c>
      <c r="H113" s="45" t="s">
        <v>1966</v>
      </c>
      <c r="I113" s="45" t="s">
        <v>855</v>
      </c>
      <c r="J113" s="45">
        <v>137847048</v>
      </c>
      <c r="K113" s="45" t="s">
        <v>1071</v>
      </c>
      <c r="L113" s="48">
        <v>12</v>
      </c>
      <c r="M113" s="49">
        <v>20241114115</v>
      </c>
      <c r="N113" s="50" t="s">
        <v>28</v>
      </c>
      <c r="O113" s="50"/>
      <c r="P113" s="50"/>
      <c r="Q113" s="51"/>
      <c r="R113" s="50"/>
      <c r="S113" s="50"/>
      <c r="T113" s="51"/>
      <c r="U113" s="50"/>
    </row>
    <row r="114" spans="1:21" x14ac:dyDescent="0.25">
      <c r="A114" s="45" t="s">
        <v>70</v>
      </c>
      <c r="B114" s="46">
        <v>45622</v>
      </c>
      <c r="C114" s="45" t="s">
        <v>114</v>
      </c>
      <c r="D114" s="47"/>
      <c r="E114" s="45" t="s">
        <v>296</v>
      </c>
      <c r="F114" s="45" t="s">
        <v>297</v>
      </c>
      <c r="G114" s="45" t="s">
        <v>1965</v>
      </c>
      <c r="H114" s="45" t="s">
        <v>1966</v>
      </c>
      <c r="I114" s="45" t="s">
        <v>855</v>
      </c>
      <c r="J114" s="45">
        <v>137847048</v>
      </c>
      <c r="K114" s="45" t="s">
        <v>1912</v>
      </c>
      <c r="L114" s="48">
        <v>12</v>
      </c>
      <c r="M114" s="49">
        <v>20241114116</v>
      </c>
      <c r="N114" s="50" t="s">
        <v>28</v>
      </c>
      <c r="O114" s="50"/>
      <c r="P114" s="50"/>
      <c r="Q114" s="51"/>
      <c r="R114" s="50"/>
      <c r="S114" s="50"/>
      <c r="T114" s="51"/>
      <c r="U114" s="50"/>
    </row>
    <row r="115" spans="1:21" x14ac:dyDescent="0.25">
      <c r="A115" s="45" t="s">
        <v>70</v>
      </c>
      <c r="B115" s="46">
        <v>45622</v>
      </c>
      <c r="C115" s="45" t="s">
        <v>114</v>
      </c>
      <c r="D115" s="47"/>
      <c r="E115" s="45" t="s">
        <v>296</v>
      </c>
      <c r="F115" s="45" t="s">
        <v>297</v>
      </c>
      <c r="G115" s="45" t="s">
        <v>1965</v>
      </c>
      <c r="H115" s="45" t="s">
        <v>1966</v>
      </c>
      <c r="I115" s="45" t="s">
        <v>855</v>
      </c>
      <c r="J115" s="45">
        <v>137847048</v>
      </c>
      <c r="K115" s="45" t="s">
        <v>1033</v>
      </c>
      <c r="L115" s="48">
        <v>12</v>
      </c>
      <c r="M115" s="49">
        <v>20241114121</v>
      </c>
      <c r="N115" s="50" t="s">
        <v>28</v>
      </c>
      <c r="O115" s="50"/>
      <c r="P115" s="50"/>
      <c r="Q115" s="51"/>
      <c r="R115" s="50"/>
      <c r="S115" s="50"/>
      <c r="T115" s="51"/>
      <c r="U115" s="50"/>
    </row>
    <row r="116" spans="1:21" x14ac:dyDescent="0.25">
      <c r="A116" s="45" t="s">
        <v>70</v>
      </c>
      <c r="B116" s="46">
        <v>45622</v>
      </c>
      <c r="C116" s="45" t="s">
        <v>114</v>
      </c>
      <c r="D116" s="47"/>
      <c r="E116" s="45" t="s">
        <v>296</v>
      </c>
      <c r="F116" s="45" t="s">
        <v>297</v>
      </c>
      <c r="G116" s="45" t="s">
        <v>1965</v>
      </c>
      <c r="H116" s="45" t="s">
        <v>1966</v>
      </c>
      <c r="I116" s="45" t="s">
        <v>855</v>
      </c>
      <c r="J116" s="45">
        <v>137847048</v>
      </c>
      <c r="K116" s="45" t="s">
        <v>1227</v>
      </c>
      <c r="L116" s="48">
        <v>12</v>
      </c>
      <c r="M116" s="49">
        <v>20241114111</v>
      </c>
      <c r="N116" s="50" t="s">
        <v>28</v>
      </c>
      <c r="O116" s="50"/>
      <c r="P116" s="50"/>
      <c r="Q116" s="51"/>
      <c r="R116" s="50"/>
      <c r="S116" s="50"/>
      <c r="T116" s="51"/>
      <c r="U116" s="50"/>
    </row>
    <row r="117" spans="1:21" x14ac:dyDescent="0.25">
      <c r="A117" s="45" t="s">
        <v>70</v>
      </c>
      <c r="B117" s="46">
        <v>45622</v>
      </c>
      <c r="C117" s="45" t="s">
        <v>114</v>
      </c>
      <c r="D117" s="47"/>
      <c r="E117" s="45" t="s">
        <v>296</v>
      </c>
      <c r="F117" s="45" t="s">
        <v>297</v>
      </c>
      <c r="G117" s="45" t="s">
        <v>1965</v>
      </c>
      <c r="H117" s="45" t="s">
        <v>1966</v>
      </c>
      <c r="I117" s="45" t="s">
        <v>855</v>
      </c>
      <c r="J117" s="45">
        <v>137847048</v>
      </c>
      <c r="K117" s="45" t="s">
        <v>1686</v>
      </c>
      <c r="L117" s="48">
        <v>12</v>
      </c>
      <c r="M117" s="49">
        <v>20241114119</v>
      </c>
      <c r="N117" s="50" t="s">
        <v>28</v>
      </c>
      <c r="O117" s="50"/>
      <c r="P117" s="50"/>
      <c r="Q117" s="51"/>
      <c r="R117" s="50"/>
      <c r="S117" s="50"/>
      <c r="T117" s="51"/>
      <c r="U117" s="50"/>
    </row>
    <row r="118" spans="1:21" x14ac:dyDescent="0.25">
      <c r="A118" s="45" t="s">
        <v>20</v>
      </c>
      <c r="B118" s="46">
        <v>45622</v>
      </c>
      <c r="C118" s="45" t="s">
        <v>114</v>
      </c>
      <c r="D118" s="47"/>
      <c r="E118" s="45" t="s">
        <v>296</v>
      </c>
      <c r="F118" s="45" t="s">
        <v>297</v>
      </c>
      <c r="G118" s="45" t="s">
        <v>376</v>
      </c>
      <c r="H118" s="45" t="s">
        <v>616</v>
      </c>
      <c r="I118" s="45" t="s">
        <v>1798</v>
      </c>
      <c r="J118" s="45">
        <v>155110786</v>
      </c>
      <c r="K118" s="45" t="s">
        <v>1888</v>
      </c>
      <c r="L118" s="48">
        <v>20</v>
      </c>
      <c r="M118" s="49">
        <v>20241113325</v>
      </c>
      <c r="N118" s="50" t="s">
        <v>28</v>
      </c>
      <c r="O118" s="50"/>
      <c r="P118" s="50"/>
      <c r="Q118" s="51"/>
      <c r="R118" s="50"/>
      <c r="S118" s="50"/>
      <c r="T118" s="51"/>
      <c r="U118" s="50"/>
    </row>
    <row r="119" spans="1:21" x14ac:dyDescent="0.25">
      <c r="A119" s="45" t="s">
        <v>20</v>
      </c>
      <c r="B119" s="46">
        <v>45622</v>
      </c>
      <c r="C119" s="45" t="s">
        <v>114</v>
      </c>
      <c r="D119" s="47"/>
      <c r="E119" s="45" t="s">
        <v>296</v>
      </c>
      <c r="F119" s="45" t="s">
        <v>297</v>
      </c>
      <c r="G119" s="45" t="s">
        <v>376</v>
      </c>
      <c r="H119" s="45" t="s">
        <v>616</v>
      </c>
      <c r="I119" s="45" t="s">
        <v>1798</v>
      </c>
      <c r="J119" s="45">
        <v>155110786</v>
      </c>
      <c r="K119" s="45" t="s">
        <v>1907</v>
      </c>
      <c r="L119" s="48">
        <v>30</v>
      </c>
      <c r="M119" s="49">
        <v>20241113330</v>
      </c>
      <c r="N119" s="50" t="s">
        <v>28</v>
      </c>
      <c r="O119" s="50"/>
      <c r="P119" s="50"/>
      <c r="Q119" s="51"/>
      <c r="R119" s="50"/>
      <c r="S119" s="50"/>
      <c r="T119" s="51"/>
      <c r="U119" s="50"/>
    </row>
    <row r="120" spans="1:21" x14ac:dyDescent="0.25">
      <c r="A120" s="45" t="s">
        <v>20</v>
      </c>
      <c r="B120" s="46">
        <v>45622</v>
      </c>
      <c r="C120" s="45" t="s">
        <v>114</v>
      </c>
      <c r="D120" s="47"/>
      <c r="E120" s="45" t="s">
        <v>296</v>
      </c>
      <c r="F120" s="45" t="s">
        <v>297</v>
      </c>
      <c r="G120" s="45" t="s">
        <v>376</v>
      </c>
      <c r="H120" s="45" t="s">
        <v>95</v>
      </c>
      <c r="I120" s="45" t="s">
        <v>1967</v>
      </c>
      <c r="J120" s="45">
        <v>171574642</v>
      </c>
      <c r="K120" s="45" t="s">
        <v>918</v>
      </c>
      <c r="L120" s="48">
        <v>50</v>
      </c>
      <c r="M120" s="49">
        <v>20241114315</v>
      </c>
      <c r="N120" s="50" t="s">
        <v>28</v>
      </c>
      <c r="O120" s="50"/>
      <c r="P120" s="50"/>
      <c r="Q120" s="51"/>
      <c r="R120" s="50"/>
      <c r="S120" s="50"/>
      <c r="T120" s="51"/>
      <c r="U120" s="50"/>
    </row>
    <row r="121" spans="1:21" ht="30" x14ac:dyDescent="0.25">
      <c r="A121" s="45" t="s">
        <v>20</v>
      </c>
      <c r="B121" s="46">
        <v>45737</v>
      </c>
      <c r="C121" s="45" t="s">
        <v>168</v>
      </c>
      <c r="D121" s="47"/>
      <c r="E121" s="45" t="s">
        <v>296</v>
      </c>
      <c r="F121" s="45" t="s">
        <v>297</v>
      </c>
      <c r="G121" s="45" t="s">
        <v>376</v>
      </c>
      <c r="H121" s="45" t="s">
        <v>95</v>
      </c>
      <c r="I121" s="45" t="s">
        <v>1967</v>
      </c>
      <c r="J121" s="45">
        <v>171574642</v>
      </c>
      <c r="K121" s="45" t="s">
        <v>759</v>
      </c>
      <c r="L121" s="48">
        <v>227.79</v>
      </c>
      <c r="M121" s="49">
        <v>20241114313</v>
      </c>
      <c r="N121" s="50"/>
      <c r="O121" s="50" t="s">
        <v>124</v>
      </c>
      <c r="P121" s="50"/>
      <c r="Q121" s="51" t="s">
        <v>1968</v>
      </c>
      <c r="R121" s="50"/>
      <c r="S121" s="50"/>
      <c r="T121" s="51"/>
      <c r="U121" s="50"/>
    </row>
    <row r="122" spans="1:21" x14ac:dyDescent="0.25">
      <c r="A122" s="45" t="s">
        <v>20</v>
      </c>
      <c r="B122" s="46">
        <v>45737</v>
      </c>
      <c r="C122" s="45" t="s">
        <v>168</v>
      </c>
      <c r="D122" s="47"/>
      <c r="E122" s="45" t="s">
        <v>296</v>
      </c>
      <c r="F122" s="45" t="s">
        <v>297</v>
      </c>
      <c r="G122" s="45" t="s">
        <v>1969</v>
      </c>
      <c r="H122" s="45" t="s">
        <v>1970</v>
      </c>
      <c r="I122" s="45" t="s">
        <v>1971</v>
      </c>
      <c r="J122" s="45">
        <v>180660143</v>
      </c>
      <c r="K122" s="45" t="s">
        <v>270</v>
      </c>
      <c r="L122" s="48">
        <v>53.85</v>
      </c>
      <c r="M122" s="49">
        <v>20241111929</v>
      </c>
      <c r="N122" s="50" t="s">
        <v>28</v>
      </c>
      <c r="O122" s="50"/>
      <c r="P122" s="50"/>
      <c r="Q122" s="51"/>
      <c r="R122" s="50"/>
      <c r="S122" s="50"/>
      <c r="T122" s="51"/>
      <c r="U122" s="50"/>
    </row>
    <row r="123" spans="1:21" x14ac:dyDescent="0.25">
      <c r="A123" s="45" t="s">
        <v>20</v>
      </c>
      <c r="B123" s="46">
        <v>45737</v>
      </c>
      <c r="C123" s="45" t="s">
        <v>168</v>
      </c>
      <c r="D123" s="47"/>
      <c r="E123" s="45" t="s">
        <v>296</v>
      </c>
      <c r="F123" s="45" t="s">
        <v>297</v>
      </c>
      <c r="G123" s="45" t="s">
        <v>205</v>
      </c>
      <c r="H123" s="45" t="s">
        <v>1107</v>
      </c>
      <c r="I123" s="45" t="s">
        <v>1972</v>
      </c>
      <c r="J123" s="45">
        <v>197687371</v>
      </c>
      <c r="K123" s="45" t="s">
        <v>1973</v>
      </c>
      <c r="L123" s="48">
        <v>608.79999999999995</v>
      </c>
      <c r="M123" s="49">
        <v>20241115298</v>
      </c>
      <c r="N123" s="50" t="s">
        <v>28</v>
      </c>
      <c r="O123" s="50"/>
      <c r="P123" s="50"/>
      <c r="Q123" s="51"/>
      <c r="R123" s="50"/>
      <c r="S123" s="50"/>
      <c r="T123" s="51"/>
      <c r="U123" s="50"/>
    </row>
    <row r="124" spans="1:21" x14ac:dyDescent="0.25">
      <c r="A124" s="45" t="s">
        <v>20</v>
      </c>
      <c r="B124" s="46">
        <v>45737</v>
      </c>
      <c r="C124" s="45" t="s">
        <v>168</v>
      </c>
      <c r="D124" s="47"/>
      <c r="E124" s="45" t="s">
        <v>296</v>
      </c>
      <c r="F124" s="45" t="s">
        <v>297</v>
      </c>
      <c r="G124" s="45" t="s">
        <v>1974</v>
      </c>
      <c r="H124" s="45" t="s">
        <v>1975</v>
      </c>
      <c r="I124" s="45" t="s">
        <v>1976</v>
      </c>
      <c r="J124" s="45">
        <v>202601197</v>
      </c>
      <c r="K124" s="45" t="s">
        <v>1908</v>
      </c>
      <c r="L124" s="48">
        <v>113.1</v>
      </c>
      <c r="M124" s="49">
        <v>20241115458</v>
      </c>
      <c r="N124" s="50" t="s">
        <v>28</v>
      </c>
      <c r="O124" s="50"/>
      <c r="P124" s="50"/>
      <c r="Q124" s="51"/>
      <c r="R124" s="50"/>
      <c r="S124" s="50"/>
      <c r="T124" s="51"/>
      <c r="U124" s="50"/>
    </row>
    <row r="125" spans="1:21" x14ac:dyDescent="0.25">
      <c r="A125" s="45" t="s">
        <v>29</v>
      </c>
      <c r="B125" s="46">
        <v>45737</v>
      </c>
      <c r="C125" s="45" t="s">
        <v>168</v>
      </c>
      <c r="D125" s="47"/>
      <c r="E125" s="45" t="s">
        <v>296</v>
      </c>
      <c r="F125" s="45" t="s">
        <v>297</v>
      </c>
      <c r="G125" s="45" t="s">
        <v>274</v>
      </c>
      <c r="H125" s="45" t="s">
        <v>1497</v>
      </c>
      <c r="I125" s="45" t="s">
        <v>1977</v>
      </c>
      <c r="J125" s="45">
        <v>215230095</v>
      </c>
      <c r="K125" s="45" t="s">
        <v>56</v>
      </c>
      <c r="L125" s="48">
        <v>199</v>
      </c>
      <c r="M125" s="49">
        <v>202411041201</v>
      </c>
      <c r="N125" s="50" t="s">
        <v>28</v>
      </c>
      <c r="O125" s="50"/>
      <c r="P125" s="50"/>
      <c r="Q125" s="51"/>
      <c r="R125" s="50"/>
      <c r="S125" s="50"/>
      <c r="T125" s="51"/>
      <c r="U125" s="50"/>
    </row>
    <row r="126" spans="1:21" x14ac:dyDescent="0.25">
      <c r="A126" s="45" t="s">
        <v>29</v>
      </c>
      <c r="B126" s="46">
        <v>45737</v>
      </c>
      <c r="C126" s="45" t="s">
        <v>168</v>
      </c>
      <c r="D126" s="47"/>
      <c r="E126" s="45" t="s">
        <v>296</v>
      </c>
      <c r="F126" s="45" t="s">
        <v>297</v>
      </c>
      <c r="G126" s="45" t="s">
        <v>1978</v>
      </c>
      <c r="H126" s="45" t="s">
        <v>1518</v>
      </c>
      <c r="I126" s="45" t="s">
        <v>969</v>
      </c>
      <c r="J126" s="45">
        <v>219251989</v>
      </c>
      <c r="K126" s="45" t="s">
        <v>1907</v>
      </c>
      <c r="L126" s="48">
        <v>200</v>
      </c>
      <c r="M126" s="49">
        <v>202411111029</v>
      </c>
      <c r="N126" s="50" t="s">
        <v>28</v>
      </c>
      <c r="O126" s="50"/>
      <c r="P126" s="50"/>
      <c r="Q126" s="51"/>
      <c r="R126" s="50"/>
      <c r="S126" s="50"/>
      <c r="T126" s="51"/>
      <c r="U126" s="50"/>
    </row>
    <row r="127" spans="1:21" ht="180" x14ac:dyDescent="0.25">
      <c r="A127" s="45" t="s">
        <v>20</v>
      </c>
      <c r="B127" s="46">
        <v>45737</v>
      </c>
      <c r="C127" s="45" t="s">
        <v>168</v>
      </c>
      <c r="D127" s="47"/>
      <c r="E127" s="45" t="s">
        <v>296</v>
      </c>
      <c r="F127" s="45" t="s">
        <v>297</v>
      </c>
      <c r="G127" s="45" t="s">
        <v>1979</v>
      </c>
      <c r="H127" s="45" t="s">
        <v>1980</v>
      </c>
      <c r="I127" s="45" t="s">
        <v>1981</v>
      </c>
      <c r="J127" s="45">
        <v>227891958</v>
      </c>
      <c r="K127" s="45" t="s">
        <v>1888</v>
      </c>
      <c r="L127" s="48">
        <v>230.8</v>
      </c>
      <c r="M127" s="49">
        <v>20241112595</v>
      </c>
      <c r="N127" s="50"/>
      <c r="O127" s="50" t="s">
        <v>124</v>
      </c>
      <c r="P127" s="50"/>
      <c r="Q127" s="51" t="s">
        <v>1982</v>
      </c>
      <c r="R127" s="50"/>
      <c r="S127" s="50"/>
      <c r="T127" s="51"/>
      <c r="U127" s="50"/>
    </row>
    <row r="128" spans="1:21" x14ac:dyDescent="0.25">
      <c r="A128" s="45" t="s">
        <v>324</v>
      </c>
      <c r="B128" s="46">
        <v>45757</v>
      </c>
      <c r="C128" s="45" t="s">
        <v>21</v>
      </c>
      <c r="D128" s="47" t="s">
        <v>175</v>
      </c>
      <c r="E128" s="45" t="s">
        <v>325</v>
      </c>
      <c r="F128" s="45" t="s">
        <v>278</v>
      </c>
      <c r="G128" s="45" t="s">
        <v>326</v>
      </c>
      <c r="H128" s="45" t="s">
        <v>1983</v>
      </c>
      <c r="I128" s="45" t="s">
        <v>1984</v>
      </c>
      <c r="J128" s="45">
        <v>21791561</v>
      </c>
      <c r="K128" s="45" t="s">
        <v>1358</v>
      </c>
      <c r="L128" s="48">
        <v>335.7</v>
      </c>
      <c r="M128" s="49">
        <v>202411111184</v>
      </c>
      <c r="N128" s="50" t="s">
        <v>28</v>
      </c>
      <c r="O128" s="50"/>
      <c r="P128" s="50"/>
      <c r="Q128" s="51"/>
      <c r="R128" s="50"/>
      <c r="S128" s="50"/>
      <c r="T128" s="51"/>
      <c r="U128" s="50"/>
    </row>
    <row r="129" spans="1:21" x14ac:dyDescent="0.25">
      <c r="A129" s="45" t="s">
        <v>233</v>
      </c>
      <c r="B129" s="46">
        <v>45757</v>
      </c>
      <c r="C129" s="45" t="s">
        <v>21</v>
      </c>
      <c r="D129" s="47" t="s">
        <v>175</v>
      </c>
      <c r="E129" s="45" t="s">
        <v>325</v>
      </c>
      <c r="F129" s="45" t="s">
        <v>278</v>
      </c>
      <c r="G129" s="45" t="s">
        <v>333</v>
      </c>
      <c r="H129" s="45" t="s">
        <v>1985</v>
      </c>
      <c r="I129" s="45" t="s">
        <v>1986</v>
      </c>
      <c r="J129" s="45">
        <v>27728563</v>
      </c>
      <c r="K129" s="45" t="s">
        <v>76</v>
      </c>
      <c r="L129" s="48">
        <v>265</v>
      </c>
      <c r="M129" s="49">
        <v>20241113722</v>
      </c>
      <c r="N129" s="50" t="s">
        <v>28</v>
      </c>
      <c r="O129" s="50"/>
      <c r="P129" s="50"/>
      <c r="Q129" s="51"/>
      <c r="R129" s="50"/>
      <c r="S129" s="50"/>
      <c r="T129" s="51"/>
      <c r="U129" s="50"/>
    </row>
    <row r="130" spans="1:21" x14ac:dyDescent="0.25">
      <c r="A130" s="45" t="s">
        <v>233</v>
      </c>
      <c r="B130" s="46">
        <v>45757</v>
      </c>
      <c r="C130" s="45" t="s">
        <v>21</v>
      </c>
      <c r="D130" s="47" t="s">
        <v>175</v>
      </c>
      <c r="E130" s="45" t="s">
        <v>325</v>
      </c>
      <c r="F130" s="45" t="s">
        <v>278</v>
      </c>
      <c r="G130" s="45" t="s">
        <v>333</v>
      </c>
      <c r="H130" s="45" t="s">
        <v>1169</v>
      </c>
      <c r="I130" s="45" t="s">
        <v>1987</v>
      </c>
      <c r="J130" s="45">
        <v>216279574</v>
      </c>
      <c r="K130" s="45" t="s">
        <v>1853</v>
      </c>
      <c r="L130" s="48">
        <v>104.21</v>
      </c>
      <c r="M130" s="49">
        <v>202411111174</v>
      </c>
      <c r="N130" s="50" t="s">
        <v>28</v>
      </c>
      <c r="O130" s="50"/>
      <c r="P130" s="50"/>
      <c r="Q130" s="51"/>
      <c r="R130" s="50"/>
      <c r="S130" s="50"/>
      <c r="T130" s="51"/>
      <c r="U130" s="50"/>
    </row>
    <row r="131" spans="1:21" x14ac:dyDescent="0.25">
      <c r="A131" s="45" t="s">
        <v>233</v>
      </c>
      <c r="B131" s="46">
        <v>45757</v>
      </c>
      <c r="C131" s="45" t="s">
        <v>21</v>
      </c>
      <c r="D131" s="47" t="s">
        <v>175</v>
      </c>
      <c r="E131" s="45" t="s">
        <v>325</v>
      </c>
      <c r="F131" s="45" t="s">
        <v>278</v>
      </c>
      <c r="G131" s="45" t="s">
        <v>333</v>
      </c>
      <c r="H131" s="45" t="s">
        <v>1169</v>
      </c>
      <c r="I131" s="45" t="s">
        <v>1987</v>
      </c>
      <c r="J131" s="45">
        <v>216279574</v>
      </c>
      <c r="K131" s="45" t="s">
        <v>1686</v>
      </c>
      <c r="L131" s="48">
        <v>71.72</v>
      </c>
      <c r="M131" s="49">
        <v>20241112738</v>
      </c>
      <c r="N131" s="50" t="s">
        <v>28</v>
      </c>
      <c r="O131" s="50"/>
      <c r="P131" s="50"/>
      <c r="Q131" s="51"/>
      <c r="R131" s="50"/>
      <c r="S131" s="50"/>
      <c r="T131" s="51"/>
      <c r="U131" s="50"/>
    </row>
    <row r="132" spans="1:21" x14ac:dyDescent="0.25">
      <c r="A132" s="45" t="s">
        <v>20</v>
      </c>
      <c r="B132" s="46">
        <v>45737</v>
      </c>
      <c r="C132" s="45" t="s">
        <v>168</v>
      </c>
      <c r="D132" s="47" t="s">
        <v>175</v>
      </c>
      <c r="E132" s="45" t="s">
        <v>325</v>
      </c>
      <c r="F132" s="45" t="s">
        <v>278</v>
      </c>
      <c r="G132" s="45" t="s">
        <v>326</v>
      </c>
      <c r="H132" s="45" t="s">
        <v>1988</v>
      </c>
      <c r="I132" s="45" t="s">
        <v>1989</v>
      </c>
      <c r="J132" s="45">
        <v>283485320</v>
      </c>
      <c r="K132" s="45" t="s">
        <v>1338</v>
      </c>
      <c r="L132" s="48">
        <v>21.3</v>
      </c>
      <c r="M132" s="49">
        <v>202411111183</v>
      </c>
      <c r="N132" s="50" t="s">
        <v>28</v>
      </c>
      <c r="O132" s="50"/>
      <c r="P132" s="50"/>
      <c r="Q132" s="51"/>
      <c r="R132" s="50"/>
      <c r="S132" s="50"/>
      <c r="T132" s="51"/>
      <c r="U132" s="50"/>
    </row>
    <row r="133" spans="1:21" x14ac:dyDescent="0.25">
      <c r="A133" s="45" t="s">
        <v>20</v>
      </c>
      <c r="B133" s="46">
        <v>45737</v>
      </c>
      <c r="C133" s="45" t="s">
        <v>168</v>
      </c>
      <c r="D133" s="47" t="s">
        <v>175</v>
      </c>
      <c r="E133" s="45" t="s">
        <v>325</v>
      </c>
      <c r="F133" s="45" t="s">
        <v>278</v>
      </c>
      <c r="G133" s="45" t="s">
        <v>326</v>
      </c>
      <c r="H133" s="45" t="s">
        <v>1988</v>
      </c>
      <c r="I133" s="45" t="s">
        <v>1989</v>
      </c>
      <c r="J133" s="45">
        <v>283485320</v>
      </c>
      <c r="K133" s="45" t="s">
        <v>1990</v>
      </c>
      <c r="L133" s="48">
        <v>200</v>
      </c>
      <c r="M133" s="49">
        <v>20241112756</v>
      </c>
      <c r="N133" s="50" t="s">
        <v>28</v>
      </c>
      <c r="O133" s="50"/>
      <c r="P133" s="50"/>
      <c r="Q133" s="51"/>
      <c r="R133" s="50"/>
      <c r="S133" s="50"/>
      <c r="T133" s="51"/>
      <c r="U133" s="50"/>
    </row>
    <row r="134" spans="1:21" x14ac:dyDescent="0.25">
      <c r="A134" s="45" t="s">
        <v>233</v>
      </c>
      <c r="B134" s="46">
        <v>45757</v>
      </c>
      <c r="C134" s="45" t="s">
        <v>21</v>
      </c>
      <c r="D134" s="47" t="s">
        <v>175</v>
      </c>
      <c r="E134" s="45" t="s">
        <v>325</v>
      </c>
      <c r="F134" s="45" t="s">
        <v>278</v>
      </c>
      <c r="G134" s="45" t="s">
        <v>333</v>
      </c>
      <c r="H134" s="45" t="s">
        <v>1746</v>
      </c>
      <c r="I134" s="45" t="s">
        <v>1991</v>
      </c>
      <c r="J134" s="45">
        <v>295647017</v>
      </c>
      <c r="K134" s="45" t="s">
        <v>1907</v>
      </c>
      <c r="L134" s="48">
        <v>32.9</v>
      </c>
      <c r="M134" s="49">
        <v>20241112739</v>
      </c>
      <c r="N134" s="50" t="s">
        <v>28</v>
      </c>
      <c r="O134" s="50"/>
      <c r="P134" s="50"/>
      <c r="Q134" s="51"/>
      <c r="R134" s="50"/>
      <c r="S134" s="50"/>
      <c r="T134" s="51"/>
      <c r="U134" s="50"/>
    </row>
    <row r="135" spans="1:21" x14ac:dyDescent="0.25">
      <c r="A135" s="45" t="s">
        <v>233</v>
      </c>
      <c r="B135" s="46">
        <v>45757</v>
      </c>
      <c r="C135" s="45" t="s">
        <v>21</v>
      </c>
      <c r="D135" s="47" t="s">
        <v>175</v>
      </c>
      <c r="E135" s="45" t="s">
        <v>325</v>
      </c>
      <c r="F135" s="45" t="s">
        <v>278</v>
      </c>
      <c r="G135" s="45" t="s">
        <v>333</v>
      </c>
      <c r="H135" s="45" t="s">
        <v>1746</v>
      </c>
      <c r="I135" s="45" t="s">
        <v>1991</v>
      </c>
      <c r="J135" s="45">
        <v>295647017</v>
      </c>
      <c r="K135" s="45" t="s">
        <v>1734</v>
      </c>
      <c r="L135" s="48">
        <v>83.11</v>
      </c>
      <c r="M135" s="49">
        <v>20241112740</v>
      </c>
      <c r="N135" s="50" t="s">
        <v>28</v>
      </c>
      <c r="O135" s="50"/>
      <c r="P135" s="50"/>
      <c r="Q135" s="51"/>
      <c r="R135" s="50"/>
      <c r="S135" s="50"/>
      <c r="T135" s="51"/>
      <c r="U135" s="50"/>
    </row>
    <row r="136" spans="1:21" x14ac:dyDescent="0.25">
      <c r="A136" s="45" t="s">
        <v>233</v>
      </c>
      <c r="B136" s="46">
        <v>45757</v>
      </c>
      <c r="C136" s="45" t="s">
        <v>21</v>
      </c>
      <c r="D136" s="47" t="s">
        <v>175</v>
      </c>
      <c r="E136" s="45" t="s">
        <v>325</v>
      </c>
      <c r="F136" s="45" t="s">
        <v>278</v>
      </c>
      <c r="G136" s="45" t="s">
        <v>333</v>
      </c>
      <c r="H136" s="45" t="s">
        <v>1746</v>
      </c>
      <c r="I136" s="45" t="s">
        <v>1991</v>
      </c>
      <c r="J136" s="45">
        <v>295647017</v>
      </c>
      <c r="K136" s="45" t="s">
        <v>1593</v>
      </c>
      <c r="L136" s="48">
        <v>77.849999999999994</v>
      </c>
      <c r="M136" s="49">
        <v>20241114942</v>
      </c>
      <c r="N136" s="50" t="s">
        <v>28</v>
      </c>
      <c r="O136" s="50"/>
      <c r="P136" s="50"/>
      <c r="Q136" s="51"/>
      <c r="R136" s="50"/>
      <c r="S136" s="50"/>
      <c r="T136" s="51"/>
      <c r="U136" s="50"/>
    </row>
    <row r="137" spans="1:21" x14ac:dyDescent="0.25">
      <c r="A137" s="45" t="s">
        <v>233</v>
      </c>
      <c r="B137" s="46">
        <v>45757</v>
      </c>
      <c r="C137" s="45" t="s">
        <v>21</v>
      </c>
      <c r="D137" s="47" t="s">
        <v>175</v>
      </c>
      <c r="E137" s="45" t="s">
        <v>325</v>
      </c>
      <c r="F137" s="45" t="s">
        <v>278</v>
      </c>
      <c r="G137" s="45" t="s">
        <v>333</v>
      </c>
      <c r="H137" s="45" t="s">
        <v>1746</v>
      </c>
      <c r="I137" s="45" t="s">
        <v>1991</v>
      </c>
      <c r="J137" s="45">
        <v>295647017</v>
      </c>
      <c r="K137" s="45" t="s">
        <v>1358</v>
      </c>
      <c r="L137" s="48">
        <v>9.94</v>
      </c>
      <c r="M137" s="49">
        <v>20241114941</v>
      </c>
      <c r="N137" s="50" t="s">
        <v>28</v>
      </c>
      <c r="O137" s="50"/>
      <c r="P137" s="50"/>
      <c r="Q137" s="51"/>
      <c r="R137" s="50"/>
      <c r="S137" s="50"/>
      <c r="T137" s="51"/>
      <c r="U137" s="50"/>
    </row>
    <row r="138" spans="1:21" x14ac:dyDescent="0.25">
      <c r="A138" s="45" t="s">
        <v>233</v>
      </c>
      <c r="B138" s="46">
        <v>45757</v>
      </c>
      <c r="C138" s="45" t="s">
        <v>21</v>
      </c>
      <c r="D138" s="47" t="s">
        <v>175</v>
      </c>
      <c r="E138" s="45" t="s">
        <v>325</v>
      </c>
      <c r="F138" s="45" t="s">
        <v>278</v>
      </c>
      <c r="G138" s="45" t="s">
        <v>333</v>
      </c>
      <c r="H138" s="45" t="s">
        <v>334</v>
      </c>
      <c r="I138" s="45" t="s">
        <v>335</v>
      </c>
      <c r="J138" s="45">
        <v>327844340</v>
      </c>
      <c r="K138" s="45" t="s">
        <v>196</v>
      </c>
      <c r="L138" s="48">
        <v>13.97</v>
      </c>
      <c r="M138" s="49">
        <v>20241113724</v>
      </c>
      <c r="N138" s="50" t="s">
        <v>28</v>
      </c>
      <c r="O138" s="50"/>
      <c r="P138" s="50"/>
      <c r="Q138" s="51"/>
      <c r="R138" s="50"/>
      <c r="S138" s="50"/>
      <c r="T138" s="51"/>
      <c r="U138" s="50"/>
    </row>
    <row r="139" spans="1:21" x14ac:dyDescent="0.25">
      <c r="A139" s="45" t="s">
        <v>233</v>
      </c>
      <c r="B139" s="46">
        <v>45757</v>
      </c>
      <c r="C139" s="45" t="s">
        <v>21</v>
      </c>
      <c r="D139" s="47" t="s">
        <v>175</v>
      </c>
      <c r="E139" s="45" t="s">
        <v>325</v>
      </c>
      <c r="F139" s="45" t="s">
        <v>278</v>
      </c>
      <c r="G139" s="45" t="s">
        <v>333</v>
      </c>
      <c r="H139" s="45" t="s">
        <v>334</v>
      </c>
      <c r="I139" s="45" t="s">
        <v>335</v>
      </c>
      <c r="J139" s="45">
        <v>327844340</v>
      </c>
      <c r="K139" s="45" t="s">
        <v>1338</v>
      </c>
      <c r="L139" s="48">
        <v>6.8</v>
      </c>
      <c r="M139" s="49">
        <v>202411111168</v>
      </c>
      <c r="N139" s="50" t="s">
        <v>28</v>
      </c>
      <c r="O139" s="50"/>
      <c r="P139" s="50"/>
      <c r="Q139" s="51"/>
      <c r="R139" s="50"/>
      <c r="S139" s="50"/>
      <c r="T139" s="51"/>
      <c r="U139" s="50"/>
    </row>
    <row r="140" spans="1:21" x14ac:dyDescent="0.25">
      <c r="A140" s="45" t="s">
        <v>324</v>
      </c>
      <c r="B140" s="46">
        <v>45757</v>
      </c>
      <c r="C140" s="45" t="s">
        <v>21</v>
      </c>
      <c r="D140" s="47" t="s">
        <v>175</v>
      </c>
      <c r="E140" s="45" t="s">
        <v>325</v>
      </c>
      <c r="F140" s="45" t="s">
        <v>278</v>
      </c>
      <c r="G140" s="45" t="s">
        <v>326</v>
      </c>
      <c r="H140" s="45" t="s">
        <v>1992</v>
      </c>
      <c r="I140" s="45" t="s">
        <v>1993</v>
      </c>
      <c r="J140" s="45">
        <v>640324769</v>
      </c>
      <c r="K140" s="45" t="s">
        <v>1990</v>
      </c>
      <c r="L140" s="48">
        <v>30</v>
      </c>
      <c r="M140" s="49">
        <v>20241113728</v>
      </c>
      <c r="N140" s="50" t="s">
        <v>28</v>
      </c>
      <c r="O140" s="50"/>
      <c r="P140" s="50"/>
      <c r="Q140" s="51"/>
      <c r="R140" s="50"/>
      <c r="S140" s="50"/>
      <c r="T140" s="51"/>
      <c r="U140" s="50"/>
    </row>
    <row r="141" spans="1:21" x14ac:dyDescent="0.25">
      <c r="A141" s="45" t="s">
        <v>324</v>
      </c>
      <c r="B141" s="46">
        <v>45757</v>
      </c>
      <c r="C141" s="45" t="s">
        <v>21</v>
      </c>
      <c r="D141" s="47" t="s">
        <v>175</v>
      </c>
      <c r="E141" s="45" t="s">
        <v>325</v>
      </c>
      <c r="F141" s="45" t="s">
        <v>278</v>
      </c>
      <c r="G141" s="45" t="s">
        <v>326</v>
      </c>
      <c r="H141" s="45" t="s">
        <v>1994</v>
      </c>
      <c r="I141" s="45" t="s">
        <v>818</v>
      </c>
      <c r="J141" s="45">
        <v>642400889</v>
      </c>
      <c r="K141" s="45" t="s">
        <v>1973</v>
      </c>
      <c r="L141" s="48">
        <v>1453</v>
      </c>
      <c r="M141" s="49">
        <v>20241114953</v>
      </c>
      <c r="N141" s="50" t="s">
        <v>28</v>
      </c>
      <c r="O141" s="50"/>
      <c r="P141" s="50"/>
      <c r="Q141" s="51"/>
      <c r="R141" s="50"/>
      <c r="S141" s="50"/>
      <c r="T141" s="51"/>
      <c r="U141" s="50"/>
    </row>
    <row r="142" spans="1:21" x14ac:dyDescent="0.25">
      <c r="A142" s="45" t="s">
        <v>324</v>
      </c>
      <c r="B142" s="46">
        <v>45757</v>
      </c>
      <c r="C142" s="45" t="s">
        <v>21</v>
      </c>
      <c r="D142" s="47" t="s">
        <v>175</v>
      </c>
      <c r="E142" s="45" t="s">
        <v>325</v>
      </c>
      <c r="F142" s="45" t="s">
        <v>278</v>
      </c>
      <c r="G142" s="45" t="s">
        <v>326</v>
      </c>
      <c r="H142" s="45" t="s">
        <v>1994</v>
      </c>
      <c r="I142" s="45" t="s">
        <v>818</v>
      </c>
      <c r="J142" s="45">
        <v>642400889</v>
      </c>
      <c r="K142" s="45" t="s">
        <v>1358</v>
      </c>
      <c r="L142" s="48">
        <v>389.17</v>
      </c>
      <c r="M142" s="49">
        <v>20241114955</v>
      </c>
      <c r="N142" s="50" t="s">
        <v>28</v>
      </c>
      <c r="O142" s="50"/>
      <c r="P142" s="50"/>
      <c r="Q142" s="51"/>
      <c r="R142" s="50"/>
      <c r="S142" s="50"/>
      <c r="T142" s="51"/>
      <c r="U142" s="50"/>
    </row>
    <row r="143" spans="1:21" x14ac:dyDescent="0.25">
      <c r="A143" s="45" t="s">
        <v>233</v>
      </c>
      <c r="B143" s="46">
        <v>45758</v>
      </c>
      <c r="C143" s="45" t="s">
        <v>21</v>
      </c>
      <c r="D143" s="47" t="s">
        <v>175</v>
      </c>
      <c r="E143" s="45" t="s">
        <v>371</v>
      </c>
      <c r="F143" s="45" t="s">
        <v>372</v>
      </c>
      <c r="G143" s="45" t="s">
        <v>1995</v>
      </c>
      <c r="H143" s="45" t="s">
        <v>1996</v>
      </c>
      <c r="I143" s="45" t="s">
        <v>1526</v>
      </c>
      <c r="J143" s="45">
        <v>293889950</v>
      </c>
      <c r="K143" s="45" t="s">
        <v>790</v>
      </c>
      <c r="L143" s="48">
        <v>59.78</v>
      </c>
      <c r="M143" s="49">
        <v>20241114589</v>
      </c>
      <c r="N143" s="50" t="s">
        <v>28</v>
      </c>
      <c r="O143" s="50"/>
      <c r="P143" s="50"/>
      <c r="Q143" s="51"/>
      <c r="R143" s="50"/>
      <c r="S143" s="50"/>
      <c r="T143" s="51"/>
      <c r="U143" s="50"/>
    </row>
    <row r="144" spans="1:21" x14ac:dyDescent="0.25">
      <c r="A144" s="45" t="s">
        <v>324</v>
      </c>
      <c r="B144" s="46">
        <v>45758</v>
      </c>
      <c r="C144" s="45" t="s">
        <v>21</v>
      </c>
      <c r="D144" s="47" t="s">
        <v>175</v>
      </c>
      <c r="E144" s="45" t="s">
        <v>371</v>
      </c>
      <c r="F144" s="45" t="s">
        <v>372</v>
      </c>
      <c r="G144" s="45" t="s">
        <v>929</v>
      </c>
      <c r="H144" s="45" t="s">
        <v>1272</v>
      </c>
      <c r="I144" s="45" t="s">
        <v>1997</v>
      </c>
      <c r="J144" s="45">
        <v>295502445</v>
      </c>
      <c r="K144" s="45" t="s">
        <v>1358</v>
      </c>
      <c r="L144" s="48">
        <v>144.4</v>
      </c>
      <c r="M144" s="49">
        <v>20241113327</v>
      </c>
      <c r="N144" s="50" t="s">
        <v>28</v>
      </c>
      <c r="O144" s="50"/>
      <c r="P144" s="50"/>
      <c r="Q144" s="51"/>
      <c r="R144" s="50"/>
      <c r="S144" s="50"/>
      <c r="T144" s="51"/>
      <c r="U144" s="50"/>
    </row>
    <row r="145" spans="1:21" x14ac:dyDescent="0.25">
      <c r="A145" s="45" t="s">
        <v>324</v>
      </c>
      <c r="B145" s="46">
        <v>45758</v>
      </c>
      <c r="C145" s="45" t="s">
        <v>21</v>
      </c>
      <c r="D145" s="47" t="s">
        <v>175</v>
      </c>
      <c r="E145" s="45" t="s">
        <v>371</v>
      </c>
      <c r="F145" s="45" t="s">
        <v>372</v>
      </c>
      <c r="G145" s="45" t="s">
        <v>274</v>
      </c>
      <c r="H145" s="45" t="s">
        <v>345</v>
      </c>
      <c r="I145" s="45" t="s">
        <v>1838</v>
      </c>
      <c r="J145" s="45">
        <v>296727767</v>
      </c>
      <c r="K145" s="45" t="s">
        <v>1990</v>
      </c>
      <c r="L145" s="48">
        <v>18</v>
      </c>
      <c r="M145" s="49">
        <v>20241115420</v>
      </c>
      <c r="N145" s="50" t="s">
        <v>28</v>
      </c>
      <c r="O145" s="50"/>
      <c r="P145" s="50"/>
      <c r="Q145" s="51"/>
      <c r="R145" s="50"/>
      <c r="S145" s="50"/>
      <c r="T145" s="51"/>
      <c r="U145" s="50"/>
    </row>
    <row r="146" spans="1:21" x14ac:dyDescent="0.25">
      <c r="A146" s="45" t="s">
        <v>375</v>
      </c>
      <c r="B146" s="46">
        <v>45758</v>
      </c>
      <c r="C146" s="45" t="s">
        <v>21</v>
      </c>
      <c r="D146" s="47" t="s">
        <v>175</v>
      </c>
      <c r="E146" s="45" t="s">
        <v>371</v>
      </c>
      <c r="F146" s="45" t="s">
        <v>372</v>
      </c>
      <c r="G146" s="45" t="s">
        <v>376</v>
      </c>
      <c r="H146" s="45" t="s">
        <v>1998</v>
      </c>
      <c r="I146" s="45" t="s">
        <v>1999</v>
      </c>
      <c r="J146" s="45">
        <v>310955683</v>
      </c>
      <c r="K146" s="45" t="s">
        <v>86</v>
      </c>
      <c r="L146" s="48">
        <v>63.82</v>
      </c>
      <c r="M146" s="49">
        <v>20241114132</v>
      </c>
      <c r="N146" s="50" t="s">
        <v>28</v>
      </c>
      <c r="O146" s="50"/>
      <c r="P146" s="50"/>
      <c r="Q146" s="51"/>
      <c r="R146" s="50"/>
      <c r="S146" s="50"/>
      <c r="T146" s="51"/>
      <c r="U146" s="50"/>
    </row>
    <row r="147" spans="1:21" x14ac:dyDescent="0.25">
      <c r="A147" s="45" t="s">
        <v>375</v>
      </c>
      <c r="B147" s="46">
        <v>45758</v>
      </c>
      <c r="C147" s="45" t="s">
        <v>21</v>
      </c>
      <c r="D147" s="47" t="s">
        <v>175</v>
      </c>
      <c r="E147" s="45" t="s">
        <v>371</v>
      </c>
      <c r="F147" s="45" t="s">
        <v>372</v>
      </c>
      <c r="G147" s="45" t="s">
        <v>376</v>
      </c>
      <c r="H147" s="45" t="s">
        <v>1998</v>
      </c>
      <c r="I147" s="45" t="s">
        <v>1999</v>
      </c>
      <c r="J147" s="45">
        <v>310955683</v>
      </c>
      <c r="K147" s="45" t="s">
        <v>76</v>
      </c>
      <c r="L147" s="48">
        <v>20.61</v>
      </c>
      <c r="M147" s="49">
        <v>20241114129</v>
      </c>
      <c r="N147" s="50" t="s">
        <v>28</v>
      </c>
      <c r="O147" s="50"/>
      <c r="P147" s="50"/>
      <c r="Q147" s="51"/>
      <c r="R147" s="50"/>
      <c r="S147" s="50"/>
      <c r="T147" s="51"/>
      <c r="U147" s="50"/>
    </row>
    <row r="148" spans="1:21" x14ac:dyDescent="0.25">
      <c r="A148" s="45" t="s">
        <v>375</v>
      </c>
      <c r="B148" s="46">
        <v>45758</v>
      </c>
      <c r="C148" s="45" t="s">
        <v>21</v>
      </c>
      <c r="D148" s="47" t="s">
        <v>175</v>
      </c>
      <c r="E148" s="45" t="s">
        <v>371</v>
      </c>
      <c r="F148" s="45" t="s">
        <v>372</v>
      </c>
      <c r="G148" s="45" t="s">
        <v>376</v>
      </c>
      <c r="H148" s="45" t="s">
        <v>1998</v>
      </c>
      <c r="I148" s="45" t="s">
        <v>1999</v>
      </c>
      <c r="J148" s="45">
        <v>310955683</v>
      </c>
      <c r="K148" s="45" t="s">
        <v>384</v>
      </c>
      <c r="L148" s="48">
        <v>735.99</v>
      </c>
      <c r="M148" s="49">
        <v>20241114127</v>
      </c>
      <c r="N148" s="50" t="s">
        <v>28</v>
      </c>
      <c r="O148" s="50"/>
      <c r="P148" s="50"/>
      <c r="Q148" s="51"/>
      <c r="R148" s="50"/>
      <c r="S148" s="50"/>
      <c r="T148" s="51"/>
      <c r="U148" s="50"/>
    </row>
    <row r="149" spans="1:21" x14ac:dyDescent="0.25">
      <c r="A149" s="45" t="s">
        <v>324</v>
      </c>
      <c r="B149" s="46">
        <v>45758</v>
      </c>
      <c r="C149" s="45" t="s">
        <v>21</v>
      </c>
      <c r="D149" s="47" t="s">
        <v>175</v>
      </c>
      <c r="E149" s="45" t="s">
        <v>371</v>
      </c>
      <c r="F149" s="45" t="s">
        <v>372</v>
      </c>
      <c r="G149" s="45" t="s">
        <v>274</v>
      </c>
      <c r="H149" s="45" t="s">
        <v>2000</v>
      </c>
      <c r="I149" s="45" t="s">
        <v>2001</v>
      </c>
      <c r="J149" s="45">
        <v>352764880</v>
      </c>
      <c r="K149" s="45" t="s">
        <v>1460</v>
      </c>
      <c r="L149" s="48">
        <v>258.5</v>
      </c>
      <c r="M149" s="49">
        <v>20241115435</v>
      </c>
      <c r="N149" s="50" t="s">
        <v>28</v>
      </c>
      <c r="O149" s="50"/>
      <c r="P149" s="50"/>
      <c r="Q149" s="51"/>
      <c r="R149" s="50"/>
      <c r="S149" s="50"/>
      <c r="T149" s="51"/>
      <c r="U149" s="50"/>
    </row>
    <row r="150" spans="1:21" x14ac:dyDescent="0.25">
      <c r="A150" s="45" t="s">
        <v>324</v>
      </c>
      <c r="B150" s="46">
        <v>45758</v>
      </c>
      <c r="C150" s="45" t="s">
        <v>21</v>
      </c>
      <c r="D150" s="47" t="s">
        <v>175</v>
      </c>
      <c r="E150" s="45" t="s">
        <v>371</v>
      </c>
      <c r="F150" s="45" t="s">
        <v>372</v>
      </c>
      <c r="G150" s="45" t="s">
        <v>274</v>
      </c>
      <c r="H150" s="45" t="s">
        <v>2002</v>
      </c>
      <c r="I150" s="45" t="s">
        <v>1825</v>
      </c>
      <c r="J150" s="45">
        <v>361783553</v>
      </c>
      <c r="K150" s="45" t="s">
        <v>1686</v>
      </c>
      <c r="L150" s="48">
        <v>100</v>
      </c>
      <c r="M150" s="49">
        <v>20241111961</v>
      </c>
      <c r="N150" s="50" t="s">
        <v>28</v>
      </c>
      <c r="O150" s="50"/>
      <c r="P150" s="50"/>
      <c r="Q150" s="51"/>
      <c r="R150" s="50"/>
      <c r="S150" s="50"/>
      <c r="T150" s="51"/>
      <c r="U150" s="50"/>
    </row>
    <row r="151" spans="1:21" x14ac:dyDescent="0.25">
      <c r="A151" s="45" t="s">
        <v>324</v>
      </c>
      <c r="B151" s="46">
        <v>45758</v>
      </c>
      <c r="C151" s="45" t="s">
        <v>21</v>
      </c>
      <c r="D151" s="47" t="s">
        <v>175</v>
      </c>
      <c r="E151" s="45" t="s">
        <v>371</v>
      </c>
      <c r="F151" s="45" t="s">
        <v>372</v>
      </c>
      <c r="G151" s="45" t="s">
        <v>274</v>
      </c>
      <c r="H151" s="45" t="s">
        <v>2003</v>
      </c>
      <c r="I151" s="45" t="s">
        <v>2004</v>
      </c>
      <c r="J151" s="45">
        <v>364972178</v>
      </c>
      <c r="K151" s="45" t="s">
        <v>1358</v>
      </c>
      <c r="L151" s="48">
        <v>449</v>
      </c>
      <c r="M151" s="49">
        <v>20241114488</v>
      </c>
      <c r="N151" s="50" t="s">
        <v>28</v>
      </c>
      <c r="O151" s="50"/>
      <c r="P151" s="50"/>
      <c r="Q151" s="51"/>
      <c r="R151" s="50"/>
      <c r="S151" s="50"/>
      <c r="T151" s="51"/>
      <c r="U151" s="50"/>
    </row>
    <row r="152" spans="1:21" x14ac:dyDescent="0.25">
      <c r="A152" s="45" t="s">
        <v>324</v>
      </c>
      <c r="B152" s="46">
        <v>45758</v>
      </c>
      <c r="C152" s="45" t="s">
        <v>21</v>
      </c>
      <c r="D152" s="47" t="s">
        <v>175</v>
      </c>
      <c r="E152" s="45" t="s">
        <v>371</v>
      </c>
      <c r="F152" s="45" t="s">
        <v>372</v>
      </c>
      <c r="G152" s="45" t="s">
        <v>929</v>
      </c>
      <c r="H152" s="45" t="s">
        <v>2005</v>
      </c>
      <c r="I152" s="45" t="s">
        <v>1286</v>
      </c>
      <c r="J152" s="45">
        <v>414043230</v>
      </c>
      <c r="K152" s="45" t="s">
        <v>1912</v>
      </c>
      <c r="L152" s="48">
        <v>141.52000000000001</v>
      </c>
      <c r="M152" s="49">
        <v>20241111678</v>
      </c>
      <c r="N152" s="50" t="s">
        <v>28</v>
      </c>
      <c r="O152" s="50"/>
      <c r="P152" s="50"/>
      <c r="Q152" s="51"/>
      <c r="R152" s="50"/>
      <c r="S152" s="50"/>
      <c r="T152" s="51"/>
      <c r="U152" s="50"/>
    </row>
    <row r="153" spans="1:21" x14ac:dyDescent="0.25">
      <c r="A153" s="45" t="s">
        <v>324</v>
      </c>
      <c r="B153" s="46">
        <v>45758</v>
      </c>
      <c r="C153" s="45" t="s">
        <v>21</v>
      </c>
      <c r="D153" s="47" t="s">
        <v>175</v>
      </c>
      <c r="E153" s="45" t="s">
        <v>371</v>
      </c>
      <c r="F153" s="45" t="s">
        <v>372</v>
      </c>
      <c r="G153" s="45" t="s">
        <v>929</v>
      </c>
      <c r="H153" s="45" t="s">
        <v>2005</v>
      </c>
      <c r="I153" s="45" t="s">
        <v>1286</v>
      </c>
      <c r="J153" s="45">
        <v>414043230</v>
      </c>
      <c r="K153" s="45" t="s">
        <v>1912</v>
      </c>
      <c r="L153" s="48">
        <v>141.52000000000001</v>
      </c>
      <c r="M153" s="49">
        <v>20241111665</v>
      </c>
      <c r="N153" s="50" t="s">
        <v>28</v>
      </c>
      <c r="O153" s="50"/>
      <c r="P153" s="50"/>
      <c r="Q153" s="51"/>
      <c r="R153" s="50"/>
      <c r="S153" s="50"/>
      <c r="T153" s="51"/>
      <c r="U153" s="50"/>
    </row>
    <row r="154" spans="1:21" x14ac:dyDescent="0.25">
      <c r="A154" s="45" t="s">
        <v>324</v>
      </c>
      <c r="B154" s="46">
        <v>45758</v>
      </c>
      <c r="C154" s="45" t="s">
        <v>21</v>
      </c>
      <c r="D154" s="47" t="s">
        <v>175</v>
      </c>
      <c r="E154" s="45" t="s">
        <v>371</v>
      </c>
      <c r="F154" s="45" t="s">
        <v>372</v>
      </c>
      <c r="G154" s="45" t="s">
        <v>929</v>
      </c>
      <c r="H154" s="45" t="s">
        <v>2005</v>
      </c>
      <c r="I154" s="45" t="s">
        <v>1286</v>
      </c>
      <c r="J154" s="45">
        <v>414043230</v>
      </c>
      <c r="K154" s="45" t="s">
        <v>1912</v>
      </c>
      <c r="L154" s="48">
        <v>141.52000000000001</v>
      </c>
      <c r="M154" s="49">
        <v>20241111665</v>
      </c>
      <c r="N154" s="50" t="s">
        <v>28</v>
      </c>
      <c r="O154" s="50"/>
      <c r="P154" s="50"/>
      <c r="Q154" s="51"/>
      <c r="R154" s="50"/>
      <c r="S154" s="50"/>
      <c r="T154" s="51"/>
      <c r="U154" s="50"/>
    </row>
    <row r="155" spans="1:21" x14ac:dyDescent="0.25">
      <c r="A155" s="45" t="s">
        <v>324</v>
      </c>
      <c r="B155" s="46">
        <v>45758</v>
      </c>
      <c r="C155" s="45" t="s">
        <v>21</v>
      </c>
      <c r="D155" s="47" t="s">
        <v>175</v>
      </c>
      <c r="E155" s="45" t="s">
        <v>371</v>
      </c>
      <c r="F155" s="45" t="s">
        <v>372</v>
      </c>
      <c r="G155" s="45" t="s">
        <v>274</v>
      </c>
      <c r="H155" s="45" t="s">
        <v>2006</v>
      </c>
      <c r="I155" s="45" t="s">
        <v>2007</v>
      </c>
      <c r="J155" s="45">
        <v>425537452</v>
      </c>
      <c r="K155" s="45" t="s">
        <v>2008</v>
      </c>
      <c r="L155" s="48">
        <v>85</v>
      </c>
      <c r="M155" s="49">
        <v>20241111985</v>
      </c>
      <c r="N155" s="50" t="s">
        <v>28</v>
      </c>
      <c r="O155" s="50"/>
      <c r="P155" s="50"/>
      <c r="Q155" s="51"/>
      <c r="R155" s="50"/>
      <c r="S155" s="50"/>
      <c r="T155" s="51"/>
      <c r="U155" s="50"/>
    </row>
    <row r="156" spans="1:21" x14ac:dyDescent="0.25">
      <c r="A156" s="45" t="s">
        <v>849</v>
      </c>
      <c r="B156" s="46">
        <v>45758</v>
      </c>
      <c r="C156" s="45" t="s">
        <v>21</v>
      </c>
      <c r="D156" s="47" t="s">
        <v>175</v>
      </c>
      <c r="E156" s="45" t="s">
        <v>371</v>
      </c>
      <c r="F156" s="45" t="s">
        <v>372</v>
      </c>
      <c r="G156" s="45" t="s">
        <v>274</v>
      </c>
      <c r="H156" s="45" t="s">
        <v>2006</v>
      </c>
      <c r="I156" s="45" t="s">
        <v>2007</v>
      </c>
      <c r="J156" s="45">
        <v>425537452</v>
      </c>
      <c r="K156" s="45" t="s">
        <v>52</v>
      </c>
      <c r="L156" s="48">
        <v>5250</v>
      </c>
      <c r="M156" s="49">
        <v>20241111988</v>
      </c>
      <c r="N156" s="50" t="s">
        <v>28</v>
      </c>
      <c r="O156" s="50"/>
      <c r="P156" s="50"/>
      <c r="Q156" s="51"/>
      <c r="R156" s="50"/>
      <c r="S156" s="50"/>
      <c r="T156" s="51"/>
      <c r="U156" s="50"/>
    </row>
    <row r="157" spans="1:21" x14ac:dyDescent="0.25">
      <c r="A157" s="45" t="s">
        <v>324</v>
      </c>
      <c r="B157" s="46">
        <v>45758</v>
      </c>
      <c r="C157" s="45" t="s">
        <v>21</v>
      </c>
      <c r="D157" s="47" t="s">
        <v>175</v>
      </c>
      <c r="E157" s="45" t="s">
        <v>371</v>
      </c>
      <c r="F157" s="45" t="s">
        <v>372</v>
      </c>
      <c r="G157" s="45" t="s">
        <v>274</v>
      </c>
      <c r="H157" s="45" t="s">
        <v>2006</v>
      </c>
      <c r="I157" s="45" t="s">
        <v>2007</v>
      </c>
      <c r="J157" s="45">
        <v>425537452</v>
      </c>
      <c r="K157" s="45" t="s">
        <v>933</v>
      </c>
      <c r="L157" s="48">
        <v>85</v>
      </c>
      <c r="M157" s="49">
        <v>20241111984</v>
      </c>
      <c r="N157" s="50" t="s">
        <v>28</v>
      </c>
      <c r="O157" s="50"/>
      <c r="P157" s="50"/>
      <c r="Q157" s="51"/>
      <c r="R157" s="50"/>
      <c r="S157" s="50"/>
      <c r="T157" s="51"/>
      <c r="U157" s="50"/>
    </row>
    <row r="158" spans="1:21" x14ac:dyDescent="0.25">
      <c r="A158" s="45" t="s">
        <v>407</v>
      </c>
      <c r="B158" s="46">
        <v>45757</v>
      </c>
      <c r="C158" s="45" t="s">
        <v>21</v>
      </c>
      <c r="D158" s="47" t="s">
        <v>34</v>
      </c>
      <c r="E158" s="45" t="s">
        <v>362</v>
      </c>
      <c r="F158" s="45" t="s">
        <v>394</v>
      </c>
      <c r="G158" s="45" t="s">
        <v>395</v>
      </c>
      <c r="H158" s="45" t="s">
        <v>2009</v>
      </c>
      <c r="I158" s="45" t="s">
        <v>2010</v>
      </c>
      <c r="J158" s="45">
        <v>601343497</v>
      </c>
      <c r="K158" s="45" t="s">
        <v>337</v>
      </c>
      <c r="L158" s="48">
        <v>88.65</v>
      </c>
      <c r="M158" s="49">
        <v>20241114210</v>
      </c>
      <c r="N158" s="50" t="s">
        <v>28</v>
      </c>
      <c r="O158" s="50"/>
      <c r="P158" s="50"/>
      <c r="Q158" s="51"/>
      <c r="R158" s="50"/>
      <c r="S158" s="50"/>
      <c r="T158" s="51"/>
      <c r="U158" s="50"/>
    </row>
    <row r="159" spans="1:21" x14ac:dyDescent="0.25">
      <c r="A159" s="45" t="s">
        <v>233</v>
      </c>
      <c r="B159" s="46">
        <v>45757</v>
      </c>
      <c r="C159" s="45" t="s">
        <v>21</v>
      </c>
      <c r="D159" s="47" t="s">
        <v>34</v>
      </c>
      <c r="E159" s="45" t="s">
        <v>362</v>
      </c>
      <c r="F159" s="45" t="s">
        <v>394</v>
      </c>
      <c r="G159" s="45" t="s">
        <v>395</v>
      </c>
      <c r="H159" s="45" t="s">
        <v>2009</v>
      </c>
      <c r="I159" s="45" t="s">
        <v>2010</v>
      </c>
      <c r="J159" s="45">
        <v>601343497</v>
      </c>
      <c r="K159" s="45" t="s">
        <v>269</v>
      </c>
      <c r="L159" s="48">
        <v>40</v>
      </c>
      <c r="M159" s="49">
        <v>20241114233</v>
      </c>
      <c r="N159" s="50" t="s">
        <v>28</v>
      </c>
      <c r="O159" s="50"/>
      <c r="P159" s="50"/>
      <c r="Q159" s="51"/>
      <c r="R159" s="50"/>
      <c r="S159" s="50"/>
      <c r="T159" s="51"/>
      <c r="U159" s="50"/>
    </row>
    <row r="160" spans="1:21" x14ac:dyDescent="0.25">
      <c r="A160" s="45" t="s">
        <v>233</v>
      </c>
      <c r="B160" s="46">
        <v>45757</v>
      </c>
      <c r="C160" s="45" t="s">
        <v>21</v>
      </c>
      <c r="D160" s="47" t="s">
        <v>34</v>
      </c>
      <c r="E160" s="45" t="s">
        <v>362</v>
      </c>
      <c r="F160" s="45" t="s">
        <v>394</v>
      </c>
      <c r="G160" s="45" t="s">
        <v>395</v>
      </c>
      <c r="H160" s="45" t="s">
        <v>2009</v>
      </c>
      <c r="I160" s="45" t="s">
        <v>2010</v>
      </c>
      <c r="J160" s="45">
        <v>601343497</v>
      </c>
      <c r="K160" s="45" t="s">
        <v>196</v>
      </c>
      <c r="L160" s="48">
        <v>40</v>
      </c>
      <c r="M160" s="49">
        <v>20241114206</v>
      </c>
      <c r="N160" s="50" t="s">
        <v>28</v>
      </c>
      <c r="O160" s="50"/>
      <c r="P160" s="50"/>
      <c r="Q160" s="51"/>
      <c r="R160" s="50"/>
      <c r="S160" s="50"/>
      <c r="T160" s="51"/>
      <c r="U160" s="50"/>
    </row>
    <row r="161" spans="1:21" x14ac:dyDescent="0.25">
      <c r="A161" s="45" t="s">
        <v>233</v>
      </c>
      <c r="B161" s="46">
        <v>45757</v>
      </c>
      <c r="C161" s="45" t="s">
        <v>21</v>
      </c>
      <c r="D161" s="47" t="s">
        <v>34</v>
      </c>
      <c r="E161" s="45" t="s">
        <v>362</v>
      </c>
      <c r="F161" s="45" t="s">
        <v>394</v>
      </c>
      <c r="G161" s="45" t="s">
        <v>395</v>
      </c>
      <c r="H161" s="45" t="s">
        <v>2009</v>
      </c>
      <c r="I161" s="45" t="s">
        <v>2010</v>
      </c>
      <c r="J161" s="45">
        <v>601343497</v>
      </c>
      <c r="K161" s="45" t="s">
        <v>337</v>
      </c>
      <c r="L161" s="48">
        <v>400</v>
      </c>
      <c r="M161" s="49">
        <v>20241114228</v>
      </c>
      <c r="N161" s="50" t="s">
        <v>28</v>
      </c>
      <c r="O161" s="50"/>
      <c r="P161" s="50"/>
      <c r="Q161" s="51"/>
      <c r="R161" s="50"/>
      <c r="S161" s="50"/>
      <c r="T161" s="51"/>
      <c r="U161" s="50"/>
    </row>
    <row r="162" spans="1:21" x14ac:dyDescent="0.25">
      <c r="A162" s="45" t="s">
        <v>407</v>
      </c>
      <c r="B162" s="46">
        <v>45757</v>
      </c>
      <c r="C162" s="45" t="s">
        <v>21</v>
      </c>
      <c r="D162" s="47" t="s">
        <v>34</v>
      </c>
      <c r="E162" s="45" t="s">
        <v>362</v>
      </c>
      <c r="F162" s="45" t="s">
        <v>394</v>
      </c>
      <c r="G162" s="45" t="s">
        <v>395</v>
      </c>
      <c r="H162" s="45" t="s">
        <v>2009</v>
      </c>
      <c r="I162" s="45" t="s">
        <v>2010</v>
      </c>
      <c r="J162" s="45">
        <v>601343497</v>
      </c>
      <c r="K162" s="45" t="s">
        <v>337</v>
      </c>
      <c r="L162" s="48">
        <v>1704.64</v>
      </c>
      <c r="M162" s="49">
        <v>20241114224</v>
      </c>
      <c r="N162" s="50" t="s">
        <v>28</v>
      </c>
      <c r="O162" s="50"/>
      <c r="P162" s="50"/>
      <c r="Q162" s="51"/>
      <c r="R162" s="50"/>
      <c r="S162" s="50"/>
      <c r="T162" s="51"/>
      <c r="U162" s="50"/>
    </row>
    <row r="163" spans="1:21" x14ac:dyDescent="0.25">
      <c r="A163" s="45" t="s">
        <v>233</v>
      </c>
      <c r="B163" s="46">
        <v>45757</v>
      </c>
      <c r="C163" s="45" t="s">
        <v>21</v>
      </c>
      <c r="D163" s="47" t="s">
        <v>34</v>
      </c>
      <c r="E163" s="45" t="s">
        <v>362</v>
      </c>
      <c r="F163" s="45" t="s">
        <v>394</v>
      </c>
      <c r="G163" s="45" t="s">
        <v>395</v>
      </c>
      <c r="H163" s="45" t="s">
        <v>2009</v>
      </c>
      <c r="I163" s="45" t="s">
        <v>2010</v>
      </c>
      <c r="J163" s="45">
        <v>601343497</v>
      </c>
      <c r="K163" s="45" t="s">
        <v>37</v>
      </c>
      <c r="L163" s="48">
        <v>75</v>
      </c>
      <c r="M163" s="49">
        <v>20241114237</v>
      </c>
      <c r="N163" s="50" t="s">
        <v>28</v>
      </c>
      <c r="O163" s="50"/>
      <c r="P163" s="50"/>
      <c r="Q163" s="51"/>
      <c r="R163" s="50"/>
      <c r="S163" s="50"/>
      <c r="T163" s="51"/>
      <c r="U163" s="50"/>
    </row>
    <row r="164" spans="1:21" x14ac:dyDescent="0.25">
      <c r="A164" s="45" t="s">
        <v>233</v>
      </c>
      <c r="B164" s="46">
        <v>45757</v>
      </c>
      <c r="C164" s="45" t="s">
        <v>244</v>
      </c>
      <c r="D164" s="47" t="s">
        <v>34</v>
      </c>
      <c r="E164" s="45" t="s">
        <v>362</v>
      </c>
      <c r="F164" s="45" t="s">
        <v>394</v>
      </c>
      <c r="G164" s="45" t="s">
        <v>395</v>
      </c>
      <c r="H164" s="45" t="s">
        <v>2009</v>
      </c>
      <c r="I164" s="45" t="s">
        <v>2010</v>
      </c>
      <c r="J164" s="45">
        <v>601343497</v>
      </c>
      <c r="K164" s="45" t="s">
        <v>196</v>
      </c>
      <c r="L164" s="48">
        <v>10.44</v>
      </c>
      <c r="M164" s="49">
        <v>20241114204</v>
      </c>
      <c r="N164" s="50" t="s">
        <v>28</v>
      </c>
      <c r="O164" s="50"/>
      <c r="P164" s="50"/>
      <c r="Q164" s="51"/>
      <c r="R164" s="50"/>
      <c r="S164" s="50"/>
      <c r="T164" s="51"/>
      <c r="U164" s="50"/>
    </row>
    <row r="165" spans="1:21" x14ac:dyDescent="0.25">
      <c r="A165" s="45" t="s">
        <v>233</v>
      </c>
      <c r="B165" s="46">
        <v>45757</v>
      </c>
      <c r="C165" s="45" t="s">
        <v>244</v>
      </c>
      <c r="D165" s="47" t="s">
        <v>34</v>
      </c>
      <c r="E165" s="45" t="s">
        <v>362</v>
      </c>
      <c r="F165" s="45" t="s">
        <v>394</v>
      </c>
      <c r="G165" s="45" t="s">
        <v>2011</v>
      </c>
      <c r="H165" s="45" t="s">
        <v>2012</v>
      </c>
      <c r="I165" s="45" t="s">
        <v>2013</v>
      </c>
      <c r="J165" s="45">
        <v>614459054</v>
      </c>
      <c r="K165" s="45" t="s">
        <v>918</v>
      </c>
      <c r="L165" s="48">
        <v>297</v>
      </c>
      <c r="M165" s="49">
        <v>20241114376</v>
      </c>
      <c r="N165" s="50" t="s">
        <v>28</v>
      </c>
      <c r="O165" s="50"/>
      <c r="P165" s="50"/>
      <c r="Q165" s="51"/>
      <c r="R165" s="50"/>
      <c r="S165" s="50"/>
      <c r="T165" s="51"/>
      <c r="U165" s="50"/>
    </row>
    <row r="166" spans="1:21" x14ac:dyDescent="0.25">
      <c r="A166" s="45" t="s">
        <v>233</v>
      </c>
      <c r="B166" s="46">
        <v>45757</v>
      </c>
      <c r="C166" s="45" t="s">
        <v>244</v>
      </c>
      <c r="D166" s="47" t="s">
        <v>34</v>
      </c>
      <c r="E166" s="45" t="s">
        <v>362</v>
      </c>
      <c r="F166" s="45" t="s">
        <v>394</v>
      </c>
      <c r="G166" s="45" t="s">
        <v>2011</v>
      </c>
      <c r="H166" s="45" t="s">
        <v>2012</v>
      </c>
      <c r="I166" s="45" t="s">
        <v>2013</v>
      </c>
      <c r="J166" s="45">
        <v>614459054</v>
      </c>
      <c r="K166" s="45" t="s">
        <v>399</v>
      </c>
      <c r="L166" s="48">
        <v>197</v>
      </c>
      <c r="M166" s="49">
        <v>20241114374</v>
      </c>
      <c r="N166" s="50" t="s">
        <v>28</v>
      </c>
      <c r="O166" s="50"/>
      <c r="P166" s="50"/>
      <c r="Q166" s="51"/>
      <c r="R166" s="50"/>
      <c r="S166" s="50"/>
      <c r="T166" s="51"/>
      <c r="U166" s="50"/>
    </row>
    <row r="167" spans="1:21" x14ac:dyDescent="0.25">
      <c r="A167" s="45" t="s">
        <v>233</v>
      </c>
      <c r="B167" s="46">
        <v>45757</v>
      </c>
      <c r="C167" s="45" t="s">
        <v>244</v>
      </c>
      <c r="D167" s="47" t="s">
        <v>34</v>
      </c>
      <c r="E167" s="45" t="s">
        <v>362</v>
      </c>
      <c r="F167" s="45" t="s">
        <v>394</v>
      </c>
      <c r="G167" s="45" t="s">
        <v>2011</v>
      </c>
      <c r="H167" s="45" t="s">
        <v>2012</v>
      </c>
      <c r="I167" s="45" t="s">
        <v>2013</v>
      </c>
      <c r="J167" s="45">
        <v>614459054</v>
      </c>
      <c r="K167" s="45" t="s">
        <v>336</v>
      </c>
      <c r="L167" s="48">
        <v>297</v>
      </c>
      <c r="M167" s="49">
        <v>20241114375</v>
      </c>
      <c r="N167" s="50" t="s">
        <v>28</v>
      </c>
      <c r="O167" s="50"/>
      <c r="P167" s="50"/>
      <c r="Q167" s="51"/>
      <c r="R167" s="50"/>
      <c r="S167" s="50"/>
      <c r="T167" s="51"/>
      <c r="U167" s="50"/>
    </row>
    <row r="168" spans="1:21" x14ac:dyDescent="0.25">
      <c r="A168" s="45" t="s">
        <v>20</v>
      </c>
      <c r="B168" s="46">
        <v>45737</v>
      </c>
      <c r="C168" s="45" t="s">
        <v>168</v>
      </c>
      <c r="D168" s="47"/>
      <c r="E168" s="45" t="s">
        <v>362</v>
      </c>
      <c r="F168" s="45" t="s">
        <v>394</v>
      </c>
      <c r="G168" s="45" t="s">
        <v>1646</v>
      </c>
      <c r="H168" s="45" t="s">
        <v>1015</v>
      </c>
      <c r="I168" s="45" t="s">
        <v>2014</v>
      </c>
      <c r="J168" s="45">
        <v>617551364</v>
      </c>
      <c r="K168" s="45" t="s">
        <v>2015</v>
      </c>
      <c r="L168" s="48">
        <v>25</v>
      </c>
      <c r="M168" s="49">
        <v>20241111948</v>
      </c>
      <c r="N168" s="50" t="s">
        <v>28</v>
      </c>
      <c r="O168" s="50"/>
      <c r="P168" s="50"/>
      <c r="Q168" s="51"/>
      <c r="R168" s="50"/>
      <c r="S168" s="50"/>
      <c r="T168" s="51"/>
      <c r="U168" s="50"/>
    </row>
    <row r="169" spans="1:21" x14ac:dyDescent="0.25">
      <c r="A169" s="45" t="s">
        <v>20</v>
      </c>
      <c r="B169" s="46">
        <v>45737</v>
      </c>
      <c r="C169" s="45" t="s">
        <v>168</v>
      </c>
      <c r="D169" s="47"/>
      <c r="E169" s="45" t="s">
        <v>362</v>
      </c>
      <c r="F169" s="45" t="s">
        <v>394</v>
      </c>
      <c r="G169" s="45" t="s">
        <v>1646</v>
      </c>
      <c r="H169" s="45" t="s">
        <v>1015</v>
      </c>
      <c r="I169" s="45" t="s">
        <v>2014</v>
      </c>
      <c r="J169" s="45">
        <v>617551364</v>
      </c>
      <c r="K169" s="45" t="s">
        <v>402</v>
      </c>
      <c r="L169" s="48">
        <v>72.2</v>
      </c>
      <c r="M169" s="49">
        <v>20241111949</v>
      </c>
      <c r="N169" s="50" t="s">
        <v>28</v>
      </c>
      <c r="O169" s="50"/>
      <c r="P169" s="50"/>
      <c r="Q169" s="51"/>
      <c r="R169" s="50"/>
      <c r="S169" s="50"/>
      <c r="T169" s="51"/>
      <c r="U169" s="50"/>
    </row>
    <row r="170" spans="1:21" x14ac:dyDescent="0.25">
      <c r="A170" s="45" t="s">
        <v>20</v>
      </c>
      <c r="B170" s="46">
        <v>45737</v>
      </c>
      <c r="C170" s="45" t="s">
        <v>168</v>
      </c>
      <c r="D170" s="47"/>
      <c r="E170" s="45" t="s">
        <v>362</v>
      </c>
      <c r="F170" s="45" t="s">
        <v>394</v>
      </c>
      <c r="G170" s="45" t="s">
        <v>1646</v>
      </c>
      <c r="H170" s="45" t="s">
        <v>1015</v>
      </c>
      <c r="I170" s="45" t="s">
        <v>2014</v>
      </c>
      <c r="J170" s="45">
        <v>617551364</v>
      </c>
      <c r="K170" s="45" t="s">
        <v>1187</v>
      </c>
      <c r="L170" s="48">
        <v>4.82</v>
      </c>
      <c r="M170" s="49">
        <v>20241111951</v>
      </c>
      <c r="N170" s="50" t="s">
        <v>28</v>
      </c>
      <c r="O170" s="50"/>
      <c r="P170" s="50"/>
      <c r="Q170" s="51"/>
      <c r="R170" s="50"/>
      <c r="S170" s="50"/>
      <c r="T170" s="51"/>
      <c r="U170" s="50"/>
    </row>
    <row r="171" spans="1:21" x14ac:dyDescent="0.25">
      <c r="A171" s="45" t="s">
        <v>20</v>
      </c>
      <c r="B171" s="46">
        <v>45757</v>
      </c>
      <c r="C171" s="45" t="s">
        <v>168</v>
      </c>
      <c r="D171" s="47"/>
      <c r="E171" s="45" t="s">
        <v>362</v>
      </c>
      <c r="F171" s="45" t="s">
        <v>394</v>
      </c>
      <c r="G171" s="45" t="s">
        <v>1646</v>
      </c>
      <c r="H171" s="45" t="s">
        <v>1015</v>
      </c>
      <c r="I171" s="45" t="s">
        <v>2014</v>
      </c>
      <c r="J171" s="45">
        <v>617551364</v>
      </c>
      <c r="K171" s="45" t="s">
        <v>105</v>
      </c>
      <c r="L171" s="48">
        <v>14.82</v>
      </c>
      <c r="M171" s="49">
        <v>20241111935</v>
      </c>
      <c r="N171" s="50" t="s">
        <v>28</v>
      </c>
      <c r="O171" s="50"/>
      <c r="P171" s="50"/>
      <c r="Q171" s="51"/>
      <c r="R171" s="50"/>
      <c r="S171" s="50"/>
      <c r="T171" s="51"/>
      <c r="U171" s="50"/>
    </row>
    <row r="172" spans="1:21" x14ac:dyDescent="0.25">
      <c r="A172" s="45" t="s">
        <v>29</v>
      </c>
      <c r="B172" s="46">
        <v>45757</v>
      </c>
      <c r="C172" s="45" t="s">
        <v>168</v>
      </c>
      <c r="D172" s="47"/>
      <c r="E172" s="45" t="s">
        <v>362</v>
      </c>
      <c r="F172" s="45" t="s">
        <v>394</v>
      </c>
      <c r="G172" s="45" t="s">
        <v>30</v>
      </c>
      <c r="H172" s="45" t="s">
        <v>2016</v>
      </c>
      <c r="I172" s="45" t="s">
        <v>2017</v>
      </c>
      <c r="J172" s="45">
        <v>623072434</v>
      </c>
      <c r="K172" s="45" t="s">
        <v>56</v>
      </c>
      <c r="L172" s="48">
        <v>125</v>
      </c>
      <c r="M172" s="49">
        <v>20241022296</v>
      </c>
      <c r="N172" s="50" t="s">
        <v>28</v>
      </c>
      <c r="O172" s="50"/>
      <c r="P172" s="50"/>
      <c r="Q172" s="51"/>
      <c r="R172" s="50"/>
      <c r="S172" s="50"/>
      <c r="T172" s="51"/>
      <c r="U172" s="50"/>
    </row>
    <row r="173" spans="1:21" x14ac:dyDescent="0.25">
      <c r="A173" s="45" t="s">
        <v>20</v>
      </c>
      <c r="B173" s="46">
        <v>45757</v>
      </c>
      <c r="C173" s="45" t="s">
        <v>168</v>
      </c>
      <c r="D173" s="47"/>
      <c r="E173" s="45" t="s">
        <v>362</v>
      </c>
      <c r="F173" s="45" t="s">
        <v>409</v>
      </c>
      <c r="G173" s="45" t="s">
        <v>109</v>
      </c>
      <c r="H173" s="45" t="s">
        <v>2018</v>
      </c>
      <c r="I173" s="45" t="s">
        <v>2019</v>
      </c>
      <c r="J173" s="45">
        <v>576131349</v>
      </c>
      <c r="K173" s="45" t="s">
        <v>859</v>
      </c>
      <c r="L173" s="48">
        <v>170</v>
      </c>
      <c r="M173" s="49">
        <v>20241011462</v>
      </c>
      <c r="N173" s="50" t="s">
        <v>28</v>
      </c>
      <c r="O173" s="50"/>
      <c r="P173" s="50"/>
      <c r="Q173" s="51"/>
      <c r="R173" s="50"/>
      <c r="S173" s="50"/>
      <c r="T173" s="51"/>
      <c r="U173" s="50"/>
    </row>
    <row r="174" spans="1:21" ht="25.5" x14ac:dyDescent="0.25">
      <c r="A174" s="45" t="s">
        <v>29</v>
      </c>
      <c r="B174" s="46">
        <v>45757</v>
      </c>
      <c r="C174" s="45" t="s">
        <v>168</v>
      </c>
      <c r="D174" s="47"/>
      <c r="E174" s="45" t="s">
        <v>659</v>
      </c>
      <c r="F174" s="45" t="s">
        <v>660</v>
      </c>
      <c r="G174" s="45" t="s">
        <v>164</v>
      </c>
      <c r="H174" s="45" t="s">
        <v>2020</v>
      </c>
      <c r="I174" s="45" t="s">
        <v>2021</v>
      </c>
      <c r="J174" s="45">
        <v>71270</v>
      </c>
      <c r="K174" s="45" t="s">
        <v>1358</v>
      </c>
      <c r="L174" s="48">
        <v>1045</v>
      </c>
      <c r="M174" s="49">
        <v>20241104609</v>
      </c>
      <c r="N174" s="50" t="s">
        <v>28</v>
      </c>
      <c r="O174" s="50"/>
      <c r="P174" s="50"/>
      <c r="Q174" s="51"/>
      <c r="R174" s="50"/>
      <c r="S174" s="50"/>
      <c r="T174" s="51"/>
      <c r="U174" s="50"/>
    </row>
    <row r="175" spans="1:21" ht="25.5" x14ac:dyDescent="0.25">
      <c r="A175" s="45" t="s">
        <v>29</v>
      </c>
      <c r="B175" s="46">
        <v>45757</v>
      </c>
      <c r="C175" s="45" t="s">
        <v>168</v>
      </c>
      <c r="D175" s="47"/>
      <c r="E175" s="45" t="s">
        <v>411</v>
      </c>
      <c r="F175" s="45" t="s">
        <v>412</v>
      </c>
      <c r="G175" s="45" t="s">
        <v>164</v>
      </c>
      <c r="H175" s="45" t="s">
        <v>2020</v>
      </c>
      <c r="I175" s="45" t="s">
        <v>2021</v>
      </c>
      <c r="J175" s="45">
        <v>71270</v>
      </c>
      <c r="K175" s="45" t="s">
        <v>184</v>
      </c>
      <c r="L175" s="48">
        <v>1045</v>
      </c>
      <c r="M175" s="49">
        <v>20241104609</v>
      </c>
      <c r="N175" s="50" t="s">
        <v>28</v>
      </c>
      <c r="O175" s="50"/>
      <c r="P175" s="50"/>
      <c r="Q175" s="51"/>
      <c r="R175" s="50"/>
      <c r="S175" s="50"/>
      <c r="T175" s="51"/>
      <c r="U175" s="50"/>
    </row>
    <row r="176" spans="1:21" x14ac:dyDescent="0.25">
      <c r="A176" s="45" t="s">
        <v>20</v>
      </c>
      <c r="B176" s="46">
        <v>45757</v>
      </c>
      <c r="C176" s="45" t="s">
        <v>168</v>
      </c>
      <c r="D176" s="47"/>
      <c r="E176" s="45" t="s">
        <v>556</v>
      </c>
      <c r="F176" s="45" t="s">
        <v>557</v>
      </c>
      <c r="G176" s="45" t="s">
        <v>995</v>
      </c>
      <c r="H176" s="45" t="s">
        <v>1330</v>
      </c>
      <c r="I176" s="45" t="s">
        <v>2022</v>
      </c>
      <c r="J176" s="45">
        <v>217823460</v>
      </c>
      <c r="K176" s="45" t="s">
        <v>856</v>
      </c>
      <c r="L176" s="48">
        <v>24.42</v>
      </c>
      <c r="M176" s="49">
        <v>20241113692</v>
      </c>
      <c r="N176" s="50" t="s">
        <v>28</v>
      </c>
      <c r="O176" s="50"/>
      <c r="P176" s="50"/>
      <c r="Q176" s="51"/>
      <c r="R176" s="50"/>
      <c r="S176" s="50"/>
      <c r="T176" s="51"/>
      <c r="U176" s="50"/>
    </row>
    <row r="177" spans="1:21" x14ac:dyDescent="0.25">
      <c r="A177" s="45" t="s">
        <v>20</v>
      </c>
      <c r="B177" s="46">
        <v>45757</v>
      </c>
      <c r="C177" s="45" t="s">
        <v>168</v>
      </c>
      <c r="D177" s="47"/>
      <c r="E177" s="45" t="s">
        <v>556</v>
      </c>
      <c r="F177" s="45" t="s">
        <v>557</v>
      </c>
      <c r="G177" s="45" t="s">
        <v>2023</v>
      </c>
      <c r="H177" s="45" t="s">
        <v>2024</v>
      </c>
      <c r="I177" s="45" t="s">
        <v>1114</v>
      </c>
      <c r="J177" s="45">
        <v>329748167</v>
      </c>
      <c r="K177" s="45" t="s">
        <v>1230</v>
      </c>
      <c r="L177" s="48">
        <v>30</v>
      </c>
      <c r="M177" s="49">
        <v>20241113688</v>
      </c>
      <c r="N177" s="50" t="s">
        <v>28</v>
      </c>
      <c r="O177" s="50"/>
      <c r="P177" s="50"/>
      <c r="Q177" s="51"/>
      <c r="R177" s="50"/>
      <c r="S177" s="50"/>
      <c r="T177" s="51"/>
      <c r="U177" s="50"/>
    </row>
    <row r="178" spans="1:21" ht="105" x14ac:dyDescent="0.25">
      <c r="A178" s="45" t="s">
        <v>20</v>
      </c>
      <c r="B178" s="46">
        <v>45757</v>
      </c>
      <c r="C178" s="45" t="s">
        <v>168</v>
      </c>
      <c r="D178" s="47"/>
      <c r="E178" s="45" t="s">
        <v>556</v>
      </c>
      <c r="F178" s="45" t="s">
        <v>557</v>
      </c>
      <c r="G178" s="45" t="s">
        <v>2025</v>
      </c>
      <c r="H178" s="45" t="s">
        <v>2026</v>
      </c>
      <c r="I178" s="45" t="s">
        <v>2027</v>
      </c>
      <c r="J178" s="45">
        <v>333749547</v>
      </c>
      <c r="K178" s="45" t="s">
        <v>1358</v>
      </c>
      <c r="L178" s="48">
        <v>83.44</v>
      </c>
      <c r="M178" s="49">
        <v>20241113646</v>
      </c>
      <c r="N178" s="50"/>
      <c r="O178" s="50" t="s">
        <v>124</v>
      </c>
      <c r="P178" s="50"/>
      <c r="Q178" s="51" t="s">
        <v>2028</v>
      </c>
      <c r="R178" s="50"/>
      <c r="S178" s="50"/>
      <c r="T178" s="51"/>
      <c r="U178" s="50"/>
    </row>
    <row r="179" spans="1:21" x14ac:dyDescent="0.25">
      <c r="A179" s="45" t="s">
        <v>20</v>
      </c>
      <c r="B179" s="46">
        <v>45757</v>
      </c>
      <c r="C179" s="45" t="s">
        <v>168</v>
      </c>
      <c r="D179" s="47"/>
      <c r="E179" s="45" t="s">
        <v>556</v>
      </c>
      <c r="F179" s="45" t="s">
        <v>557</v>
      </c>
      <c r="G179" s="45" t="s">
        <v>210</v>
      </c>
      <c r="H179" s="45" t="s">
        <v>2029</v>
      </c>
      <c r="I179" s="45" t="s">
        <v>2030</v>
      </c>
      <c r="J179" s="45">
        <v>607304478</v>
      </c>
      <c r="K179" s="45" t="s">
        <v>1907</v>
      </c>
      <c r="L179" s="48">
        <v>118.18</v>
      </c>
      <c r="M179" s="49">
        <v>20241113666</v>
      </c>
      <c r="N179" s="50" t="s">
        <v>28</v>
      </c>
      <c r="O179" s="50"/>
      <c r="P179" s="50"/>
      <c r="Q179" s="51"/>
      <c r="R179" s="50"/>
      <c r="S179" s="50"/>
      <c r="T179" s="51"/>
      <c r="U179" s="50"/>
    </row>
    <row r="180" spans="1:21" x14ac:dyDescent="0.25">
      <c r="A180" s="45" t="s">
        <v>20</v>
      </c>
      <c r="B180" s="46">
        <v>45757</v>
      </c>
      <c r="C180" s="45" t="s">
        <v>168</v>
      </c>
      <c r="D180" s="47"/>
      <c r="E180" s="45" t="s">
        <v>556</v>
      </c>
      <c r="F180" s="45" t="s">
        <v>557</v>
      </c>
      <c r="G180" s="45" t="s">
        <v>210</v>
      </c>
      <c r="H180" s="45" t="s">
        <v>2029</v>
      </c>
      <c r="I180" s="45" t="s">
        <v>2030</v>
      </c>
      <c r="J180" s="45">
        <v>607304478</v>
      </c>
      <c r="K180" s="45" t="s">
        <v>1853</v>
      </c>
      <c r="L180" s="48">
        <v>100.33</v>
      </c>
      <c r="M180" s="49">
        <v>20241113675</v>
      </c>
      <c r="N180" s="50" t="s">
        <v>28</v>
      </c>
      <c r="O180" s="50"/>
      <c r="P180" s="50"/>
      <c r="Q180" s="51"/>
      <c r="R180" s="50"/>
      <c r="S180" s="50"/>
      <c r="T180" s="51"/>
      <c r="U180" s="50"/>
    </row>
    <row r="181" spans="1:21" x14ac:dyDescent="0.25">
      <c r="A181" s="45" t="s">
        <v>20</v>
      </c>
      <c r="B181" s="46">
        <v>45757</v>
      </c>
      <c r="C181" s="45" t="s">
        <v>168</v>
      </c>
      <c r="D181" s="47"/>
      <c r="E181" s="45" t="s">
        <v>556</v>
      </c>
      <c r="F181" s="45" t="s">
        <v>557</v>
      </c>
      <c r="G181" s="45" t="s">
        <v>1719</v>
      </c>
      <c r="H181" s="45" t="s">
        <v>2031</v>
      </c>
      <c r="I181" s="45" t="s">
        <v>2032</v>
      </c>
      <c r="J181" s="45">
        <v>612114389</v>
      </c>
      <c r="K181" s="45" t="s">
        <v>1338</v>
      </c>
      <c r="L181" s="48">
        <v>5</v>
      </c>
      <c r="M181" s="49">
        <v>20241113665</v>
      </c>
      <c r="N181" s="50" t="s">
        <v>28</v>
      </c>
      <c r="O181" s="50"/>
      <c r="P181" s="50"/>
      <c r="Q181" s="51"/>
      <c r="R181" s="50"/>
      <c r="S181" s="50"/>
      <c r="T181" s="51"/>
      <c r="U181" s="50"/>
    </row>
  </sheetData>
  <autoFilter ref="A1:AG39700" xr:uid="{42558009-F090-4ADA-88C9-374625B7D4C7}"/>
  <sortState xmlns:xlrd2="http://schemas.microsoft.com/office/spreadsheetml/2017/richdata2" ref="A2:U181">
    <sortCondition ref="J2:J181"/>
  </sortState>
  <conditionalFormatting sqref="N1:N1048576">
    <cfRule type="cellIs" priority="13" stopIfTrue="1" operator="equal">
      <formula>""</formula>
    </cfRule>
    <cfRule type="cellIs" priority="14" stopIfTrue="1" operator="equal">
      <formula>"Correct = C"</formula>
    </cfRule>
    <cfRule type="cellIs" dxfId="135" priority="15" operator="notEqual">
      <formula>"C"</formula>
    </cfRule>
  </conditionalFormatting>
  <conditionalFormatting sqref="O1:O1048576">
    <cfRule type="cellIs" priority="10" stopIfTrue="1" operator="equal">
      <formula>""</formula>
    </cfRule>
    <cfRule type="cellIs" priority="11" stopIfTrue="1" operator="equal">
      <formula>"Major = M"</formula>
    </cfRule>
    <cfRule type="cellIs" dxfId="134" priority="12" operator="notEqual">
      <formula>"M"</formula>
    </cfRule>
  </conditionalFormatting>
  <conditionalFormatting sqref="P1:P1048576">
    <cfRule type="cellIs" priority="7" stopIfTrue="1" operator="equal">
      <formula>""</formula>
    </cfRule>
    <cfRule type="cellIs" priority="8" stopIfTrue="1" operator="equal">
      <formula>"Minor = E"</formula>
    </cfRule>
    <cfRule type="cellIs" dxfId="133" priority="9" operator="notEqual">
      <formula>"E"</formula>
    </cfRule>
  </conditionalFormatting>
  <conditionalFormatting sqref="R1:R1048576">
    <cfRule type="cellIs" priority="4" stopIfTrue="1" operator="equal">
      <formula>""</formula>
    </cfRule>
    <cfRule type="cellIs" priority="5" stopIfTrue="1" operator="equal">
      <formula>"Inserted Major = M"</formula>
    </cfRule>
    <cfRule type="cellIs" dxfId="132" priority="6" operator="notEqual">
      <formula>"M"</formula>
    </cfRule>
  </conditionalFormatting>
  <conditionalFormatting sqref="S1:S1048576">
    <cfRule type="cellIs" priority="1" stopIfTrue="1" operator="equal">
      <formula>""</formula>
    </cfRule>
    <cfRule type="cellIs" priority="2" stopIfTrue="1" operator="equal">
      <formula>"Inserted Minor = E"</formula>
    </cfRule>
    <cfRule type="cellIs" dxfId="131" priority="3" operator="notEqual">
      <formula>"E"</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6BD7E3-49E8-4251-85E9-6956D8F52222}">
  <sheetPr codeName="Sheet20"/>
  <dimension ref="B2:AA50"/>
  <sheetViews>
    <sheetView topLeftCell="A8" workbookViewId="0"/>
  </sheetViews>
  <sheetFormatPr defaultRowHeight="15" x14ac:dyDescent="0.25"/>
  <cols>
    <col min="1" max="1" width="2.7109375" customWidth="1"/>
    <col min="2" max="2" width="28.140625" style="1" bestFit="1" customWidth="1"/>
    <col min="3" max="3" width="19.140625" style="1" hidden="1" customWidth="1"/>
    <col min="4" max="4" width="21.7109375" style="1" hidden="1" customWidth="1"/>
    <col min="5" max="5" width="11" style="1" hidden="1" customWidth="1"/>
    <col min="6" max="6" width="9.5703125" style="1" hidden="1" customWidth="1"/>
    <col min="7" max="7" width="16.140625" style="1" hidden="1" customWidth="1"/>
    <col min="8" max="8" width="17.140625" style="1" customWidth="1"/>
    <col min="9" max="9" width="33.85546875" style="1" hidden="1" customWidth="1"/>
    <col min="10" max="10" width="16.140625" style="1" customWidth="1"/>
    <col min="11" max="11" width="20.85546875" style="1" hidden="1" customWidth="1"/>
    <col min="12" max="12" width="19.85546875" style="1" hidden="1" customWidth="1"/>
    <col min="13" max="13" width="9.140625" style="1"/>
    <col min="14" max="16" width="0" style="1" hidden="1" customWidth="1"/>
    <col min="17" max="17" width="9.140625" style="1"/>
    <col min="18" max="19" width="9.140625" style="27"/>
    <col min="20" max="20" width="9.140625" style="1"/>
    <col min="21" max="22" width="9.140625" style="2"/>
    <col min="23" max="23" width="9.140625" style="1"/>
    <col min="24" max="24" width="18.85546875" style="1" bestFit="1" customWidth="1"/>
    <col min="25" max="27" width="9.140625" style="1"/>
  </cols>
  <sheetData>
    <row r="2" spans="2:24" s="1" customFormat="1" ht="52.5" x14ac:dyDescent="0.25">
      <c r="B2" s="22" t="s">
        <v>437</v>
      </c>
      <c r="C2" s="22" t="s">
        <v>438</v>
      </c>
      <c r="D2" s="22" t="s">
        <v>439</v>
      </c>
      <c r="E2" s="23" t="s">
        <v>440</v>
      </c>
      <c r="F2" s="23" t="s">
        <v>441</v>
      </c>
      <c r="G2" s="23" t="s">
        <v>442</v>
      </c>
      <c r="H2" s="23" t="s">
        <v>443</v>
      </c>
      <c r="I2" s="23" t="s">
        <v>444</v>
      </c>
      <c r="J2" s="23" t="s">
        <v>445</v>
      </c>
      <c r="K2" s="23" t="s">
        <v>446</v>
      </c>
      <c r="L2" s="23" t="s">
        <v>447</v>
      </c>
      <c r="M2" s="24" t="s">
        <v>448</v>
      </c>
      <c r="N2" s="24"/>
      <c r="O2" s="24"/>
      <c r="P2" s="24" t="s">
        <v>449</v>
      </c>
      <c r="Q2" s="24" t="s">
        <v>450</v>
      </c>
      <c r="R2" s="25" t="s">
        <v>451</v>
      </c>
      <c r="S2" s="25" t="s">
        <v>452</v>
      </c>
      <c r="T2" s="24" t="s">
        <v>453</v>
      </c>
      <c r="U2" s="26" t="s">
        <v>454</v>
      </c>
      <c r="V2" s="2"/>
    </row>
    <row r="3" spans="2:24" s="1" customFormat="1" ht="15" customHeight="1" x14ac:dyDescent="0.25">
      <c r="B3" s="1" t="s">
        <v>455</v>
      </c>
      <c r="C3" s="1" t="s">
        <v>456</v>
      </c>
      <c r="D3" s="1" t="s">
        <v>297</v>
      </c>
      <c r="E3" t="s">
        <v>457</v>
      </c>
      <c r="F3" t="s">
        <v>458</v>
      </c>
      <c r="G3" t="s">
        <v>459</v>
      </c>
      <c r="H3" t="s">
        <v>460</v>
      </c>
      <c r="I3" t="s">
        <v>461</v>
      </c>
      <c r="J3" t="s">
        <v>462</v>
      </c>
      <c r="K3"/>
      <c r="L3" t="s">
        <v>463</v>
      </c>
      <c r="M3">
        <v>0</v>
      </c>
      <c r="N3" t="s">
        <v>464</v>
      </c>
      <c r="O3"/>
      <c r="P3"/>
      <c r="Q3" s="7"/>
      <c r="R3" s="27" t="str">
        <f t="shared" ref="R3:R48" si="0">IF(Q3-SUM(S3:T3)=0,"",Q3-SUM(S3:T3))</f>
        <v/>
      </c>
      <c r="S3" s="27" t="str">
        <f>IF(SUM(COUNTIFS('11_11_11_17'!E:E,'11_11_11_17 Acc Rate'!C3,'11_11_11_17'!O:O,"*M*"),COUNTIFS('11_11_11_17'!E:E,'11_11_11_17 Acc Rate'!C3,'11_11_11_17'!R:R,"*M*"))=0,"",SUM(COUNTIFS('11_11_11_17'!E:E,'11_11_11_17 Acc Rate'!C3,'11_11_11_17'!O:O,"*M*"),COUNTIFS('11_11_11_17'!E:E,'11_11_11_17 Acc Rate'!C3,'11_11_11_17'!R:R,"*M*")))</f>
        <v/>
      </c>
      <c r="T3" s="1" t="str">
        <f>IF(SUM(COUNTIFS('11_11_11_17'!E:E,'11_11_11_17 Acc Rate'!C3,'11_11_11_17'!P:P,"*E*"),COUNTIFS('11_11_11_17'!E:E,'11_11_11_17 Acc Rate'!C3,'11_11_11_17'!S:S,"*E*"))=0,"",SUM(COUNTIFS('11_11_11_17'!E:E,'11_11_11_17 Acc Rate'!C3,'11_11_11_17'!P:P,"*E*"),COUNTIFS('11_11_11_17'!E:E,'11_11_11_17 Acc Rate'!C3,'11_11_11_17'!S:S,"*E*")))</f>
        <v/>
      </c>
      <c r="U3" s="8" t="str">
        <f>IF(ISERROR(SUM(_xlfn.NUMBERVALUE(S3)*8+_xlfn.NUMBERVALUE(T3)*2)/Q3),"",SUM(_xlfn.NUMBERVALUE(S3)*8+_xlfn.NUMBERVALUE(T3)*2)/Q3)</f>
        <v/>
      </c>
      <c r="V3" s="2"/>
      <c r="W3" s="83" t="s">
        <v>465</v>
      </c>
      <c r="X3" s="83"/>
    </row>
    <row r="4" spans="2:24" s="1" customFormat="1" ht="15" customHeight="1" x14ac:dyDescent="0.25">
      <c r="B4" s="1" t="s">
        <v>506</v>
      </c>
      <c r="C4" s="1" t="s">
        <v>208</v>
      </c>
      <c r="D4" s="1" t="s">
        <v>209</v>
      </c>
      <c r="E4" t="s">
        <v>507</v>
      </c>
      <c r="F4" t="s">
        <v>352</v>
      </c>
      <c r="G4" t="s">
        <v>508</v>
      </c>
      <c r="H4" t="s">
        <v>460</v>
      </c>
      <c r="I4" t="s">
        <v>509</v>
      </c>
      <c r="J4" t="s">
        <v>470</v>
      </c>
      <c r="K4"/>
      <c r="L4" t="s">
        <v>510</v>
      </c>
      <c r="M4">
        <v>15</v>
      </c>
      <c r="N4" t="s">
        <v>511</v>
      </c>
      <c r="O4">
        <v>32</v>
      </c>
      <c r="P4">
        <v>40</v>
      </c>
      <c r="Q4" s="7"/>
      <c r="R4" s="27">
        <f t="shared" si="0"/>
        <v>-1</v>
      </c>
      <c r="S4" s="27" t="str">
        <f>IF(SUM(COUNTIFS('11_11_11_17'!E:E,'11_11_11_17 Acc Rate'!C4,'11_11_11_17'!O:O,"*M*"),COUNTIFS('11_11_11_17'!E:E,'11_11_11_17 Acc Rate'!C4,'11_11_11_17'!R:R,"*M*"))=0,"",SUM(COUNTIFS('11_11_11_17'!E:E,'11_11_11_17 Acc Rate'!C4,'11_11_11_17'!O:O,"*M*"),COUNTIFS('11_11_11_17'!E:E,'11_11_11_17 Acc Rate'!C4,'11_11_11_17'!R:R,"*M*")))</f>
        <v/>
      </c>
      <c r="T4" s="1">
        <f>IF(SUM(COUNTIFS('11_11_11_17'!E:E,'11_11_11_17 Acc Rate'!C4,'11_11_11_17'!P:P,"*E*"),COUNTIFS('11_11_11_17'!E:E,'11_11_11_17 Acc Rate'!C4,'11_11_11_17'!S:S,"*E*"))=0,"",SUM(COUNTIFS('11_11_11_17'!E:E,'11_11_11_17 Acc Rate'!C4,'11_11_11_17'!P:P,"*E*"),COUNTIFS('11_11_11_17'!E:E,'11_11_11_17 Acc Rate'!C4,'11_11_11_17'!S:S,"*E*")))</f>
        <v>1</v>
      </c>
      <c r="U4" s="8" t="str">
        <f t="shared" ref="U4:U47" si="1">IF(ISERROR(SUM(_xlfn.NUMBERVALUE(S4)*8+_xlfn.NUMBERVALUE(T4)*2)/Q4),"",SUM(_xlfn.NUMBERVALUE(S4)*8+_xlfn.NUMBERVALUE(T4)*2)/Q4)</f>
        <v/>
      </c>
      <c r="V4" s="2"/>
      <c r="W4" s="40" t="s">
        <v>473</v>
      </c>
      <c r="X4" s="41" t="s">
        <v>474</v>
      </c>
    </row>
    <row r="5" spans="2:24" s="1" customFormat="1" ht="15" customHeight="1" x14ac:dyDescent="0.25">
      <c r="B5" s="1" t="s">
        <v>525</v>
      </c>
      <c r="C5" s="1" t="s">
        <v>277</v>
      </c>
      <c r="D5" s="1" t="s">
        <v>278</v>
      </c>
      <c r="E5" t="s">
        <v>526</v>
      </c>
      <c r="F5" t="s">
        <v>527</v>
      </c>
      <c r="G5" t="s">
        <v>528</v>
      </c>
      <c r="H5" t="s">
        <v>460</v>
      </c>
      <c r="I5" t="s">
        <v>529</v>
      </c>
      <c r="J5" t="s">
        <v>2033</v>
      </c>
      <c r="K5" t="s">
        <v>509</v>
      </c>
      <c r="L5"/>
      <c r="M5">
        <v>15</v>
      </c>
      <c r="N5" t="s">
        <v>530</v>
      </c>
      <c r="O5">
        <v>219</v>
      </c>
      <c r="P5">
        <v>25</v>
      </c>
      <c r="Q5" s="7"/>
      <c r="R5" s="27" t="str">
        <f t="shared" si="0"/>
        <v/>
      </c>
      <c r="S5" s="27" t="str">
        <f>IF(SUM(COUNTIFS('11_11_11_17'!E:E,'11_11_11_17 Acc Rate'!C5,'11_11_11_17'!O:O,"*M*"),COUNTIFS('11_11_11_17'!E:E,'11_11_11_17 Acc Rate'!C5,'11_11_11_17'!R:R,"*M*"))=0,"",SUM(COUNTIFS('11_11_11_17'!E:E,'11_11_11_17 Acc Rate'!C5,'11_11_11_17'!O:O,"*M*"),COUNTIFS('11_11_11_17'!E:E,'11_11_11_17 Acc Rate'!C5,'11_11_11_17'!R:R,"*M*")))</f>
        <v/>
      </c>
      <c r="T5" s="1" t="str">
        <f>IF(SUM(COUNTIFS('11_11_11_17'!E:E,'11_11_11_17 Acc Rate'!C5,'11_11_11_17'!P:P,"*E*"),COUNTIFS('11_11_11_17'!E:E,'11_11_11_17 Acc Rate'!C5,'11_11_11_17'!S:S,"*E*"))=0,"",SUM(COUNTIFS('11_11_11_17'!E:E,'11_11_11_17 Acc Rate'!C5,'11_11_11_17'!P:P,"*E*"),COUNTIFS('11_11_11_17'!E:E,'11_11_11_17 Acc Rate'!C5,'11_11_11_17'!S:S,"*E*")))</f>
        <v/>
      </c>
      <c r="U5" s="8" t="str">
        <f t="shared" si="1"/>
        <v/>
      </c>
      <c r="V5" s="2"/>
      <c r="W5" s="40" t="s">
        <v>482</v>
      </c>
      <c r="X5" s="41" t="s">
        <v>483</v>
      </c>
    </row>
    <row r="6" spans="2:24" s="1" customFormat="1" ht="15" customHeight="1" x14ac:dyDescent="0.25">
      <c r="B6" s="1" t="s">
        <v>475</v>
      </c>
      <c r="C6" s="1" t="s">
        <v>362</v>
      </c>
      <c r="D6" s="1" t="s">
        <v>394</v>
      </c>
      <c r="E6" t="s">
        <v>476</v>
      </c>
      <c r="F6" t="s">
        <v>175</v>
      </c>
      <c r="G6" t="s">
        <v>477</v>
      </c>
      <c r="H6" t="s">
        <v>460</v>
      </c>
      <c r="I6" t="s">
        <v>478</v>
      </c>
      <c r="J6" t="s">
        <v>2033</v>
      </c>
      <c r="K6" t="s">
        <v>509</v>
      </c>
      <c r="L6" t="s">
        <v>480</v>
      </c>
      <c r="M6">
        <v>15</v>
      </c>
      <c r="N6" t="s">
        <v>481</v>
      </c>
      <c r="O6">
        <v>67</v>
      </c>
      <c r="P6">
        <v>20</v>
      </c>
      <c r="Q6" s="7"/>
      <c r="R6" s="27" t="str">
        <f t="shared" si="0"/>
        <v/>
      </c>
      <c r="S6" s="27" t="str">
        <f>IF(SUM(COUNTIFS('11_11_11_17'!E:E,'11_11_11_17 Acc Rate'!C6,'11_11_11_17'!O:O,"*M*"),COUNTIFS('11_11_11_17'!E:E,'11_11_11_17 Acc Rate'!C6,'11_11_11_17'!R:R,"*M*"))=0,"",SUM(COUNTIFS('11_11_11_17'!E:E,'11_11_11_17 Acc Rate'!C6,'11_11_11_17'!O:O,"*M*"),COUNTIFS('11_11_11_17'!E:E,'11_11_11_17 Acc Rate'!C6,'11_11_11_17'!R:R,"*M*")))</f>
        <v/>
      </c>
      <c r="T6" s="1" t="str">
        <f>IF(SUM(COUNTIFS('11_11_11_17'!E:E,'11_11_11_17 Acc Rate'!C6,'11_11_11_17'!P:P,"*E*"),COUNTIFS('11_11_11_17'!E:E,'11_11_11_17 Acc Rate'!C6,'11_11_11_17'!S:S,"*E*"))=0,"",SUM(COUNTIFS('11_11_11_17'!E:E,'11_11_11_17 Acc Rate'!C6,'11_11_11_17'!P:P,"*E*"),COUNTIFS('11_11_11_17'!E:E,'11_11_11_17 Acc Rate'!C6,'11_11_11_17'!S:S,"*E*")))</f>
        <v/>
      </c>
      <c r="U6" s="8" t="str">
        <f t="shared" si="1"/>
        <v/>
      </c>
      <c r="V6" s="2"/>
      <c r="W6" s="40" t="s">
        <v>490</v>
      </c>
      <c r="X6" s="41" t="s">
        <v>491</v>
      </c>
    </row>
    <row r="7" spans="2:24" s="1" customFormat="1" ht="15" customHeight="1" x14ac:dyDescent="0.25">
      <c r="B7" s="1" t="s">
        <v>542</v>
      </c>
      <c r="C7" s="1" t="s">
        <v>245</v>
      </c>
      <c r="D7" s="1" t="s">
        <v>246</v>
      </c>
      <c r="E7" t="s">
        <v>543</v>
      </c>
      <c r="F7" t="s">
        <v>21</v>
      </c>
      <c r="G7" t="s">
        <v>544</v>
      </c>
      <c r="H7" t="s">
        <v>460</v>
      </c>
      <c r="I7" t="s">
        <v>545</v>
      </c>
      <c r="J7" t="s">
        <v>2033</v>
      </c>
      <c r="K7" t="s">
        <v>509</v>
      </c>
      <c r="L7" t="s">
        <v>546</v>
      </c>
      <c r="M7">
        <v>15</v>
      </c>
      <c r="N7" t="s">
        <v>547</v>
      </c>
      <c r="O7">
        <v>209</v>
      </c>
      <c r="P7">
        <v>40</v>
      </c>
      <c r="Q7" s="7"/>
      <c r="R7" s="27">
        <f t="shared" si="0"/>
        <v>-1</v>
      </c>
      <c r="S7" s="27">
        <f>IF(SUM(COUNTIFS('11_11_11_17'!E:E,'11_11_11_17 Acc Rate'!C7,'11_11_11_17'!O:O,"*M*"),COUNTIFS('11_11_11_17'!E:E,'11_11_11_17 Acc Rate'!C7,'11_11_11_17'!R:R,"*M*"))=0,"",SUM(COUNTIFS('11_11_11_17'!E:E,'11_11_11_17 Acc Rate'!C7,'11_11_11_17'!O:O,"*M*"),COUNTIFS('11_11_11_17'!E:E,'11_11_11_17 Acc Rate'!C7,'11_11_11_17'!R:R,"*M*")))</f>
        <v>1</v>
      </c>
      <c r="T7" s="1" t="str">
        <f>IF(SUM(COUNTIFS('11_11_11_17'!E:E,'11_11_11_17 Acc Rate'!C7,'11_11_11_17'!P:P,"*E*"),COUNTIFS('11_11_11_17'!E:E,'11_11_11_17 Acc Rate'!C7,'11_11_11_17'!S:S,"*E*"))=0,"",SUM(COUNTIFS('11_11_11_17'!E:E,'11_11_11_17 Acc Rate'!C7,'11_11_11_17'!P:P,"*E*"),COUNTIFS('11_11_11_17'!E:E,'11_11_11_17 Acc Rate'!C7,'11_11_11_17'!S:S,"*E*")))</f>
        <v/>
      </c>
      <c r="U7" s="8" t="str">
        <f t="shared" si="1"/>
        <v/>
      </c>
      <c r="V7" s="2"/>
      <c r="W7" s="84" t="s">
        <v>499</v>
      </c>
      <c r="X7" s="84"/>
    </row>
    <row r="8" spans="2:24" s="1" customFormat="1" ht="15" customHeight="1" x14ac:dyDescent="0.25">
      <c r="B8" s="1" t="s">
        <v>492</v>
      </c>
      <c r="C8" s="1" t="s">
        <v>107</v>
      </c>
      <c r="D8" s="1" t="s">
        <v>108</v>
      </c>
      <c r="E8" t="s">
        <v>493</v>
      </c>
      <c r="F8" t="s">
        <v>494</v>
      </c>
      <c r="G8" t="s">
        <v>495</v>
      </c>
      <c r="H8" t="s">
        <v>460</v>
      </c>
      <c r="I8" t="s">
        <v>496</v>
      </c>
      <c r="J8" t="s">
        <v>2033</v>
      </c>
      <c r="K8" t="s">
        <v>509</v>
      </c>
      <c r="L8"/>
      <c r="M8">
        <v>15</v>
      </c>
      <c r="N8" t="s">
        <v>497</v>
      </c>
      <c r="O8" t="s">
        <v>498</v>
      </c>
      <c r="P8">
        <v>40</v>
      </c>
      <c r="Q8" s="7"/>
      <c r="R8" s="27" t="str">
        <f t="shared" si="0"/>
        <v/>
      </c>
      <c r="S8" s="27" t="str">
        <f>IF(SUM(COUNTIFS('11_11_11_17'!E:E,'11_11_11_17 Acc Rate'!C8,'11_11_11_17'!O:O,"*M*"),COUNTIFS('11_11_11_17'!E:E,'11_11_11_17 Acc Rate'!C8,'11_11_11_17'!R:R,"*M*"))=0,"",SUM(COUNTIFS('11_11_11_17'!E:E,'11_11_11_17 Acc Rate'!C8,'11_11_11_17'!O:O,"*M*"),COUNTIFS('11_11_11_17'!E:E,'11_11_11_17 Acc Rate'!C8,'11_11_11_17'!R:R,"*M*")))</f>
        <v/>
      </c>
      <c r="T8" s="1" t="str">
        <f>IF(SUM(COUNTIFS('11_11_11_17'!E:E,'11_11_11_17 Acc Rate'!C8,'11_11_11_17'!P:P,"*E*"),COUNTIFS('11_11_11_17'!E:E,'11_11_11_17 Acc Rate'!C8,'11_11_11_17'!S:S,"*E*"))=0,"",SUM(COUNTIFS('11_11_11_17'!E:E,'11_11_11_17 Acc Rate'!C8,'11_11_11_17'!P:P,"*E*"),COUNTIFS('11_11_11_17'!E:E,'11_11_11_17 Acc Rate'!C8,'11_11_11_17'!S:S,"*E*")))</f>
        <v/>
      </c>
      <c r="U8" s="8" t="str">
        <f t="shared" si="1"/>
        <v/>
      </c>
      <c r="V8" s="2"/>
      <c r="W8" s="85" t="s">
        <v>505</v>
      </c>
      <c r="X8" s="85"/>
    </row>
    <row r="9" spans="2:24" s="1" customFormat="1" ht="15" customHeight="1" x14ac:dyDescent="0.25">
      <c r="B9" s="1" t="s">
        <v>512</v>
      </c>
      <c r="C9" s="1" t="s">
        <v>371</v>
      </c>
      <c r="D9" s="1" t="s">
        <v>372</v>
      </c>
      <c r="E9" t="s">
        <v>513</v>
      </c>
      <c r="F9" t="s">
        <v>34</v>
      </c>
      <c r="G9" t="s">
        <v>514</v>
      </c>
      <c r="H9" t="s">
        <v>460</v>
      </c>
      <c r="I9" t="s">
        <v>515</v>
      </c>
      <c r="J9" t="s">
        <v>470</v>
      </c>
      <c r="K9"/>
      <c r="L9" t="s">
        <v>516</v>
      </c>
      <c r="M9">
        <v>15</v>
      </c>
      <c r="N9" t="s">
        <v>517</v>
      </c>
      <c r="O9">
        <v>132</v>
      </c>
      <c r="P9">
        <v>40</v>
      </c>
      <c r="Q9" s="7"/>
      <c r="R9" s="27" t="str">
        <f t="shared" si="0"/>
        <v/>
      </c>
      <c r="S9" s="27" t="str">
        <f>IF(SUM(COUNTIFS('11_11_11_17'!E:E,'11_11_11_17 Acc Rate'!C9,'11_11_11_17'!O:O,"*M*"),COUNTIFS('11_11_11_17'!E:E,'11_11_11_17 Acc Rate'!C9,'11_11_11_17'!R:R,"*M*"))=0,"",SUM(COUNTIFS('11_11_11_17'!E:E,'11_11_11_17 Acc Rate'!C9,'11_11_11_17'!O:O,"*M*"),COUNTIFS('11_11_11_17'!E:E,'11_11_11_17 Acc Rate'!C9,'11_11_11_17'!R:R,"*M*")))</f>
        <v/>
      </c>
      <c r="T9" s="1" t="str">
        <f>IF(SUM(COUNTIFS('11_11_11_17'!E:E,'11_11_11_17 Acc Rate'!C9,'11_11_11_17'!P:P,"*E*"),COUNTIFS('11_11_11_17'!E:E,'11_11_11_17 Acc Rate'!C9,'11_11_11_17'!S:S,"*E*"))=0,"",SUM(COUNTIFS('11_11_11_17'!E:E,'11_11_11_17 Acc Rate'!C9,'11_11_11_17'!P:P,"*E*"),COUNTIFS('11_11_11_17'!E:E,'11_11_11_17 Acc Rate'!C9,'11_11_11_17'!S:S,"*E*")))</f>
        <v/>
      </c>
      <c r="U9" s="8" t="str">
        <f t="shared" si="1"/>
        <v/>
      </c>
      <c r="V9" s="2"/>
    </row>
    <row r="10" spans="2:24" s="1" customFormat="1" ht="15" customHeight="1" x14ac:dyDescent="0.25">
      <c r="B10" s="1" t="s">
        <v>518</v>
      </c>
      <c r="C10" s="1" t="s">
        <v>296</v>
      </c>
      <c r="D10" s="1" t="s">
        <v>297</v>
      </c>
      <c r="E10" t="s">
        <v>519</v>
      </c>
      <c r="F10" t="s">
        <v>520</v>
      </c>
      <c r="G10" t="s">
        <v>521</v>
      </c>
      <c r="H10" t="s">
        <v>460</v>
      </c>
      <c r="I10" t="s">
        <v>522</v>
      </c>
      <c r="J10" t="s">
        <v>523</v>
      </c>
      <c r="K10" t="s">
        <v>515</v>
      </c>
      <c r="L10"/>
      <c r="M10">
        <v>15</v>
      </c>
      <c r="N10" t="s">
        <v>524</v>
      </c>
      <c r="O10">
        <v>719</v>
      </c>
      <c r="P10">
        <v>40</v>
      </c>
      <c r="Q10" s="7"/>
      <c r="R10" s="27">
        <f t="shared" si="0"/>
        <v>-2</v>
      </c>
      <c r="S10" s="27">
        <f>IF(SUM(COUNTIFS('11_11_11_17'!E:E,'11_11_11_17 Acc Rate'!C10,'11_11_11_17'!O:O,"*M*"),COUNTIFS('11_11_11_17'!E:E,'11_11_11_17 Acc Rate'!C10,'11_11_11_17'!R:R,"*M*"))=0,"",SUM(COUNTIFS('11_11_11_17'!E:E,'11_11_11_17 Acc Rate'!C10,'11_11_11_17'!O:O,"*M*"),COUNTIFS('11_11_11_17'!E:E,'11_11_11_17 Acc Rate'!C10,'11_11_11_17'!R:R,"*M*")))</f>
        <v>2</v>
      </c>
      <c r="T10" s="1" t="str">
        <f>IF(SUM(COUNTIFS('11_11_11_17'!E:E,'11_11_11_17 Acc Rate'!C10,'11_11_11_17'!P:P,"*E*"),COUNTIFS('11_11_11_17'!E:E,'11_11_11_17 Acc Rate'!C10,'11_11_11_17'!S:S,"*E*"))=0,"",SUM(COUNTIFS('11_11_11_17'!E:E,'11_11_11_17 Acc Rate'!C10,'11_11_11_17'!P:P,"*E*"),COUNTIFS('11_11_11_17'!E:E,'11_11_11_17 Acc Rate'!C10,'11_11_11_17'!S:S,"*E*")))</f>
        <v/>
      </c>
      <c r="U10" s="8" t="str">
        <f t="shared" si="1"/>
        <v/>
      </c>
      <c r="V10" s="2"/>
    </row>
    <row r="11" spans="2:24" s="1" customFormat="1" ht="15" customHeight="1" x14ac:dyDescent="0.25">
      <c r="B11" s="1" t="s">
        <v>531</v>
      </c>
      <c r="C11" s="1" t="s">
        <v>325</v>
      </c>
      <c r="D11" s="1" t="s">
        <v>278</v>
      </c>
      <c r="E11" t="s">
        <v>532</v>
      </c>
      <c r="F11" t="s">
        <v>244</v>
      </c>
      <c r="G11" t="s">
        <v>533</v>
      </c>
      <c r="H11" t="s">
        <v>460</v>
      </c>
      <c r="I11" t="s">
        <v>534</v>
      </c>
      <c r="J11" t="s">
        <v>523</v>
      </c>
      <c r="K11" t="s">
        <v>515</v>
      </c>
      <c r="L11" t="s">
        <v>535</v>
      </c>
      <c r="M11">
        <v>15</v>
      </c>
      <c r="N11" t="s">
        <v>536</v>
      </c>
      <c r="O11">
        <v>142</v>
      </c>
      <c r="P11">
        <v>25</v>
      </c>
      <c r="Q11" s="7"/>
      <c r="R11" s="27" t="str">
        <f t="shared" si="0"/>
        <v/>
      </c>
      <c r="S11" s="27" t="str">
        <f>IF(SUM(COUNTIFS('11_11_11_17'!E:E,'11_11_11_17 Acc Rate'!C11,'11_11_11_17'!O:O,"*M*"),COUNTIFS('11_11_11_17'!E:E,'11_11_11_17 Acc Rate'!C11,'11_11_11_17'!R:R,"*M*"))=0,"",SUM(COUNTIFS('11_11_11_17'!E:E,'11_11_11_17 Acc Rate'!C11,'11_11_11_17'!O:O,"*M*"),COUNTIFS('11_11_11_17'!E:E,'11_11_11_17 Acc Rate'!C11,'11_11_11_17'!R:R,"*M*")))</f>
        <v/>
      </c>
      <c r="T11" s="1" t="str">
        <f>IF(SUM(COUNTIFS('11_11_11_17'!E:E,'11_11_11_17 Acc Rate'!C11,'11_11_11_17'!P:P,"*E*"),COUNTIFS('11_11_11_17'!E:E,'11_11_11_17 Acc Rate'!C11,'11_11_11_17'!S:S,"*E*"))=0,"",SUM(COUNTIFS('11_11_11_17'!E:E,'11_11_11_17 Acc Rate'!C11,'11_11_11_17'!P:P,"*E*"),COUNTIFS('11_11_11_17'!E:E,'11_11_11_17 Acc Rate'!C11,'11_11_11_17'!S:S,"*E*")))</f>
        <v/>
      </c>
      <c r="U11" s="8" t="str">
        <f t="shared" si="1"/>
        <v/>
      </c>
      <c r="V11" s="2"/>
    </row>
    <row r="12" spans="2:24" s="1" customFormat="1" ht="15" customHeight="1" x14ac:dyDescent="0.25">
      <c r="B12" s="1" t="s">
        <v>537</v>
      </c>
      <c r="C12" s="1" t="s">
        <v>64</v>
      </c>
      <c r="D12" s="1" t="s">
        <v>65</v>
      </c>
      <c r="E12" t="s">
        <v>538</v>
      </c>
      <c r="F12" t="s">
        <v>114</v>
      </c>
      <c r="G12" t="s">
        <v>539</v>
      </c>
      <c r="H12" t="s">
        <v>460</v>
      </c>
      <c r="I12" t="s">
        <v>540</v>
      </c>
      <c r="J12" t="s">
        <v>523</v>
      </c>
      <c r="K12" t="s">
        <v>515</v>
      </c>
      <c r="L12"/>
      <c r="M12">
        <v>15</v>
      </c>
      <c r="N12" t="s">
        <v>541</v>
      </c>
      <c r="O12">
        <v>716</v>
      </c>
      <c r="P12">
        <v>25</v>
      </c>
      <c r="Q12" s="7"/>
      <c r="R12" s="27" t="str">
        <f t="shared" si="0"/>
        <v/>
      </c>
      <c r="S12" s="27" t="str">
        <f>IF(SUM(COUNTIFS('11_11_11_17'!E:E,'11_11_11_17 Acc Rate'!C12,'11_11_11_17'!O:O,"*M*"),COUNTIFS('11_11_11_17'!E:E,'11_11_11_17 Acc Rate'!C12,'11_11_11_17'!R:R,"*M*"))=0,"",SUM(COUNTIFS('11_11_11_17'!E:E,'11_11_11_17 Acc Rate'!C12,'11_11_11_17'!O:O,"*M*"),COUNTIFS('11_11_11_17'!E:E,'11_11_11_17 Acc Rate'!C12,'11_11_11_17'!R:R,"*M*")))</f>
        <v/>
      </c>
      <c r="T12" s="1" t="str">
        <f>IF(SUM(COUNTIFS('11_11_11_17'!E:E,'11_11_11_17 Acc Rate'!C12,'11_11_11_17'!P:P,"*E*"),COUNTIFS('11_11_11_17'!E:E,'11_11_11_17 Acc Rate'!C12,'11_11_11_17'!S:S,"*E*"))=0,"",SUM(COUNTIFS('11_11_11_17'!E:E,'11_11_11_17 Acc Rate'!C12,'11_11_11_17'!P:P,"*E*"),COUNTIFS('11_11_11_17'!E:E,'11_11_11_17 Acc Rate'!C12,'11_11_11_17'!S:S,"*E*")))</f>
        <v/>
      </c>
      <c r="U12" s="8" t="str">
        <f t="shared" si="1"/>
        <v/>
      </c>
      <c r="V12" s="2"/>
    </row>
    <row r="13" spans="2:24" s="1" customFormat="1" ht="15" customHeight="1" x14ac:dyDescent="0.25">
      <c r="B13" s="1" t="s">
        <v>484</v>
      </c>
      <c r="C13" s="1" t="s">
        <v>22</v>
      </c>
      <c r="D13" s="1" t="s">
        <v>23</v>
      </c>
      <c r="E13" t="s">
        <v>485</v>
      </c>
      <c r="F13" t="s">
        <v>486</v>
      </c>
      <c r="G13" t="s">
        <v>487</v>
      </c>
      <c r="H13" t="s">
        <v>460</v>
      </c>
      <c r="I13" t="s">
        <v>488</v>
      </c>
      <c r="J13" t="s">
        <v>523</v>
      </c>
      <c r="K13" t="s">
        <v>515</v>
      </c>
      <c r="L13"/>
      <c r="M13">
        <v>15</v>
      </c>
      <c r="N13" t="s">
        <v>489</v>
      </c>
      <c r="O13">
        <v>2117</v>
      </c>
      <c r="P13">
        <v>40</v>
      </c>
      <c r="Q13" s="7"/>
      <c r="R13" s="27">
        <f t="shared" si="0"/>
        <v>-2</v>
      </c>
      <c r="S13" s="27">
        <f>IF(SUM(COUNTIFS('11_11_11_17'!E:E,'11_11_11_17 Acc Rate'!C13,'11_11_11_17'!O:O,"*M*"),COUNTIFS('11_11_11_17'!E:E,'11_11_11_17 Acc Rate'!C13,'11_11_11_17'!R:R,"*M*"))=0,"",SUM(COUNTIFS('11_11_11_17'!E:E,'11_11_11_17 Acc Rate'!C13,'11_11_11_17'!O:O,"*M*"),COUNTIFS('11_11_11_17'!E:E,'11_11_11_17 Acc Rate'!C13,'11_11_11_17'!R:R,"*M*")))</f>
        <v>1</v>
      </c>
      <c r="T13" s="1">
        <f>IF(SUM(COUNTIFS('11_11_11_17'!E:E,'11_11_11_17 Acc Rate'!C13,'11_11_11_17'!P:P,"*E*"),COUNTIFS('11_11_11_17'!E:E,'11_11_11_17 Acc Rate'!C13,'11_11_11_17'!S:S,"*E*"))=0,"",SUM(COUNTIFS('11_11_11_17'!E:E,'11_11_11_17 Acc Rate'!C13,'11_11_11_17'!P:P,"*E*"),COUNTIFS('11_11_11_17'!E:E,'11_11_11_17 Acc Rate'!C13,'11_11_11_17'!S:S,"*E*")))</f>
        <v>1</v>
      </c>
      <c r="U13" s="8" t="str">
        <f t="shared" si="1"/>
        <v/>
      </c>
      <c r="V13" s="2"/>
    </row>
    <row r="14" spans="2:24" s="1" customFormat="1" ht="15" customHeight="1" x14ac:dyDescent="0.25">
      <c r="B14" s="1" t="s">
        <v>500</v>
      </c>
      <c r="C14" s="1" t="s">
        <v>176</v>
      </c>
      <c r="D14" s="1" t="s">
        <v>177</v>
      </c>
      <c r="E14" t="s">
        <v>501</v>
      </c>
      <c r="F14" t="s">
        <v>168</v>
      </c>
      <c r="G14" t="s">
        <v>502</v>
      </c>
      <c r="H14" t="s">
        <v>460</v>
      </c>
      <c r="I14" t="s">
        <v>503</v>
      </c>
      <c r="J14" t="s">
        <v>523</v>
      </c>
      <c r="K14" t="s">
        <v>515</v>
      </c>
      <c r="L14"/>
      <c r="M14">
        <v>15</v>
      </c>
      <c r="N14" t="s">
        <v>504</v>
      </c>
      <c r="O14">
        <v>182</v>
      </c>
      <c r="P14">
        <v>40</v>
      </c>
      <c r="Q14" s="7"/>
      <c r="R14" s="27" t="str">
        <f t="shared" si="0"/>
        <v/>
      </c>
      <c r="S14" s="27" t="str">
        <f>IF(SUM(COUNTIFS('11_11_11_17'!E:E,'11_11_11_17 Acc Rate'!C14,'11_11_11_17'!O:O,"*M*"),COUNTIFS('11_11_11_17'!E:E,'11_11_11_17 Acc Rate'!C14,'11_11_11_17'!R:R,"*M*"))=0,"",SUM(COUNTIFS('11_11_11_17'!E:E,'11_11_11_17 Acc Rate'!C14,'11_11_11_17'!O:O,"*M*"),COUNTIFS('11_11_11_17'!E:E,'11_11_11_17 Acc Rate'!C14,'11_11_11_17'!R:R,"*M*")))</f>
        <v/>
      </c>
      <c r="T14" s="1" t="str">
        <f>IF(SUM(COUNTIFS('11_11_11_17'!E:E,'11_11_11_17 Acc Rate'!C14,'11_11_11_17'!P:P,"*E*"),COUNTIFS('11_11_11_17'!E:E,'11_11_11_17 Acc Rate'!C14,'11_11_11_17'!S:S,"*E*"))=0,"",SUM(COUNTIFS('11_11_11_17'!E:E,'11_11_11_17 Acc Rate'!C14,'11_11_11_17'!P:P,"*E*"),COUNTIFS('11_11_11_17'!E:E,'11_11_11_17 Acc Rate'!C14,'11_11_11_17'!S:S,"*E*")))</f>
        <v/>
      </c>
      <c r="U14" s="8" t="str">
        <f t="shared" si="1"/>
        <v/>
      </c>
      <c r="V14" s="2"/>
    </row>
    <row r="15" spans="2:24" ht="15" customHeight="1" x14ac:dyDescent="0.25">
      <c r="B15" s="1" t="s">
        <v>548</v>
      </c>
      <c r="C15" s="1" t="s">
        <v>396</v>
      </c>
      <c r="D15" s="1" t="s">
        <v>549</v>
      </c>
      <c r="E15"/>
      <c r="F15" t="s">
        <v>550</v>
      </c>
      <c r="G15" t="s">
        <v>551</v>
      </c>
      <c r="H15" t="s">
        <v>552</v>
      </c>
      <c r="I15" t="s">
        <v>553</v>
      </c>
      <c r="J15" t="s">
        <v>554</v>
      </c>
      <c r="K15"/>
      <c r="L15"/>
      <c r="M15">
        <v>6</v>
      </c>
      <c r="N15"/>
      <c r="O15"/>
      <c r="P15"/>
      <c r="Q15" s="7"/>
      <c r="R15" s="27" t="str">
        <f t="shared" si="0"/>
        <v/>
      </c>
      <c r="S15" s="27" t="str">
        <f>IF(SUM(COUNTIFS('11_11_11_17'!E:E,'11_11_11_17 Acc Rate'!C15,'11_11_11_17'!O:O,"*M*"),COUNTIFS('11_11_11_17'!E:E,'11_11_11_17 Acc Rate'!C15,'11_11_11_17'!R:R,"*M*"))=0,"",SUM(COUNTIFS('11_11_11_17'!E:E,'11_11_11_17 Acc Rate'!C15,'11_11_11_17'!O:O,"*M*"),COUNTIFS('11_11_11_17'!E:E,'11_11_11_17 Acc Rate'!C15,'11_11_11_17'!R:R,"*M*")))</f>
        <v/>
      </c>
      <c r="T15" s="1" t="str">
        <f>IF(SUM(COUNTIFS('11_11_11_17'!E:E,'11_11_11_17 Acc Rate'!C15,'11_11_11_17'!P:P,"*E*"),COUNTIFS('11_11_11_17'!E:E,'11_11_11_17 Acc Rate'!C15,'11_11_11_17'!S:S,"*E*"))=0,"",SUM(COUNTIFS('11_11_11_17'!E:E,'11_11_11_17 Acc Rate'!C15,'11_11_11_17'!P:P,"*E*"),COUNTIFS('11_11_11_17'!E:E,'11_11_11_17 Acc Rate'!C15,'11_11_11_17'!S:S,"*E*")))</f>
        <v/>
      </c>
      <c r="U15" s="8" t="str">
        <f t="shared" si="1"/>
        <v/>
      </c>
    </row>
    <row r="16" spans="2:24" ht="15" customHeight="1" x14ac:dyDescent="0.25">
      <c r="B16" s="1" t="s">
        <v>555</v>
      </c>
      <c r="C16" s="1" t="s">
        <v>556</v>
      </c>
      <c r="D16" s="1" t="s">
        <v>557</v>
      </c>
      <c r="E16"/>
      <c r="F16" t="s">
        <v>558</v>
      </c>
      <c r="G16" t="s">
        <v>559</v>
      </c>
      <c r="H16" t="s">
        <v>552</v>
      </c>
      <c r="I16" t="s">
        <v>560</v>
      </c>
      <c r="J16" t="s">
        <v>561</v>
      </c>
      <c r="K16" t="s">
        <v>553</v>
      </c>
      <c r="L16"/>
      <c r="M16">
        <v>6</v>
      </c>
      <c r="N16"/>
      <c r="O16"/>
      <c r="P16"/>
      <c r="Q16" s="7"/>
      <c r="R16" s="27">
        <f t="shared" si="0"/>
        <v>-1</v>
      </c>
      <c r="S16" s="27">
        <f>IF(SUM(COUNTIFS('11_11_11_17'!E:E,'11_11_11_17 Acc Rate'!C16,'11_11_11_17'!O:O,"*M*"),COUNTIFS('11_11_11_17'!E:E,'11_11_11_17 Acc Rate'!C16,'11_11_11_17'!R:R,"*M*"))=0,"",SUM(COUNTIFS('11_11_11_17'!E:E,'11_11_11_17 Acc Rate'!C16,'11_11_11_17'!O:O,"*M*"),COUNTIFS('11_11_11_17'!E:E,'11_11_11_17 Acc Rate'!C16,'11_11_11_17'!R:R,"*M*")))</f>
        <v>1</v>
      </c>
      <c r="T16" s="1" t="str">
        <f>IF(SUM(COUNTIFS('11_11_11_17'!E:E,'11_11_11_17 Acc Rate'!C16,'11_11_11_17'!P:P,"*E*"),COUNTIFS('11_11_11_17'!E:E,'11_11_11_17 Acc Rate'!C16,'11_11_11_17'!S:S,"*E*"))=0,"",SUM(COUNTIFS('11_11_11_17'!E:E,'11_11_11_17 Acc Rate'!C16,'11_11_11_17'!P:P,"*E*"),COUNTIFS('11_11_11_17'!E:E,'11_11_11_17 Acc Rate'!C16,'11_11_11_17'!S:S,"*E*")))</f>
        <v/>
      </c>
      <c r="U16" s="8" t="str">
        <f t="shared" si="1"/>
        <v/>
      </c>
    </row>
    <row r="17" spans="2:21" ht="15" customHeight="1" x14ac:dyDescent="0.25">
      <c r="B17" s="1" t="s">
        <v>562</v>
      </c>
      <c r="C17" s="1" t="s">
        <v>563</v>
      </c>
      <c r="D17" s="1" t="s">
        <v>564</v>
      </c>
      <c r="E17"/>
      <c r="F17" t="s">
        <v>565</v>
      </c>
      <c r="G17" t="s">
        <v>566</v>
      </c>
      <c r="H17" t="s">
        <v>552</v>
      </c>
      <c r="I17" t="s">
        <v>567</v>
      </c>
      <c r="J17" t="s">
        <v>561</v>
      </c>
      <c r="K17" t="s">
        <v>553</v>
      </c>
      <c r="L17"/>
      <c r="M17">
        <v>6</v>
      </c>
      <c r="N17"/>
      <c r="O17"/>
      <c r="P17"/>
      <c r="Q17" s="7"/>
      <c r="R17" s="27">
        <f t="shared" si="0"/>
        <v>-1</v>
      </c>
      <c r="S17" s="27" t="str">
        <f>IF(SUM(COUNTIFS('11_11_11_17'!E:E,'11_11_11_17 Acc Rate'!C17,'11_11_11_17'!O:O,"*M*"),COUNTIFS('11_11_11_17'!E:E,'11_11_11_17 Acc Rate'!C17,'11_11_11_17'!R:R,"*M*"))=0,"",SUM(COUNTIFS('11_11_11_17'!E:E,'11_11_11_17 Acc Rate'!C17,'11_11_11_17'!O:O,"*M*"),COUNTIFS('11_11_11_17'!E:E,'11_11_11_17 Acc Rate'!C17,'11_11_11_17'!R:R,"*M*")))</f>
        <v/>
      </c>
      <c r="T17" s="1">
        <f>IF(SUM(COUNTIFS('11_11_11_17'!E:E,'11_11_11_17 Acc Rate'!C17,'11_11_11_17'!P:P,"*E*"),COUNTIFS('11_11_11_17'!E:E,'11_11_11_17 Acc Rate'!C17,'11_11_11_17'!S:S,"*E*"))=0,"",SUM(COUNTIFS('11_11_11_17'!E:E,'11_11_11_17 Acc Rate'!C17,'11_11_11_17'!P:P,"*E*"),COUNTIFS('11_11_11_17'!E:E,'11_11_11_17 Acc Rate'!C17,'11_11_11_17'!S:S,"*E*")))</f>
        <v>1</v>
      </c>
      <c r="U17" s="8" t="str">
        <f t="shared" si="1"/>
        <v/>
      </c>
    </row>
    <row r="18" spans="2:21" ht="15" customHeight="1" x14ac:dyDescent="0.25">
      <c r="B18" s="1" t="s">
        <v>568</v>
      </c>
      <c r="C18" s="1" t="s">
        <v>569</v>
      </c>
      <c r="D18" s="1" t="s">
        <v>570</v>
      </c>
      <c r="E18"/>
      <c r="F18" t="s">
        <v>571</v>
      </c>
      <c r="G18" t="s">
        <v>572</v>
      </c>
      <c r="H18" t="s">
        <v>552</v>
      </c>
      <c r="I18" t="s">
        <v>573</v>
      </c>
      <c r="J18" t="s">
        <v>561</v>
      </c>
      <c r="K18" t="s">
        <v>553</v>
      </c>
      <c r="L18"/>
      <c r="M18">
        <v>6</v>
      </c>
      <c r="N18"/>
      <c r="O18"/>
      <c r="P18"/>
      <c r="Q18" s="7"/>
      <c r="R18" s="27" t="str">
        <f t="shared" si="0"/>
        <v/>
      </c>
      <c r="S18" s="27" t="str">
        <f>IF(SUM(COUNTIFS('11_11_11_17'!E:E,'11_11_11_17 Acc Rate'!C18,'11_11_11_17'!O:O,"*M*"),COUNTIFS('11_11_11_17'!E:E,'11_11_11_17 Acc Rate'!C18,'11_11_11_17'!R:R,"*M*"))=0,"",SUM(COUNTIFS('11_11_11_17'!E:E,'11_11_11_17 Acc Rate'!C18,'11_11_11_17'!O:O,"*M*"),COUNTIFS('11_11_11_17'!E:E,'11_11_11_17 Acc Rate'!C18,'11_11_11_17'!R:R,"*M*")))</f>
        <v/>
      </c>
      <c r="T18" s="1" t="str">
        <f>IF(SUM(COUNTIFS('11_11_11_17'!E:E,'11_11_11_17 Acc Rate'!C18,'11_11_11_17'!P:P,"*E*"),COUNTIFS('11_11_11_17'!E:E,'11_11_11_17 Acc Rate'!C18,'11_11_11_17'!S:S,"*E*"))=0,"",SUM(COUNTIFS('11_11_11_17'!E:E,'11_11_11_17 Acc Rate'!C18,'11_11_11_17'!P:P,"*E*"),COUNTIFS('11_11_11_17'!E:E,'11_11_11_17 Acc Rate'!C18,'11_11_11_17'!S:S,"*E*")))</f>
        <v/>
      </c>
      <c r="U18" s="8" t="str">
        <f t="shared" si="1"/>
        <v/>
      </c>
    </row>
    <row r="19" spans="2:21" ht="15" customHeight="1" x14ac:dyDescent="0.25">
      <c r="B19" s="1" t="s">
        <v>574</v>
      </c>
      <c r="C19" s="1" t="s">
        <v>575</v>
      </c>
      <c r="D19" s="1" t="s">
        <v>576</v>
      </c>
      <c r="E19"/>
      <c r="F19" t="s">
        <v>577</v>
      </c>
      <c r="G19" t="s">
        <v>578</v>
      </c>
      <c r="H19" t="s">
        <v>552</v>
      </c>
      <c r="I19" t="s">
        <v>579</v>
      </c>
      <c r="J19" t="s">
        <v>561</v>
      </c>
      <c r="K19" t="s">
        <v>553</v>
      </c>
      <c r="L19"/>
      <c r="M19">
        <v>6</v>
      </c>
      <c r="N19"/>
      <c r="O19"/>
      <c r="P19"/>
      <c r="Q19" s="7"/>
      <c r="R19" s="27" t="str">
        <f t="shared" si="0"/>
        <v/>
      </c>
      <c r="S19" s="27" t="str">
        <f>IF(SUM(COUNTIFS('11_11_11_17'!E:E,'11_11_11_17 Acc Rate'!C19,'11_11_11_17'!O:O,"*M*"),COUNTIFS('11_11_11_17'!E:E,'11_11_11_17 Acc Rate'!C19,'11_11_11_17'!R:R,"*M*"))=0,"",SUM(COUNTIFS('11_11_11_17'!E:E,'11_11_11_17 Acc Rate'!C19,'11_11_11_17'!O:O,"*M*"),COUNTIFS('11_11_11_17'!E:E,'11_11_11_17 Acc Rate'!C19,'11_11_11_17'!R:R,"*M*")))</f>
        <v/>
      </c>
      <c r="T19" s="1" t="str">
        <f>IF(SUM(COUNTIFS('11_11_11_17'!E:E,'11_11_11_17 Acc Rate'!C19,'11_11_11_17'!P:P,"*E*"),COUNTIFS('11_11_11_17'!E:E,'11_11_11_17 Acc Rate'!C19,'11_11_11_17'!S:S,"*E*"))=0,"",SUM(COUNTIFS('11_11_11_17'!E:E,'11_11_11_17 Acc Rate'!C19,'11_11_11_17'!P:P,"*E*"),COUNTIFS('11_11_11_17'!E:E,'11_11_11_17 Acc Rate'!C19,'11_11_11_17'!S:S,"*E*")))</f>
        <v/>
      </c>
      <c r="U19" s="8" t="str">
        <f t="shared" si="1"/>
        <v/>
      </c>
    </row>
    <row r="20" spans="2:21" ht="15" customHeight="1" x14ac:dyDescent="0.25">
      <c r="B20" s="1" t="s">
        <v>580</v>
      </c>
      <c r="C20" s="1" t="s">
        <v>316</v>
      </c>
      <c r="D20" s="1" t="s">
        <v>581</v>
      </c>
      <c r="E20"/>
      <c r="F20" t="s">
        <v>565</v>
      </c>
      <c r="G20" t="s">
        <v>582</v>
      </c>
      <c r="H20" t="s">
        <v>583</v>
      </c>
      <c r="I20" t="s">
        <v>584</v>
      </c>
      <c r="J20" t="s">
        <v>585</v>
      </c>
      <c r="K20"/>
      <c r="L20"/>
      <c r="M20">
        <v>1</v>
      </c>
      <c r="N20"/>
      <c r="O20"/>
      <c r="P20"/>
      <c r="Q20" s="7"/>
      <c r="R20" s="27" t="str">
        <f t="shared" si="0"/>
        <v/>
      </c>
      <c r="S20" s="27" t="str">
        <f>IF(SUM(COUNTIFS('11_11_11_17'!E:E,'11_11_11_17 Acc Rate'!C20,'11_11_11_17'!O:O,"*M*"),COUNTIFS('11_11_11_17'!E:E,'11_11_11_17 Acc Rate'!C20,'11_11_11_17'!R:R,"*M*"))=0,"",SUM(COUNTIFS('11_11_11_17'!E:E,'11_11_11_17 Acc Rate'!C20,'11_11_11_17'!O:O,"*M*"),COUNTIFS('11_11_11_17'!E:E,'11_11_11_17 Acc Rate'!C20,'11_11_11_17'!R:R,"*M*")))</f>
        <v/>
      </c>
      <c r="T20" s="1" t="str">
        <f>IF(SUM(COUNTIFS('11_11_11_17'!E:E,'11_11_11_17 Acc Rate'!C20,'11_11_11_17'!P:P,"*E*"),COUNTIFS('11_11_11_17'!E:E,'11_11_11_17 Acc Rate'!C20,'11_11_11_17'!S:S,"*E*"))=0,"",SUM(COUNTIFS('11_11_11_17'!E:E,'11_11_11_17 Acc Rate'!C20,'11_11_11_17'!P:P,"*E*"),COUNTIFS('11_11_11_17'!E:E,'11_11_11_17 Acc Rate'!C20,'11_11_11_17'!S:S,"*E*")))</f>
        <v/>
      </c>
      <c r="U20" s="8" t="str">
        <f t="shared" si="1"/>
        <v/>
      </c>
    </row>
    <row r="21" spans="2:21" ht="15" customHeight="1" x14ac:dyDescent="0.25">
      <c r="B21" s="1" t="s">
        <v>586</v>
      </c>
      <c r="C21" s="1" t="s">
        <v>587</v>
      </c>
      <c r="D21" s="1" t="s">
        <v>588</v>
      </c>
      <c r="E21"/>
      <c r="F21" t="s">
        <v>589</v>
      </c>
      <c r="G21" t="s">
        <v>590</v>
      </c>
      <c r="H21" t="s">
        <v>583</v>
      </c>
      <c r="I21" t="s">
        <v>591</v>
      </c>
      <c r="J21" t="s">
        <v>592</v>
      </c>
      <c r="K21"/>
      <c r="L21"/>
      <c r="M21">
        <v>1</v>
      </c>
      <c r="N21"/>
      <c r="O21"/>
      <c r="P21"/>
      <c r="Q21" s="7"/>
      <c r="R21" s="27" t="str">
        <f t="shared" si="0"/>
        <v/>
      </c>
      <c r="S21" s="27" t="str">
        <f>IF(SUM(COUNTIFS('11_11_11_17'!E:E,'11_11_11_17 Acc Rate'!C21,'11_11_11_17'!O:O,"*M*"),COUNTIFS('11_11_11_17'!E:E,'11_11_11_17 Acc Rate'!C21,'11_11_11_17'!R:R,"*M*"))=0,"",SUM(COUNTIFS('11_11_11_17'!E:E,'11_11_11_17 Acc Rate'!C21,'11_11_11_17'!O:O,"*M*"),COUNTIFS('11_11_11_17'!E:E,'11_11_11_17 Acc Rate'!C21,'11_11_11_17'!R:R,"*M*")))</f>
        <v/>
      </c>
      <c r="T21" s="1" t="str">
        <f>IF(SUM(COUNTIFS('11_11_11_17'!E:E,'11_11_11_17 Acc Rate'!C21,'11_11_11_17'!P:P,"*E*"),COUNTIFS('11_11_11_17'!E:E,'11_11_11_17 Acc Rate'!C21,'11_11_11_17'!S:S,"*E*"))=0,"",SUM(COUNTIFS('11_11_11_17'!E:E,'11_11_11_17 Acc Rate'!C21,'11_11_11_17'!P:P,"*E*"),COUNTIFS('11_11_11_17'!E:E,'11_11_11_17 Acc Rate'!C21,'11_11_11_17'!S:S,"*E*")))</f>
        <v/>
      </c>
      <c r="U21" s="8" t="str">
        <f t="shared" si="1"/>
        <v/>
      </c>
    </row>
    <row r="22" spans="2:21" ht="15" customHeight="1" x14ac:dyDescent="0.25">
      <c r="B22" s="1" t="s">
        <v>593</v>
      </c>
      <c r="C22" s="1" t="s">
        <v>169</v>
      </c>
      <c r="D22" s="1" t="s">
        <v>170</v>
      </c>
      <c r="E22"/>
      <c r="F22" t="s">
        <v>594</v>
      </c>
      <c r="G22" t="s">
        <v>595</v>
      </c>
      <c r="H22" t="s">
        <v>583</v>
      </c>
      <c r="I22" t="s">
        <v>596</v>
      </c>
      <c r="J22" t="s">
        <v>592</v>
      </c>
      <c r="K22"/>
      <c r="L22"/>
      <c r="M22">
        <v>1</v>
      </c>
      <c r="N22"/>
      <c r="O22"/>
      <c r="P22"/>
      <c r="Q22" s="7"/>
      <c r="R22" s="27" t="str">
        <f t="shared" si="0"/>
        <v/>
      </c>
      <c r="S22" s="27" t="str">
        <f>IF(SUM(COUNTIFS('11_11_11_17'!E:E,'11_11_11_17 Acc Rate'!C22,'11_11_11_17'!O:O,"*M*"),COUNTIFS('11_11_11_17'!E:E,'11_11_11_17 Acc Rate'!C22,'11_11_11_17'!R:R,"*M*"))=0,"",SUM(COUNTIFS('11_11_11_17'!E:E,'11_11_11_17 Acc Rate'!C22,'11_11_11_17'!O:O,"*M*"),COUNTIFS('11_11_11_17'!E:E,'11_11_11_17 Acc Rate'!C22,'11_11_11_17'!R:R,"*M*")))</f>
        <v/>
      </c>
      <c r="T22" s="1" t="str">
        <f>IF(SUM(COUNTIFS('11_11_11_17'!E:E,'11_11_11_17 Acc Rate'!C22,'11_11_11_17'!P:P,"*E*"),COUNTIFS('11_11_11_17'!E:E,'11_11_11_17 Acc Rate'!C22,'11_11_11_17'!S:S,"*E*"))=0,"",SUM(COUNTIFS('11_11_11_17'!E:E,'11_11_11_17 Acc Rate'!C22,'11_11_11_17'!P:P,"*E*"),COUNTIFS('11_11_11_17'!E:E,'11_11_11_17 Acc Rate'!C22,'11_11_11_17'!S:S,"*E*")))</f>
        <v/>
      </c>
      <c r="U22" s="8" t="str">
        <f t="shared" si="1"/>
        <v/>
      </c>
    </row>
    <row r="23" spans="2:21" s="1" customFormat="1" ht="15" customHeight="1" x14ac:dyDescent="0.25">
      <c r="B23" s="1" t="s">
        <v>602</v>
      </c>
      <c r="C23" s="1" t="s">
        <v>603</v>
      </c>
      <c r="D23" s="1" t="s">
        <v>1175</v>
      </c>
      <c r="E23"/>
      <c r="F23" t="s">
        <v>565</v>
      </c>
      <c r="G23" t="s">
        <v>1176</v>
      </c>
      <c r="H23" t="s">
        <v>583</v>
      </c>
      <c r="I23" t="s">
        <v>606</v>
      </c>
      <c r="J23" t="s">
        <v>607</v>
      </c>
      <c r="K23"/>
      <c r="L23"/>
      <c r="M23">
        <v>1</v>
      </c>
      <c r="N23"/>
      <c r="O23"/>
      <c r="P23"/>
      <c r="Q23" s="7"/>
      <c r="R23" s="27" t="str">
        <f t="shared" si="0"/>
        <v/>
      </c>
      <c r="S23" s="27" t="str">
        <f>IF(SUM(COUNTIFS('11_11_11_17'!E:E,'11_11_11_17 Acc Rate'!C23,'11_11_11_17'!O:O,"*M*"),COUNTIFS('11_11_11_17'!E:E,'11_11_11_17 Acc Rate'!C23,'11_11_11_17'!R:R,"*M*"))=0,"",SUM(COUNTIFS('11_11_11_17'!E:E,'11_11_11_17 Acc Rate'!C23,'11_11_11_17'!O:O,"*M*"),COUNTIFS('11_11_11_17'!E:E,'11_11_11_17 Acc Rate'!C23,'11_11_11_17'!R:R,"*M*")))</f>
        <v/>
      </c>
      <c r="T23" s="1" t="str">
        <f>IF(SUM(COUNTIFS('11_11_11_17'!E:E,'11_11_11_17 Acc Rate'!C23,'11_11_11_17'!P:P,"*E*"),COUNTIFS('11_11_11_17'!E:E,'11_11_11_17 Acc Rate'!C23,'11_11_11_17'!S:S,"*E*"))=0,"",SUM(COUNTIFS('11_11_11_17'!E:E,'11_11_11_17 Acc Rate'!C23,'11_11_11_17'!P:P,"*E*"),COUNTIFS('11_11_11_17'!E:E,'11_11_11_17 Acc Rate'!C23,'11_11_11_17'!S:S,"*E*")))</f>
        <v/>
      </c>
      <c r="U23" s="9" t="str">
        <f t="shared" si="1"/>
        <v/>
      </c>
    </row>
    <row r="24" spans="2:21" s="1" customFormat="1" ht="15" customHeight="1" x14ac:dyDescent="0.25">
      <c r="B24" s="1" t="s">
        <v>608</v>
      </c>
      <c r="C24" s="1" t="s">
        <v>609</v>
      </c>
      <c r="D24" s="1" t="s">
        <v>610</v>
      </c>
      <c r="E24"/>
      <c r="F24" t="s">
        <v>611</v>
      </c>
      <c r="G24" t="s">
        <v>612</v>
      </c>
      <c r="H24" t="s">
        <v>583</v>
      </c>
      <c r="I24" t="s">
        <v>613</v>
      </c>
      <c r="J24" t="s">
        <v>614</v>
      </c>
      <c r="K24" t="s">
        <v>606</v>
      </c>
      <c r="L24"/>
      <c r="M24">
        <v>1</v>
      </c>
      <c r="N24"/>
      <c r="O24"/>
      <c r="P24"/>
      <c r="Q24" s="7"/>
      <c r="R24" s="27" t="str">
        <f t="shared" si="0"/>
        <v/>
      </c>
      <c r="S24" s="27" t="str">
        <f>IF(SUM(COUNTIFS('11_11_11_17'!E:E,'11_11_11_17 Acc Rate'!C24,'11_11_11_17'!O:O,"*M*"),COUNTIFS('11_11_11_17'!E:E,'11_11_11_17 Acc Rate'!C24,'11_11_11_17'!R:R,"*M*"))=0,"",SUM(COUNTIFS('11_11_11_17'!E:E,'11_11_11_17 Acc Rate'!C24,'11_11_11_17'!O:O,"*M*"),COUNTIFS('11_11_11_17'!E:E,'11_11_11_17 Acc Rate'!C24,'11_11_11_17'!R:R,"*M*")))</f>
        <v/>
      </c>
      <c r="T24" s="1" t="str">
        <f>IF(SUM(COUNTIFS('11_11_11_17'!E:E,'11_11_11_17 Acc Rate'!C24,'11_11_11_17'!P:P,"*E*"),COUNTIFS('11_11_11_17'!E:E,'11_11_11_17 Acc Rate'!C24,'11_11_11_17'!S:S,"*E*"))=0,"",SUM(COUNTIFS('11_11_11_17'!E:E,'11_11_11_17 Acc Rate'!C24,'11_11_11_17'!P:P,"*E*"),COUNTIFS('11_11_11_17'!E:E,'11_11_11_17 Acc Rate'!C24,'11_11_11_17'!S:S,"*E*")))</f>
        <v/>
      </c>
      <c r="U24" s="9" t="str">
        <f t="shared" si="1"/>
        <v/>
      </c>
    </row>
    <row r="25" spans="2:21" s="1" customFormat="1" ht="15" customHeight="1" x14ac:dyDescent="0.25">
      <c r="B25" s="1" t="s">
        <v>615</v>
      </c>
      <c r="C25" s="1" t="s">
        <v>616</v>
      </c>
      <c r="D25" s="1" t="s">
        <v>617</v>
      </c>
      <c r="E25"/>
      <c r="F25" t="s">
        <v>618</v>
      </c>
      <c r="G25" t="s">
        <v>619</v>
      </c>
      <c r="H25" t="s">
        <v>583</v>
      </c>
      <c r="I25" t="s">
        <v>620</v>
      </c>
      <c r="J25" t="s">
        <v>614</v>
      </c>
      <c r="K25" t="s">
        <v>606</v>
      </c>
      <c r="L25"/>
      <c r="M25">
        <v>1</v>
      </c>
      <c r="N25"/>
      <c r="O25"/>
      <c r="P25"/>
      <c r="Q25" s="7"/>
      <c r="R25" s="27" t="str">
        <f t="shared" si="0"/>
        <v/>
      </c>
      <c r="S25" s="27" t="str">
        <f>IF(SUM(COUNTIFS('11_11_11_17'!E:E,'11_11_11_17 Acc Rate'!C25,'11_11_11_17'!O:O,"*M*"),COUNTIFS('11_11_11_17'!E:E,'11_11_11_17 Acc Rate'!C25,'11_11_11_17'!R:R,"*M*"))=0,"",SUM(COUNTIFS('11_11_11_17'!E:E,'11_11_11_17 Acc Rate'!C25,'11_11_11_17'!O:O,"*M*"),COUNTIFS('11_11_11_17'!E:E,'11_11_11_17 Acc Rate'!C25,'11_11_11_17'!R:R,"*M*")))</f>
        <v/>
      </c>
      <c r="T25" s="1" t="str">
        <f>IF(SUM(COUNTIFS('11_11_11_17'!E:E,'11_11_11_17 Acc Rate'!C25,'11_11_11_17'!P:P,"*E*"),COUNTIFS('11_11_11_17'!E:E,'11_11_11_17 Acc Rate'!C25,'11_11_11_17'!S:S,"*E*"))=0,"",SUM(COUNTIFS('11_11_11_17'!E:E,'11_11_11_17 Acc Rate'!C25,'11_11_11_17'!P:P,"*E*"),COUNTIFS('11_11_11_17'!E:E,'11_11_11_17 Acc Rate'!C25,'11_11_11_17'!S:S,"*E*")))</f>
        <v/>
      </c>
      <c r="U25" s="9" t="str">
        <f t="shared" si="1"/>
        <v/>
      </c>
    </row>
    <row r="26" spans="2:21" s="1" customFormat="1" ht="15" customHeight="1" x14ac:dyDescent="0.25">
      <c r="B26" s="1" t="s">
        <v>621</v>
      </c>
      <c r="C26" s="1" t="s">
        <v>622</v>
      </c>
      <c r="D26" s="1" t="s">
        <v>267</v>
      </c>
      <c r="E26"/>
      <c r="F26" t="s">
        <v>623</v>
      </c>
      <c r="G26" t="s">
        <v>624</v>
      </c>
      <c r="H26" t="s">
        <v>583</v>
      </c>
      <c r="I26" t="s">
        <v>625</v>
      </c>
      <c r="J26" t="s">
        <v>614</v>
      </c>
      <c r="K26" t="s">
        <v>606</v>
      </c>
      <c r="L26"/>
      <c r="M26">
        <v>1</v>
      </c>
      <c r="N26"/>
      <c r="O26"/>
      <c r="P26"/>
      <c r="Q26" s="7"/>
      <c r="R26" s="27" t="str">
        <f t="shared" si="0"/>
        <v/>
      </c>
      <c r="S26" s="27" t="str">
        <f>IF(SUM(COUNTIFS('11_11_11_17'!E:E,'11_11_11_17 Acc Rate'!C26,'11_11_11_17'!O:O,"*M*"),COUNTIFS('11_11_11_17'!E:E,'11_11_11_17 Acc Rate'!C26,'11_11_11_17'!R:R,"*M*"))=0,"",SUM(COUNTIFS('11_11_11_17'!E:E,'11_11_11_17 Acc Rate'!C26,'11_11_11_17'!O:O,"*M*"),COUNTIFS('11_11_11_17'!E:E,'11_11_11_17 Acc Rate'!C26,'11_11_11_17'!R:R,"*M*")))</f>
        <v/>
      </c>
      <c r="T26" s="1" t="str">
        <f>IF(SUM(COUNTIFS('11_11_11_17'!E:E,'11_11_11_17 Acc Rate'!C26,'11_11_11_17'!P:P,"*E*"),COUNTIFS('11_11_11_17'!E:E,'11_11_11_17 Acc Rate'!C26,'11_11_11_17'!S:S,"*E*"))=0,"",SUM(COUNTIFS('11_11_11_17'!E:E,'11_11_11_17 Acc Rate'!C26,'11_11_11_17'!P:P,"*E*"),COUNTIFS('11_11_11_17'!E:E,'11_11_11_17 Acc Rate'!C26,'11_11_11_17'!S:S,"*E*")))</f>
        <v/>
      </c>
      <c r="U26" s="9" t="str">
        <f t="shared" si="1"/>
        <v/>
      </c>
    </row>
    <row r="27" spans="2:21" s="1" customFormat="1" ht="15" customHeight="1" x14ac:dyDescent="0.25">
      <c r="B27" s="1" t="s">
        <v>626</v>
      </c>
      <c r="C27" s="1" t="s">
        <v>362</v>
      </c>
      <c r="D27" s="1" t="s">
        <v>409</v>
      </c>
      <c r="E27"/>
      <c r="F27" t="s">
        <v>627</v>
      </c>
      <c r="G27" t="s">
        <v>628</v>
      </c>
      <c r="H27" t="s">
        <v>583</v>
      </c>
      <c r="I27" t="s">
        <v>629</v>
      </c>
      <c r="J27" t="s">
        <v>614</v>
      </c>
      <c r="K27" t="s">
        <v>606</v>
      </c>
      <c r="L27"/>
      <c r="M27">
        <v>1</v>
      </c>
      <c r="N27"/>
      <c r="O27"/>
      <c r="P27"/>
      <c r="Q27" s="7"/>
      <c r="R27" s="27" t="str">
        <f t="shared" si="0"/>
        <v/>
      </c>
      <c r="S27" s="27" t="str">
        <f>IF(SUM(COUNTIFS('11_11_11_17'!E:E,'11_11_11_17 Acc Rate'!C27,'11_11_11_17'!O:O,"*M*"),COUNTIFS('11_11_11_17'!E:E,'11_11_11_17 Acc Rate'!C27,'11_11_11_17'!R:R,"*M*"))=0,"",SUM(COUNTIFS('11_11_11_17'!E:E,'11_11_11_17 Acc Rate'!C27,'11_11_11_17'!O:O,"*M*"),COUNTIFS('11_11_11_17'!E:E,'11_11_11_17 Acc Rate'!C27,'11_11_11_17'!R:R,"*M*")))</f>
        <v/>
      </c>
      <c r="T27" s="1" t="str">
        <f>IF(SUM(COUNTIFS('11_11_11_17'!E:E,'11_11_11_17 Acc Rate'!C27,'11_11_11_17'!P:P,"*E*"),COUNTIFS('11_11_11_17'!E:E,'11_11_11_17 Acc Rate'!C27,'11_11_11_17'!S:S,"*E*"))=0,"",SUM(COUNTIFS('11_11_11_17'!E:E,'11_11_11_17 Acc Rate'!C27,'11_11_11_17'!P:P,"*E*"),COUNTIFS('11_11_11_17'!E:E,'11_11_11_17 Acc Rate'!C27,'11_11_11_17'!S:S,"*E*")))</f>
        <v/>
      </c>
      <c r="U27" s="9" t="str">
        <f t="shared" si="1"/>
        <v/>
      </c>
    </row>
    <row r="28" spans="2:21" s="1" customFormat="1" ht="15" customHeight="1" x14ac:dyDescent="0.25">
      <c r="B28" s="1" t="s">
        <v>630</v>
      </c>
      <c r="C28" s="1" t="s">
        <v>425</v>
      </c>
      <c r="D28" s="1" t="s">
        <v>426</v>
      </c>
      <c r="E28"/>
      <c r="F28" t="s">
        <v>631</v>
      </c>
      <c r="G28" t="s">
        <v>632</v>
      </c>
      <c r="H28" t="s">
        <v>583</v>
      </c>
      <c r="I28" t="s">
        <v>633</v>
      </c>
      <c r="J28" t="s">
        <v>614</v>
      </c>
      <c r="K28" t="s">
        <v>606</v>
      </c>
      <c r="L28"/>
      <c r="M28">
        <v>15</v>
      </c>
      <c r="N28"/>
      <c r="O28"/>
      <c r="P28"/>
      <c r="Q28" s="7"/>
      <c r="R28" s="27" t="str">
        <f t="shared" si="0"/>
        <v/>
      </c>
      <c r="S28" s="27" t="str">
        <f>IF(SUM(COUNTIFS('11_11_11_17'!E:E,'11_11_11_17 Acc Rate'!C28,'11_11_11_17'!O:O,"*M*"),COUNTIFS('11_11_11_17'!E:E,'11_11_11_17 Acc Rate'!C28,'11_11_11_17'!R:R,"*M*"))=0,"",SUM(COUNTIFS('11_11_11_17'!E:E,'11_11_11_17 Acc Rate'!C28,'11_11_11_17'!O:O,"*M*"),COUNTIFS('11_11_11_17'!E:E,'11_11_11_17 Acc Rate'!C28,'11_11_11_17'!R:R,"*M*")))</f>
        <v/>
      </c>
      <c r="T28" s="1" t="str">
        <f>IF(SUM(COUNTIFS('11_11_11_17'!E:E,'11_11_11_17 Acc Rate'!C28,'11_11_11_17'!P:P,"*E*"),COUNTIFS('11_11_11_17'!E:E,'11_11_11_17 Acc Rate'!C28,'11_11_11_17'!S:S,"*E*"))=0,"",SUM(COUNTIFS('11_11_11_17'!E:E,'11_11_11_17 Acc Rate'!C28,'11_11_11_17'!P:P,"*E*"),COUNTIFS('11_11_11_17'!E:E,'11_11_11_17 Acc Rate'!C28,'11_11_11_17'!S:S,"*E*")))</f>
        <v/>
      </c>
      <c r="U28" s="8" t="str">
        <f t="shared" si="1"/>
        <v/>
      </c>
    </row>
    <row r="29" spans="2:21" s="1" customFormat="1" ht="15" customHeight="1" x14ac:dyDescent="0.25">
      <c r="B29" s="1" t="s">
        <v>634</v>
      </c>
      <c r="C29" s="1" t="s">
        <v>635</v>
      </c>
      <c r="D29" s="1" t="s">
        <v>636</v>
      </c>
      <c r="E29"/>
      <c r="F29" t="s">
        <v>21</v>
      </c>
      <c r="G29" t="s">
        <v>637</v>
      </c>
      <c r="H29" t="s">
        <v>583</v>
      </c>
      <c r="I29" t="s">
        <v>638</v>
      </c>
      <c r="J29" t="s">
        <v>607</v>
      </c>
      <c r="K29"/>
      <c r="L29"/>
      <c r="M29">
        <v>1</v>
      </c>
      <c r="N29"/>
      <c r="O29"/>
      <c r="P29"/>
      <c r="Q29" s="7"/>
      <c r="R29" s="27" t="str">
        <f t="shared" si="0"/>
        <v/>
      </c>
      <c r="S29" s="27" t="str">
        <f>IF(SUM(COUNTIFS('11_11_11_17'!E:E,'11_11_11_17 Acc Rate'!C29,'11_11_11_17'!O:O,"*M*"),COUNTIFS('11_11_11_17'!E:E,'11_11_11_17 Acc Rate'!C29,'11_11_11_17'!R:R,"*M*"))=0,"",SUM(COUNTIFS('11_11_11_17'!E:E,'11_11_11_17 Acc Rate'!C29,'11_11_11_17'!O:O,"*M*"),COUNTIFS('11_11_11_17'!E:E,'11_11_11_17 Acc Rate'!C29,'11_11_11_17'!R:R,"*M*")))</f>
        <v/>
      </c>
      <c r="T29" s="1" t="str">
        <f>IF(SUM(COUNTIFS('11_11_11_17'!E:E,'11_11_11_17 Acc Rate'!C29,'11_11_11_17'!P:P,"*E*"),COUNTIFS('11_11_11_17'!E:E,'11_11_11_17 Acc Rate'!C29,'11_11_11_17'!S:S,"*E*"))=0,"",SUM(COUNTIFS('11_11_11_17'!E:E,'11_11_11_17 Acc Rate'!C29,'11_11_11_17'!P:P,"*E*"),COUNTIFS('11_11_11_17'!E:E,'11_11_11_17 Acc Rate'!C29,'11_11_11_17'!S:S,"*E*")))</f>
        <v/>
      </c>
      <c r="U29" s="9" t="str">
        <f t="shared" si="1"/>
        <v/>
      </c>
    </row>
    <row r="30" spans="2:21" s="1" customFormat="1" ht="15" customHeight="1" x14ac:dyDescent="0.25">
      <c r="B30" s="1" t="s">
        <v>1630</v>
      </c>
      <c r="C30" s="1" t="s">
        <v>1631</v>
      </c>
      <c r="D30" s="1" t="s">
        <v>1122</v>
      </c>
      <c r="E30"/>
      <c r="F30" t="s">
        <v>21</v>
      </c>
      <c r="G30" t="s">
        <v>1632</v>
      </c>
      <c r="H30" t="s">
        <v>583</v>
      </c>
      <c r="I30" t="s">
        <v>1633</v>
      </c>
      <c r="J30" t="s">
        <v>1634</v>
      </c>
      <c r="K30" t="s">
        <v>638</v>
      </c>
      <c r="L30"/>
      <c r="M30">
        <v>15</v>
      </c>
      <c r="N30"/>
      <c r="O30"/>
      <c r="P30"/>
      <c r="Q30" s="7"/>
      <c r="R30" s="27" t="str">
        <f t="shared" si="0"/>
        <v/>
      </c>
      <c r="S30" s="27" t="str">
        <f>IF(SUM(COUNTIFS('11_11_11_17'!E:E,'11_11_11_17 Acc Rate'!C30,'11_11_11_17'!O:O,"*M*"),COUNTIFS('11_11_11_17'!E:E,'11_11_11_17 Acc Rate'!C30,'11_11_11_17'!R:R,"*M*"))=0,"",SUM(COUNTIFS('11_11_11_17'!E:E,'11_11_11_17 Acc Rate'!C30,'11_11_11_17'!O:O,"*M*"),COUNTIFS('11_11_11_17'!E:E,'11_11_11_17 Acc Rate'!C30,'11_11_11_17'!R:R,"*M*")))</f>
        <v/>
      </c>
      <c r="T30" s="1" t="str">
        <f>IF(SUM(COUNTIFS('11_11_11_17'!E:E,'11_11_11_17 Acc Rate'!C30,'11_11_11_17'!P:P,"*E*"),COUNTIFS('11_11_11_17'!E:E,'11_11_11_17 Acc Rate'!C30,'11_11_11_17'!S:S,"*E*"))=0,"",SUM(COUNTIFS('11_11_11_17'!E:E,'11_11_11_17 Acc Rate'!C30,'11_11_11_17'!P:P,"*E*"),COUNTIFS('11_11_11_17'!E:E,'11_11_11_17 Acc Rate'!C30,'11_11_11_17'!S:S,"*E*")))</f>
        <v/>
      </c>
      <c r="U30" s="9" t="str">
        <f t="shared" si="1"/>
        <v/>
      </c>
    </row>
    <row r="31" spans="2:21" s="1" customFormat="1" ht="15" customHeight="1" x14ac:dyDescent="0.25">
      <c r="B31" s="1" t="s">
        <v>639</v>
      </c>
      <c r="C31" s="1" t="s">
        <v>635</v>
      </c>
      <c r="D31" s="1" t="s">
        <v>640</v>
      </c>
      <c r="E31"/>
      <c r="F31" t="s">
        <v>641</v>
      </c>
      <c r="G31" t="s">
        <v>642</v>
      </c>
      <c r="H31" t="s">
        <v>583</v>
      </c>
      <c r="I31" t="s">
        <v>643</v>
      </c>
      <c r="J31" t="s">
        <v>607</v>
      </c>
      <c r="K31"/>
      <c r="L31"/>
      <c r="M31">
        <v>1</v>
      </c>
      <c r="N31"/>
      <c r="O31"/>
      <c r="P31"/>
      <c r="Q31" s="7"/>
      <c r="R31" s="27" t="str">
        <f t="shared" si="0"/>
        <v/>
      </c>
      <c r="S31" s="27" t="str">
        <f>IF(SUM(COUNTIFS('11_11_11_17'!E:E,'11_11_11_17 Acc Rate'!C31,'11_11_11_17'!O:O,"*M*"),COUNTIFS('11_11_11_17'!E:E,'11_11_11_17 Acc Rate'!C31,'11_11_11_17'!R:R,"*M*"))=0,"",SUM(COUNTIFS('11_11_11_17'!E:E,'11_11_11_17 Acc Rate'!C31,'11_11_11_17'!O:O,"*M*"),COUNTIFS('11_11_11_17'!E:E,'11_11_11_17 Acc Rate'!C31,'11_11_11_17'!R:R,"*M*")))</f>
        <v/>
      </c>
      <c r="T31" s="1" t="str">
        <f>IF(SUM(COUNTIFS('11_11_11_17'!E:E,'11_11_11_17 Acc Rate'!C31,'11_11_11_17'!P:P,"*E*"),COUNTIFS('11_11_11_17'!E:E,'11_11_11_17 Acc Rate'!C31,'11_11_11_17'!S:S,"*E*"))=0,"",SUM(COUNTIFS('11_11_11_17'!E:E,'11_11_11_17 Acc Rate'!C31,'11_11_11_17'!P:P,"*E*"),COUNTIFS('11_11_11_17'!E:E,'11_11_11_17 Acc Rate'!C31,'11_11_11_17'!S:S,"*E*")))</f>
        <v/>
      </c>
      <c r="U31" s="9" t="str">
        <f t="shared" si="1"/>
        <v/>
      </c>
    </row>
    <row r="32" spans="2:21" ht="15" customHeight="1" x14ac:dyDescent="0.25">
      <c r="B32" s="1" t="s">
        <v>644</v>
      </c>
      <c r="C32" s="1" t="s">
        <v>162</v>
      </c>
      <c r="D32" s="1" t="s">
        <v>163</v>
      </c>
      <c r="E32"/>
      <c r="F32" t="s">
        <v>645</v>
      </c>
      <c r="G32" t="s">
        <v>646</v>
      </c>
      <c r="H32" t="s">
        <v>583</v>
      </c>
      <c r="I32" t="s">
        <v>647</v>
      </c>
      <c r="J32" t="s">
        <v>648</v>
      </c>
      <c r="K32" t="s">
        <v>643</v>
      </c>
      <c r="L32"/>
      <c r="M32">
        <v>1</v>
      </c>
      <c r="N32"/>
      <c r="O32"/>
      <c r="P32"/>
      <c r="Q32" s="7"/>
      <c r="R32" s="27" t="str">
        <f t="shared" si="0"/>
        <v/>
      </c>
      <c r="S32" s="27" t="str">
        <f>IF(SUM(COUNTIFS('11_11_11_17'!E:E,'11_11_11_17 Acc Rate'!C32,'11_11_11_17'!O:O,"*M*"),COUNTIFS('11_11_11_17'!E:E,'11_11_11_17 Acc Rate'!C32,'11_11_11_17'!R:R,"*M*"))=0,"",SUM(COUNTIFS('11_11_11_17'!E:E,'11_11_11_17 Acc Rate'!C32,'11_11_11_17'!O:O,"*M*"),COUNTIFS('11_11_11_17'!E:E,'11_11_11_17 Acc Rate'!C32,'11_11_11_17'!R:R,"*M*")))</f>
        <v/>
      </c>
      <c r="T32" s="1" t="str">
        <f>IF(SUM(COUNTIFS('11_11_11_17'!E:E,'11_11_11_17 Acc Rate'!C32,'11_11_11_17'!P:P,"*E*"),COUNTIFS('11_11_11_17'!E:E,'11_11_11_17 Acc Rate'!C32,'11_11_11_17'!S:S,"*E*"))=0,"",SUM(COUNTIFS('11_11_11_17'!E:E,'11_11_11_17 Acc Rate'!C32,'11_11_11_17'!P:P,"*E*"),COUNTIFS('11_11_11_17'!E:E,'11_11_11_17 Acc Rate'!C32,'11_11_11_17'!S:S,"*E*")))</f>
        <v/>
      </c>
      <c r="U32" s="8" t="str">
        <f t="shared" si="1"/>
        <v/>
      </c>
    </row>
    <row r="33" spans="2:21" ht="15" customHeight="1" x14ac:dyDescent="0.25">
      <c r="B33" s="1" t="s">
        <v>649</v>
      </c>
      <c r="C33" s="1" t="s">
        <v>264</v>
      </c>
      <c r="D33" s="1" t="s">
        <v>650</v>
      </c>
      <c r="E33"/>
      <c r="F33" t="s">
        <v>651</v>
      </c>
      <c r="G33" t="s">
        <v>652</v>
      </c>
      <c r="H33" t="s">
        <v>583</v>
      </c>
      <c r="I33" t="s">
        <v>653</v>
      </c>
      <c r="J33" t="s">
        <v>648</v>
      </c>
      <c r="K33" t="s">
        <v>643</v>
      </c>
      <c r="L33"/>
      <c r="M33">
        <v>1</v>
      </c>
      <c r="N33"/>
      <c r="O33"/>
      <c r="P33"/>
      <c r="Q33" s="7"/>
      <c r="R33" s="27" t="str">
        <f t="shared" si="0"/>
        <v/>
      </c>
      <c r="S33" s="27" t="str">
        <f>IF(SUM(COUNTIFS('11_11_11_17'!E:E,'11_11_11_17 Acc Rate'!C33,'11_11_11_17'!O:O,"*M*"),COUNTIFS('11_11_11_17'!E:E,'11_11_11_17 Acc Rate'!C33,'11_11_11_17'!R:R,"*M*"))=0,"",SUM(COUNTIFS('11_11_11_17'!E:E,'11_11_11_17 Acc Rate'!C33,'11_11_11_17'!O:O,"*M*"),COUNTIFS('11_11_11_17'!E:E,'11_11_11_17 Acc Rate'!C33,'11_11_11_17'!R:R,"*M*")))</f>
        <v/>
      </c>
      <c r="T33" s="1" t="str">
        <f>IF(SUM(COUNTIFS('11_11_11_17'!E:E,'11_11_11_17 Acc Rate'!C33,'11_11_11_17'!P:P,"*E*"),COUNTIFS('11_11_11_17'!E:E,'11_11_11_17 Acc Rate'!C33,'11_11_11_17'!S:S,"*E*"))=0,"",SUM(COUNTIFS('11_11_11_17'!E:E,'11_11_11_17 Acc Rate'!C33,'11_11_11_17'!P:P,"*E*"),COUNTIFS('11_11_11_17'!E:E,'11_11_11_17 Acc Rate'!C33,'11_11_11_17'!S:S,"*E*")))</f>
        <v/>
      </c>
      <c r="U33" s="8" t="str">
        <f t="shared" si="1"/>
        <v/>
      </c>
    </row>
    <row r="34" spans="2:21" ht="15" customHeight="1" x14ac:dyDescent="0.25">
      <c r="B34" s="1" t="s">
        <v>654</v>
      </c>
      <c r="C34" s="1" t="s">
        <v>417</v>
      </c>
      <c r="D34" s="1" t="s">
        <v>418</v>
      </c>
      <c r="E34"/>
      <c r="F34" t="s">
        <v>655</v>
      </c>
      <c r="G34" t="s">
        <v>656</v>
      </c>
      <c r="H34" t="s">
        <v>583</v>
      </c>
      <c r="I34" t="s">
        <v>657</v>
      </c>
      <c r="J34" t="s">
        <v>648</v>
      </c>
      <c r="K34" t="s">
        <v>643</v>
      </c>
      <c r="L34"/>
      <c r="M34">
        <v>1</v>
      </c>
      <c r="N34"/>
      <c r="O34"/>
      <c r="P34"/>
      <c r="Q34" s="7"/>
      <c r="R34" s="27" t="str">
        <f t="shared" si="0"/>
        <v/>
      </c>
      <c r="S34" s="27" t="str">
        <f>IF(SUM(COUNTIFS('11_11_11_17'!E:E,'11_11_11_17 Acc Rate'!C34,'11_11_11_17'!O:O,"*M*"),COUNTIFS('11_11_11_17'!E:E,'11_11_11_17 Acc Rate'!C34,'11_11_11_17'!R:R,"*M*"))=0,"",SUM(COUNTIFS('11_11_11_17'!E:E,'11_11_11_17 Acc Rate'!C34,'11_11_11_17'!O:O,"*M*"),COUNTIFS('11_11_11_17'!E:E,'11_11_11_17 Acc Rate'!C34,'11_11_11_17'!R:R,"*M*")))</f>
        <v/>
      </c>
      <c r="T34" s="1" t="str">
        <f>IF(SUM(COUNTIFS('11_11_11_17'!E:E,'11_11_11_17 Acc Rate'!C34,'11_11_11_17'!P:P,"*E*"),COUNTIFS('11_11_11_17'!E:E,'11_11_11_17 Acc Rate'!C34,'11_11_11_17'!S:S,"*E*"))=0,"",SUM(COUNTIFS('11_11_11_17'!E:E,'11_11_11_17 Acc Rate'!C34,'11_11_11_17'!P:P,"*E*"),COUNTIFS('11_11_11_17'!E:E,'11_11_11_17 Acc Rate'!C34,'11_11_11_17'!S:S,"*E*")))</f>
        <v/>
      </c>
      <c r="U34" s="8" t="str">
        <f t="shared" si="1"/>
        <v/>
      </c>
    </row>
    <row r="35" spans="2:21" ht="15" customHeight="1" x14ac:dyDescent="0.25">
      <c r="B35" s="1" t="s">
        <v>1641</v>
      </c>
      <c r="C35" s="1" t="s">
        <v>345</v>
      </c>
      <c r="D35" s="1" t="s">
        <v>1642</v>
      </c>
      <c r="E35"/>
      <c r="F35" t="s">
        <v>1643</v>
      </c>
      <c r="G35" t="s">
        <v>1644</v>
      </c>
      <c r="H35" t="s">
        <v>583</v>
      </c>
      <c r="I35" t="s">
        <v>1645</v>
      </c>
      <c r="J35" t="s">
        <v>648</v>
      </c>
      <c r="K35" t="s">
        <v>643</v>
      </c>
      <c r="L35"/>
      <c r="M35">
        <v>15</v>
      </c>
      <c r="N35"/>
      <c r="O35"/>
      <c r="P35"/>
      <c r="Q35" s="7"/>
      <c r="R35" s="27" t="str">
        <f t="shared" si="0"/>
        <v/>
      </c>
      <c r="S35" s="27" t="str">
        <f>IF(SUM(COUNTIFS('11_11_11_17'!E:E,'11_11_11_17 Acc Rate'!C35,'11_11_11_17'!O:O,"*M*"),COUNTIFS('11_11_11_17'!E:E,'11_11_11_17 Acc Rate'!C35,'11_11_11_17'!R:R,"*M*"))=0,"",SUM(COUNTIFS('11_11_11_17'!E:E,'11_11_11_17 Acc Rate'!C35,'11_11_11_17'!O:O,"*M*"),COUNTIFS('11_11_11_17'!E:E,'11_11_11_17 Acc Rate'!C35,'11_11_11_17'!R:R,"*M*")))</f>
        <v/>
      </c>
      <c r="T35" s="1" t="str">
        <f>IF(SUM(COUNTIFS('11_11_11_17'!E:E,'11_11_11_17 Acc Rate'!C35,'11_11_11_17'!P:P,"*E*"),COUNTIFS('11_11_11_17'!E:E,'11_11_11_17 Acc Rate'!C35,'11_11_11_17'!S:S,"*E*"))=0,"",SUM(COUNTIFS('11_11_11_17'!E:E,'11_11_11_17 Acc Rate'!C35,'11_11_11_17'!P:P,"*E*"),COUNTIFS('11_11_11_17'!E:E,'11_11_11_17 Acc Rate'!C35,'11_11_11_17'!S:S,"*E*")))</f>
        <v/>
      </c>
      <c r="U35" s="8" t="str">
        <f t="shared" si="1"/>
        <v/>
      </c>
    </row>
    <row r="36" spans="2:21" ht="15" customHeight="1" x14ac:dyDescent="0.25">
      <c r="B36" s="1" t="s">
        <v>658</v>
      </c>
      <c r="C36" s="1" t="s">
        <v>659</v>
      </c>
      <c r="D36" s="1" t="s">
        <v>660</v>
      </c>
      <c r="E36"/>
      <c r="F36" t="s">
        <v>661</v>
      </c>
      <c r="G36" t="s">
        <v>662</v>
      </c>
      <c r="H36" t="s">
        <v>583</v>
      </c>
      <c r="I36" t="s">
        <v>663</v>
      </c>
      <c r="J36" t="s">
        <v>607</v>
      </c>
      <c r="K36"/>
      <c r="L36"/>
      <c r="M36">
        <v>1</v>
      </c>
      <c r="N36"/>
      <c r="O36"/>
      <c r="P36"/>
      <c r="Q36" s="7"/>
      <c r="R36" s="27" t="str">
        <f t="shared" si="0"/>
        <v/>
      </c>
      <c r="S36" s="27" t="str">
        <f>IF(SUM(COUNTIFS('11_11_11_17'!E:E,'11_11_11_17 Acc Rate'!C36,'11_11_11_17'!O:O,"*M*"),COUNTIFS('11_11_11_17'!E:E,'11_11_11_17 Acc Rate'!C36,'11_11_11_17'!R:R,"*M*"))=0,"",SUM(COUNTIFS('11_11_11_17'!E:E,'11_11_11_17 Acc Rate'!C36,'11_11_11_17'!O:O,"*M*"),COUNTIFS('11_11_11_17'!E:E,'11_11_11_17 Acc Rate'!C36,'11_11_11_17'!R:R,"*M*")))</f>
        <v/>
      </c>
      <c r="T36" s="1" t="str">
        <f>IF(SUM(COUNTIFS('11_11_11_17'!E:E,'11_11_11_17 Acc Rate'!C36,'11_11_11_17'!P:P,"*E*"),COUNTIFS('11_11_11_17'!E:E,'11_11_11_17 Acc Rate'!C36,'11_11_11_17'!S:S,"*E*"))=0,"",SUM(COUNTIFS('11_11_11_17'!E:E,'11_11_11_17 Acc Rate'!C36,'11_11_11_17'!P:P,"*E*"),COUNTIFS('11_11_11_17'!E:E,'11_11_11_17 Acc Rate'!C36,'11_11_11_17'!S:S,"*E*")))</f>
        <v/>
      </c>
      <c r="U36" s="8" t="str">
        <f t="shared" si="1"/>
        <v/>
      </c>
    </row>
    <row r="37" spans="2:21" ht="15" customHeight="1" x14ac:dyDescent="0.25">
      <c r="B37" s="1" t="s">
        <v>664</v>
      </c>
      <c r="C37" s="1" t="s">
        <v>155</v>
      </c>
      <c r="D37" s="1" t="s">
        <v>156</v>
      </c>
      <c r="E37"/>
      <c r="F37" t="s">
        <v>550</v>
      </c>
      <c r="G37" t="s">
        <v>665</v>
      </c>
      <c r="H37" t="s">
        <v>583</v>
      </c>
      <c r="I37" t="s">
        <v>666</v>
      </c>
      <c r="J37" t="s">
        <v>667</v>
      </c>
      <c r="K37" t="s">
        <v>663</v>
      </c>
      <c r="L37"/>
      <c r="M37">
        <v>1</v>
      </c>
      <c r="N37"/>
      <c r="O37"/>
      <c r="P37"/>
      <c r="Q37" s="7"/>
      <c r="R37" s="27" t="str">
        <f t="shared" si="0"/>
        <v/>
      </c>
      <c r="S37" s="27" t="str">
        <f>IF(SUM(COUNTIFS('11_11_11_17'!E:E,'11_11_11_17 Acc Rate'!C37,'11_11_11_17'!O:O,"*M*"),COUNTIFS('11_11_11_17'!E:E,'11_11_11_17 Acc Rate'!C37,'11_11_11_17'!R:R,"*M*"))=0,"",SUM(COUNTIFS('11_11_11_17'!E:E,'11_11_11_17 Acc Rate'!C37,'11_11_11_17'!O:O,"*M*"),COUNTIFS('11_11_11_17'!E:E,'11_11_11_17 Acc Rate'!C37,'11_11_11_17'!R:R,"*M*")))</f>
        <v/>
      </c>
      <c r="T37" s="1" t="str">
        <f>IF(SUM(COUNTIFS('11_11_11_17'!E:E,'11_11_11_17 Acc Rate'!C37,'11_11_11_17'!P:P,"*E*"),COUNTIFS('11_11_11_17'!E:E,'11_11_11_17 Acc Rate'!C37,'11_11_11_17'!S:S,"*E*"))=0,"",SUM(COUNTIFS('11_11_11_17'!E:E,'11_11_11_17 Acc Rate'!C37,'11_11_11_17'!P:P,"*E*"),COUNTIFS('11_11_11_17'!E:E,'11_11_11_17 Acc Rate'!C37,'11_11_11_17'!S:S,"*E*")))</f>
        <v/>
      </c>
      <c r="U37" s="8" t="str">
        <f t="shared" si="1"/>
        <v/>
      </c>
    </row>
    <row r="38" spans="2:21" ht="15" customHeight="1" x14ac:dyDescent="0.25">
      <c r="B38" s="1" t="s">
        <v>668</v>
      </c>
      <c r="C38" s="1" t="s">
        <v>669</v>
      </c>
      <c r="D38" s="1" t="s">
        <v>670</v>
      </c>
      <c r="E38"/>
      <c r="F38" t="s">
        <v>671</v>
      </c>
      <c r="G38" t="s">
        <v>672</v>
      </c>
      <c r="H38" t="s">
        <v>583</v>
      </c>
      <c r="I38" t="s">
        <v>673</v>
      </c>
      <c r="J38" t="s">
        <v>667</v>
      </c>
      <c r="K38" t="s">
        <v>663</v>
      </c>
      <c r="L38"/>
      <c r="M38">
        <v>1</v>
      </c>
      <c r="N38"/>
      <c r="O38"/>
      <c r="P38"/>
      <c r="Q38" s="7"/>
      <c r="R38" s="27" t="str">
        <f t="shared" si="0"/>
        <v/>
      </c>
      <c r="S38" s="27" t="str">
        <f>IF(SUM(COUNTIFS('11_11_11_17'!E:E,'11_11_11_17 Acc Rate'!C38,'11_11_11_17'!O:O,"*M*"),COUNTIFS('11_11_11_17'!E:E,'11_11_11_17 Acc Rate'!C38,'11_11_11_17'!R:R,"*M*"))=0,"",SUM(COUNTIFS('11_11_11_17'!E:E,'11_11_11_17 Acc Rate'!C38,'11_11_11_17'!O:O,"*M*"),COUNTIFS('11_11_11_17'!E:E,'11_11_11_17 Acc Rate'!C38,'11_11_11_17'!R:R,"*M*")))</f>
        <v/>
      </c>
      <c r="T38" s="1" t="str">
        <f>IF(SUM(COUNTIFS('11_11_11_17'!E:E,'11_11_11_17 Acc Rate'!C38,'11_11_11_17'!P:P,"*E*"),COUNTIFS('11_11_11_17'!E:E,'11_11_11_17 Acc Rate'!C38,'11_11_11_17'!S:S,"*E*"))=0,"",SUM(COUNTIFS('11_11_11_17'!E:E,'11_11_11_17 Acc Rate'!C38,'11_11_11_17'!P:P,"*E*"),COUNTIFS('11_11_11_17'!E:E,'11_11_11_17 Acc Rate'!C38,'11_11_11_17'!S:S,"*E*")))</f>
        <v/>
      </c>
      <c r="U38" s="8" t="str">
        <f t="shared" si="1"/>
        <v/>
      </c>
    </row>
    <row r="39" spans="2:21" ht="15" customHeight="1" x14ac:dyDescent="0.25">
      <c r="B39" s="1" t="s">
        <v>701</v>
      </c>
      <c r="C39" s="1" t="s">
        <v>696</v>
      </c>
      <c r="D39" s="1" t="s">
        <v>702</v>
      </c>
      <c r="E39"/>
      <c r="F39" t="s">
        <v>703</v>
      </c>
      <c r="G39" t="s">
        <v>704</v>
      </c>
      <c r="H39" t="s">
        <v>583</v>
      </c>
      <c r="I39" t="s">
        <v>705</v>
      </c>
      <c r="J39" t="s">
        <v>667</v>
      </c>
      <c r="K39" t="s">
        <v>663</v>
      </c>
      <c r="L39"/>
      <c r="M39">
        <v>1</v>
      </c>
      <c r="N39"/>
      <c r="O39"/>
      <c r="P39"/>
      <c r="Q39" s="7"/>
      <c r="R39" s="27" t="str">
        <f t="shared" si="0"/>
        <v/>
      </c>
      <c r="S39" s="27" t="str">
        <f>IF(SUM(COUNTIFS('11_11_11_17'!E:E,'11_11_11_17 Acc Rate'!C39,'11_11_11_17'!O:O,"*M*"),COUNTIFS('11_11_11_17'!E:E,'11_11_11_17 Acc Rate'!C39,'11_11_11_17'!R:R,"*M*"))=0,"",SUM(COUNTIFS('11_11_11_17'!E:E,'11_11_11_17 Acc Rate'!C39,'11_11_11_17'!O:O,"*M*"),COUNTIFS('11_11_11_17'!E:E,'11_11_11_17 Acc Rate'!C39,'11_11_11_17'!R:R,"*M*")))</f>
        <v/>
      </c>
      <c r="T39" s="1" t="str">
        <f>IF(SUM(COUNTIFS('11_11_11_17'!E:E,'11_11_11_17 Acc Rate'!C39,'11_11_11_17'!P:P,"*E*"),COUNTIFS('11_11_11_17'!E:E,'11_11_11_17 Acc Rate'!C39,'11_11_11_17'!S:S,"*E*"))=0,"",SUM(COUNTIFS('11_11_11_17'!E:E,'11_11_11_17 Acc Rate'!C39,'11_11_11_17'!P:P,"*E*"),COUNTIFS('11_11_11_17'!E:E,'11_11_11_17 Acc Rate'!C39,'11_11_11_17'!S:S,"*E*")))</f>
        <v/>
      </c>
      <c r="U39" s="8" t="str">
        <f t="shared" si="1"/>
        <v/>
      </c>
    </row>
    <row r="40" spans="2:21" ht="15" customHeight="1" x14ac:dyDescent="0.25">
      <c r="B40" s="1" t="s">
        <v>674</v>
      </c>
      <c r="C40" s="1" t="s">
        <v>411</v>
      </c>
      <c r="D40" s="1" t="s">
        <v>412</v>
      </c>
      <c r="E40"/>
      <c r="F40" t="s">
        <v>675</v>
      </c>
      <c r="G40" t="s">
        <v>676</v>
      </c>
      <c r="H40" t="s">
        <v>583</v>
      </c>
      <c r="I40" t="s">
        <v>677</v>
      </c>
      <c r="J40" t="s">
        <v>667</v>
      </c>
      <c r="K40" t="s">
        <v>663</v>
      </c>
      <c r="L40"/>
      <c r="M40">
        <v>1</v>
      </c>
      <c r="N40"/>
      <c r="O40"/>
      <c r="P40"/>
      <c r="Q40" s="7"/>
      <c r="R40" s="27" t="str">
        <f t="shared" si="0"/>
        <v/>
      </c>
      <c r="S40" s="27" t="str">
        <f>IF(SUM(COUNTIFS('11_11_11_17'!E:E,'11_11_11_17 Acc Rate'!C40,'11_11_11_17'!O:O,"*M*"),COUNTIFS('11_11_11_17'!E:E,'11_11_11_17 Acc Rate'!C40,'11_11_11_17'!R:R,"*M*"))=0,"",SUM(COUNTIFS('11_11_11_17'!E:E,'11_11_11_17 Acc Rate'!C40,'11_11_11_17'!O:O,"*M*"),COUNTIFS('11_11_11_17'!E:E,'11_11_11_17 Acc Rate'!C40,'11_11_11_17'!R:R,"*M*")))</f>
        <v/>
      </c>
      <c r="T40" s="1" t="str">
        <f>IF(SUM(COUNTIFS('11_11_11_17'!E:E,'11_11_11_17 Acc Rate'!C40,'11_11_11_17'!P:P,"*E*"),COUNTIFS('11_11_11_17'!E:E,'11_11_11_17 Acc Rate'!C40,'11_11_11_17'!S:S,"*E*"))=0,"",SUM(COUNTIFS('11_11_11_17'!E:E,'11_11_11_17 Acc Rate'!C40,'11_11_11_17'!P:P,"*E*"),COUNTIFS('11_11_11_17'!E:E,'11_11_11_17 Acc Rate'!C40,'11_11_11_17'!S:S,"*E*")))</f>
        <v/>
      </c>
      <c r="U40" s="8" t="str">
        <f t="shared" si="1"/>
        <v/>
      </c>
    </row>
    <row r="41" spans="2:21" ht="15" customHeight="1" x14ac:dyDescent="0.25">
      <c r="B41" s="1" t="s">
        <v>678</v>
      </c>
      <c r="C41" s="1" t="s">
        <v>679</v>
      </c>
      <c r="D41" s="1" t="s">
        <v>680</v>
      </c>
      <c r="E41"/>
      <c r="F41" t="s">
        <v>681</v>
      </c>
      <c r="G41" t="s">
        <v>682</v>
      </c>
      <c r="H41" t="s">
        <v>583</v>
      </c>
      <c r="I41" t="s">
        <v>683</v>
      </c>
      <c r="J41" t="s">
        <v>607</v>
      </c>
      <c r="K41"/>
      <c r="L41"/>
      <c r="M41">
        <v>1</v>
      </c>
      <c r="N41"/>
      <c r="O41"/>
      <c r="P41"/>
      <c r="Q41" s="7"/>
      <c r="R41" s="27" t="str">
        <f t="shared" si="0"/>
        <v/>
      </c>
      <c r="S41" s="27" t="str">
        <f>IF(SUM(COUNTIFS('11_11_11_17'!E:E,'11_11_11_17 Acc Rate'!C41,'11_11_11_17'!O:O,"*M*"),COUNTIFS('11_11_11_17'!E:E,'11_11_11_17 Acc Rate'!C41,'11_11_11_17'!R:R,"*M*"))=0,"",SUM(COUNTIFS('11_11_11_17'!E:E,'11_11_11_17 Acc Rate'!C41,'11_11_11_17'!O:O,"*M*"),COUNTIFS('11_11_11_17'!E:E,'11_11_11_17 Acc Rate'!C41,'11_11_11_17'!R:R,"*M*")))</f>
        <v/>
      </c>
      <c r="T41" s="1" t="str">
        <f>IF(SUM(COUNTIFS('11_11_11_17'!E:E,'11_11_11_17 Acc Rate'!C41,'11_11_11_17'!P:P,"*E*"),COUNTIFS('11_11_11_17'!E:E,'11_11_11_17 Acc Rate'!C41,'11_11_11_17'!S:S,"*E*"))=0,"",SUM(COUNTIFS('11_11_11_17'!E:E,'11_11_11_17 Acc Rate'!C41,'11_11_11_17'!P:P,"*E*"),COUNTIFS('11_11_11_17'!E:E,'11_11_11_17 Acc Rate'!C41,'11_11_11_17'!S:S,"*E*")))</f>
        <v/>
      </c>
      <c r="U41" s="8" t="str">
        <f t="shared" si="1"/>
        <v/>
      </c>
    </row>
    <row r="42" spans="2:21" ht="15" customHeight="1" x14ac:dyDescent="0.25">
      <c r="B42" s="1" t="s">
        <v>684</v>
      </c>
      <c r="C42" s="1" t="s">
        <v>84</v>
      </c>
      <c r="D42" s="1" t="s">
        <v>273</v>
      </c>
      <c r="E42"/>
      <c r="F42" t="s">
        <v>685</v>
      </c>
      <c r="G42" t="s">
        <v>686</v>
      </c>
      <c r="H42" t="s">
        <v>583</v>
      </c>
      <c r="I42" t="s">
        <v>687</v>
      </c>
      <c r="J42" t="s">
        <v>688</v>
      </c>
      <c r="K42" t="s">
        <v>683</v>
      </c>
      <c r="L42"/>
      <c r="M42">
        <v>1</v>
      </c>
      <c r="N42"/>
      <c r="O42"/>
      <c r="P42"/>
      <c r="Q42" s="7"/>
      <c r="R42" s="27" t="str">
        <f t="shared" si="0"/>
        <v/>
      </c>
      <c r="S42" s="27" t="str">
        <f>IF(SUM(COUNTIFS('11_11_11_17'!E:E,'11_11_11_17 Acc Rate'!C42,'11_11_11_17'!O:O,"*M*"),COUNTIFS('11_11_11_17'!E:E,'11_11_11_17 Acc Rate'!C42,'11_11_11_17'!R:R,"*M*"))=0,"",SUM(COUNTIFS('11_11_11_17'!E:E,'11_11_11_17 Acc Rate'!C42,'11_11_11_17'!O:O,"*M*"),COUNTIFS('11_11_11_17'!E:E,'11_11_11_17 Acc Rate'!C42,'11_11_11_17'!R:R,"*M*")))</f>
        <v/>
      </c>
      <c r="T42" s="1" t="str">
        <f>IF(SUM(COUNTIFS('11_11_11_17'!E:E,'11_11_11_17 Acc Rate'!C42,'11_11_11_17'!P:P,"*E*"),COUNTIFS('11_11_11_17'!E:E,'11_11_11_17 Acc Rate'!C42,'11_11_11_17'!S:S,"*E*"))=0,"",SUM(COUNTIFS('11_11_11_17'!E:E,'11_11_11_17 Acc Rate'!C42,'11_11_11_17'!P:P,"*E*"),COUNTIFS('11_11_11_17'!E:E,'11_11_11_17 Acc Rate'!C42,'11_11_11_17'!S:S,"*E*")))</f>
        <v/>
      </c>
      <c r="U42" s="8" t="str">
        <f t="shared" si="1"/>
        <v/>
      </c>
    </row>
    <row r="43" spans="2:21" ht="15" customHeight="1" x14ac:dyDescent="0.25">
      <c r="B43" s="1" t="s">
        <v>689</v>
      </c>
      <c r="C43" s="1" t="s">
        <v>690</v>
      </c>
      <c r="D43" s="1" t="s">
        <v>691</v>
      </c>
      <c r="E43"/>
      <c r="F43" t="s">
        <v>692</v>
      </c>
      <c r="G43" t="s">
        <v>693</v>
      </c>
      <c r="H43" t="s">
        <v>583</v>
      </c>
      <c r="I43" t="s">
        <v>694</v>
      </c>
      <c r="J43" t="s">
        <v>688</v>
      </c>
      <c r="K43" t="s">
        <v>683</v>
      </c>
      <c r="L43"/>
      <c r="M43">
        <v>1</v>
      </c>
      <c r="N43"/>
      <c r="O43"/>
      <c r="P43"/>
      <c r="Q43" s="7"/>
      <c r="R43" s="27" t="str">
        <f t="shared" si="0"/>
        <v/>
      </c>
      <c r="S43" s="27" t="str">
        <f>IF(SUM(COUNTIFS('11_11_11_17'!E:E,'11_11_11_17 Acc Rate'!C43,'11_11_11_17'!O:O,"*M*"),COUNTIFS('11_11_11_17'!E:E,'11_11_11_17 Acc Rate'!C43,'11_11_11_17'!R:R,"*M*"))=0,"",SUM(COUNTIFS('11_11_11_17'!E:E,'11_11_11_17 Acc Rate'!C43,'11_11_11_17'!O:O,"*M*"),COUNTIFS('11_11_11_17'!E:E,'11_11_11_17 Acc Rate'!C43,'11_11_11_17'!R:R,"*M*")))</f>
        <v/>
      </c>
      <c r="T43" s="1" t="str">
        <f>IF(SUM(COUNTIFS('11_11_11_17'!E:E,'11_11_11_17 Acc Rate'!C43,'11_11_11_17'!P:P,"*E*"),COUNTIFS('11_11_11_17'!E:E,'11_11_11_17 Acc Rate'!C43,'11_11_11_17'!S:S,"*E*"))=0,"",SUM(COUNTIFS('11_11_11_17'!E:E,'11_11_11_17 Acc Rate'!C43,'11_11_11_17'!P:P,"*E*"),COUNTIFS('11_11_11_17'!E:E,'11_11_11_17 Acc Rate'!C43,'11_11_11_17'!S:S,"*E*")))</f>
        <v/>
      </c>
      <c r="U43" s="8" t="str">
        <f t="shared" si="1"/>
        <v/>
      </c>
    </row>
    <row r="44" spans="2:21" ht="15" customHeight="1" x14ac:dyDescent="0.25">
      <c r="B44" s="1" t="s">
        <v>695</v>
      </c>
      <c r="C44" s="1" t="s">
        <v>696</v>
      </c>
      <c r="D44" s="1" t="s">
        <v>697</v>
      </c>
      <c r="E44"/>
      <c r="F44" t="s">
        <v>698</v>
      </c>
      <c r="G44" t="s">
        <v>699</v>
      </c>
      <c r="H44" t="s">
        <v>583</v>
      </c>
      <c r="I44" t="s">
        <v>700</v>
      </c>
      <c r="J44" t="s">
        <v>607</v>
      </c>
      <c r="K44"/>
      <c r="L44"/>
      <c r="M44">
        <v>1</v>
      </c>
      <c r="N44"/>
      <c r="O44"/>
      <c r="P44"/>
      <c r="Q44" s="7"/>
      <c r="R44" s="27" t="str">
        <f t="shared" si="0"/>
        <v/>
      </c>
      <c r="S44" s="27" t="str">
        <f>IF(SUM(COUNTIFS('11_11_11_17'!E:E,'11_11_11_17 Acc Rate'!C44,'11_11_11_17'!O:O,"*M*"),COUNTIFS('11_11_11_17'!E:E,'11_11_11_17 Acc Rate'!C44,'11_11_11_17'!R:R,"*M*"))=0,"",SUM(COUNTIFS('11_11_11_17'!E:E,'11_11_11_17 Acc Rate'!C44,'11_11_11_17'!O:O,"*M*"),COUNTIFS('11_11_11_17'!E:E,'11_11_11_17 Acc Rate'!C44,'11_11_11_17'!R:R,"*M*")))</f>
        <v/>
      </c>
      <c r="T44" s="1" t="str">
        <f>IF(SUM(COUNTIFS('11_11_11_17'!E:E,'11_11_11_17 Acc Rate'!C44,'11_11_11_17'!P:P,"*E*"),COUNTIFS('11_11_11_17'!E:E,'11_11_11_17 Acc Rate'!C44,'11_11_11_17'!S:S,"*E*"))=0,"",SUM(COUNTIFS('11_11_11_17'!E:E,'11_11_11_17 Acc Rate'!C44,'11_11_11_17'!P:P,"*E*"),COUNTIFS('11_11_11_17'!E:E,'11_11_11_17 Acc Rate'!C44,'11_11_11_17'!S:S,"*E*")))</f>
        <v/>
      </c>
      <c r="U44" s="8" t="str">
        <f t="shared" si="1"/>
        <v/>
      </c>
    </row>
    <row r="45" spans="2:21" ht="15" customHeight="1" x14ac:dyDescent="0.25">
      <c r="B45" s="1" t="s">
        <v>707</v>
      </c>
      <c r="C45" s="1" t="s">
        <v>708</v>
      </c>
      <c r="D45" s="1" t="s">
        <v>709</v>
      </c>
      <c r="E45"/>
      <c r="F45" t="s">
        <v>710</v>
      </c>
      <c r="G45" t="s">
        <v>711</v>
      </c>
      <c r="H45" t="s">
        <v>583</v>
      </c>
      <c r="I45" t="s">
        <v>712</v>
      </c>
      <c r="J45" t="s">
        <v>706</v>
      </c>
      <c r="K45" t="s">
        <v>700</v>
      </c>
      <c r="L45"/>
      <c r="M45">
        <v>1</v>
      </c>
      <c r="N45"/>
      <c r="O45"/>
      <c r="P45"/>
      <c r="Q45" s="7"/>
      <c r="R45" s="27" t="str">
        <f t="shared" si="0"/>
        <v/>
      </c>
      <c r="S45" s="27" t="str">
        <f>IF(SUM(COUNTIFS('11_11_11_17'!E:E,'11_11_11_17 Acc Rate'!C45,'11_11_11_17'!O:O,"*M*"),COUNTIFS('11_11_11_17'!E:E,'11_11_11_17 Acc Rate'!C45,'11_11_11_17'!R:R,"*M*"))=0,"",SUM(COUNTIFS('11_11_11_17'!E:E,'11_11_11_17 Acc Rate'!C45,'11_11_11_17'!O:O,"*M*"),COUNTIFS('11_11_11_17'!E:E,'11_11_11_17 Acc Rate'!C45,'11_11_11_17'!R:R,"*M*")))</f>
        <v/>
      </c>
      <c r="T45" s="1" t="str">
        <f>IF(SUM(COUNTIFS('11_11_11_17'!E:E,'11_11_11_17 Acc Rate'!C45,'11_11_11_17'!P:P,"*E*"),COUNTIFS('11_11_11_17'!E:E,'11_11_11_17 Acc Rate'!C45,'11_11_11_17'!S:S,"*E*"))=0,"",SUM(COUNTIFS('11_11_11_17'!E:E,'11_11_11_17 Acc Rate'!C45,'11_11_11_17'!P:P,"*E*"),COUNTIFS('11_11_11_17'!E:E,'11_11_11_17 Acc Rate'!C45,'11_11_11_17'!S:S,"*E*")))</f>
        <v/>
      </c>
      <c r="U45" s="8" t="str">
        <f t="shared" si="1"/>
        <v/>
      </c>
    </row>
    <row r="46" spans="2:21" ht="15" customHeight="1" x14ac:dyDescent="0.25">
      <c r="B46" s="1" t="s">
        <v>713</v>
      </c>
      <c r="C46" s="1" t="s">
        <v>714</v>
      </c>
      <c r="D46" s="1" t="s">
        <v>715</v>
      </c>
      <c r="E46"/>
      <c r="F46" t="s">
        <v>716</v>
      </c>
      <c r="G46" t="s">
        <v>717</v>
      </c>
      <c r="H46" t="s">
        <v>583</v>
      </c>
      <c r="I46" t="s">
        <v>718</v>
      </c>
      <c r="J46" t="s">
        <v>706</v>
      </c>
      <c r="K46" t="s">
        <v>700</v>
      </c>
      <c r="L46"/>
      <c r="M46">
        <v>1</v>
      </c>
      <c r="N46"/>
      <c r="O46"/>
      <c r="P46"/>
      <c r="Q46" s="7"/>
      <c r="R46" s="27" t="str">
        <f t="shared" si="0"/>
        <v/>
      </c>
      <c r="S46" s="27" t="str">
        <f>IF(SUM(COUNTIFS('11_11_11_17'!E:E,'11_11_11_17 Acc Rate'!C46,'11_11_11_17'!O:O,"*M*"),COUNTIFS('11_11_11_17'!E:E,'11_11_11_17 Acc Rate'!C46,'11_11_11_17'!R:R,"*M*"))=0,"",SUM(COUNTIFS('11_11_11_17'!E:E,'11_11_11_17 Acc Rate'!C46,'11_11_11_17'!O:O,"*M*"),COUNTIFS('11_11_11_17'!E:E,'11_11_11_17 Acc Rate'!C46,'11_11_11_17'!R:R,"*M*")))</f>
        <v/>
      </c>
      <c r="T46" s="1" t="str">
        <f>IF(SUM(COUNTIFS('11_11_11_17'!E:E,'11_11_11_17 Acc Rate'!C46,'11_11_11_17'!P:P,"*E*"),COUNTIFS('11_11_11_17'!E:E,'11_11_11_17 Acc Rate'!C46,'11_11_11_17'!S:S,"*E*"))=0,"",SUM(COUNTIFS('11_11_11_17'!E:E,'11_11_11_17 Acc Rate'!C46,'11_11_11_17'!P:P,"*E*"),COUNTIFS('11_11_11_17'!E:E,'11_11_11_17 Acc Rate'!C46,'11_11_11_17'!S:S,"*E*")))</f>
        <v/>
      </c>
      <c r="U46" s="8" t="str">
        <f t="shared" si="1"/>
        <v/>
      </c>
    </row>
    <row r="47" spans="2:21" ht="15" customHeight="1" x14ac:dyDescent="0.25">
      <c r="B47" s="1" t="s">
        <v>2034</v>
      </c>
      <c r="C47" s="1" t="s">
        <v>848</v>
      </c>
      <c r="D47" s="1" t="s">
        <v>2035</v>
      </c>
      <c r="E47"/>
      <c r="F47" t="s">
        <v>2036</v>
      </c>
      <c r="G47" t="s">
        <v>2037</v>
      </c>
      <c r="H47" t="s">
        <v>583</v>
      </c>
      <c r="I47" t="s">
        <v>2038</v>
      </c>
      <c r="J47" t="s">
        <v>706</v>
      </c>
      <c r="K47" t="s">
        <v>700</v>
      </c>
      <c r="L47"/>
      <c r="M47">
        <v>1</v>
      </c>
      <c r="N47"/>
      <c r="O47"/>
      <c r="P47"/>
      <c r="Q47" s="7"/>
      <c r="R47" s="27" t="str">
        <f t="shared" si="0"/>
        <v/>
      </c>
      <c r="S47" s="27" t="str">
        <f>IF(SUM(COUNTIFS('11_11_11_17'!E:E,'11_11_11_17 Acc Rate'!C47,'11_11_11_17'!O:O,"*M*"),COUNTIFS('11_11_11_17'!E:E,'11_11_11_17 Acc Rate'!C47,'11_11_11_17'!R:R,"*M*"))=0,"",SUM(COUNTIFS('11_11_11_17'!E:E,'11_11_11_17 Acc Rate'!C47,'11_11_11_17'!O:O,"*M*"),COUNTIFS('11_11_11_17'!E:E,'11_11_11_17 Acc Rate'!C47,'11_11_11_17'!R:R,"*M*")))</f>
        <v/>
      </c>
      <c r="T47" s="1" t="str">
        <f>IF(SUM(COUNTIFS('11_11_11_17'!E:E,'11_11_11_17 Acc Rate'!C47,'11_11_11_17'!P:P,"*E*"),COUNTIFS('11_11_11_17'!E:E,'11_11_11_17 Acc Rate'!C47,'11_11_11_17'!S:S,"*E*"))=0,"",SUM(COUNTIFS('11_11_11_17'!E:E,'11_11_11_17 Acc Rate'!C47,'11_11_11_17'!P:P,"*E*"),COUNTIFS('11_11_11_17'!E:E,'11_11_11_17 Acc Rate'!C47,'11_11_11_17'!S:S,"*E*")))</f>
        <v/>
      </c>
      <c r="U47" s="8" t="str">
        <f t="shared" si="1"/>
        <v/>
      </c>
    </row>
    <row r="48" spans="2:21" ht="15" customHeight="1" x14ac:dyDescent="0.25">
      <c r="B48" s="1" t="s">
        <v>719</v>
      </c>
      <c r="C48" s="1" t="s">
        <v>556</v>
      </c>
      <c r="D48" s="1" t="s">
        <v>720</v>
      </c>
      <c r="E48"/>
      <c r="F48" t="s">
        <v>721</v>
      </c>
      <c r="G48" t="s">
        <v>722</v>
      </c>
      <c r="H48" t="s">
        <v>583</v>
      </c>
      <c r="I48" t="s">
        <v>723</v>
      </c>
      <c r="J48" t="s">
        <v>706</v>
      </c>
      <c r="K48" t="s">
        <v>700</v>
      </c>
      <c r="L48"/>
      <c r="M48">
        <v>1</v>
      </c>
      <c r="N48"/>
      <c r="O48"/>
      <c r="P48"/>
      <c r="Q48" s="7"/>
      <c r="R48" s="27">
        <f t="shared" si="0"/>
        <v>-1</v>
      </c>
      <c r="S48" s="27">
        <f>IF(SUM(COUNTIFS('11_11_11_17'!E:E,'11_11_11_17 Acc Rate'!C48,'11_11_11_17'!O:O,"*M*"),COUNTIFS('11_11_11_17'!E:E,'11_11_11_17 Acc Rate'!C48,'11_11_11_17'!R:R,"*M*"))=0,"",SUM(COUNTIFS('11_11_11_17'!E:E,'11_11_11_17 Acc Rate'!C48,'11_11_11_17'!O:O,"*M*"),COUNTIFS('11_11_11_17'!E:E,'11_11_11_17 Acc Rate'!C48,'11_11_11_17'!R:R,"*M*")))</f>
        <v>1</v>
      </c>
      <c r="T48" s="1" t="str">
        <f>IF(SUM(COUNTIFS('11_11_11_17'!E:E,'11_11_11_17 Acc Rate'!C48,'11_11_11_17'!P:P,"*E*"),COUNTIFS('11_11_11_17'!E:E,'11_11_11_17 Acc Rate'!C48,'11_11_11_17'!S:S,"*E*"))=0,"",SUM(COUNTIFS('11_11_11_17'!E:E,'11_11_11_17 Acc Rate'!C48,'11_11_11_17'!P:P,"*E*"),COUNTIFS('11_11_11_17'!E:E,'11_11_11_17 Acc Rate'!C48,'11_11_11_17'!S:S,"*E*")))</f>
        <v/>
      </c>
      <c r="U48" s="8"/>
    </row>
    <row r="49" spans="5:21" ht="15" customHeight="1" x14ac:dyDescent="0.25">
      <c r="E49"/>
      <c r="F49"/>
      <c r="G49"/>
      <c r="H49"/>
      <c r="I49"/>
      <c r="J49"/>
      <c r="K49"/>
      <c r="L49"/>
      <c r="M49" t="s">
        <v>724</v>
      </c>
      <c r="N49"/>
      <c r="O49"/>
      <c r="P49"/>
      <c r="Q49" s="1">
        <f>SUM(Q3:Q47)</f>
        <v>0</v>
      </c>
      <c r="R49" s="27">
        <f>SUM(R3:R47)</f>
        <v>-8</v>
      </c>
      <c r="S49" s="27">
        <f>SUM(S3:S47)</f>
        <v>5</v>
      </c>
      <c r="T49" s="1">
        <f>SUM(T3:T47)</f>
        <v>3</v>
      </c>
      <c r="U49" s="2">
        <f>IFERROR(SUM(S48*8+T48*2)/Q48,0)</f>
        <v>0</v>
      </c>
    </row>
    <row r="50" spans="5:21" ht="15" customHeight="1" x14ac:dyDescent="0.25">
      <c r="E50"/>
      <c r="F50"/>
      <c r="G50"/>
      <c r="H50"/>
      <c r="I50"/>
      <c r="J50"/>
      <c r="K50"/>
      <c r="L50"/>
      <c r="M50"/>
      <c r="N50"/>
      <c r="O50"/>
      <c r="P50"/>
    </row>
  </sheetData>
  <mergeCells count="3">
    <mergeCell ref="W3:X3"/>
    <mergeCell ref="W7:X7"/>
    <mergeCell ref="W8:X8"/>
  </mergeCells>
  <conditionalFormatting sqref="B1:P1048576">
    <cfRule type="expression" dxfId="130" priority="6">
      <formula>$H1="Service Center"</formula>
    </cfRule>
    <cfRule type="expression" dxfId="129" priority="7">
      <formula>$H1="COBRA"</formula>
    </cfRule>
    <cfRule type="expression" dxfId="128" priority="8">
      <formula>$H1="Claims"</formula>
    </cfRule>
  </conditionalFormatting>
  <conditionalFormatting sqref="B1:U1048576">
    <cfRule type="expression" dxfId="127" priority="4">
      <formula>NOT(ISBLANK($B1))</formula>
    </cfRule>
    <cfRule type="expression" dxfId="126" priority="5">
      <formula>AND($H1="Service Center",$M1=15)</formula>
    </cfRule>
    <cfRule type="expression" dxfId="125" priority="9">
      <formula>$B1="Full Name"</formula>
    </cfRule>
    <cfRule type="expression" dxfId="124" priority="10">
      <formula>$M1="Totals"</formula>
    </cfRule>
  </conditionalFormatting>
  <conditionalFormatting sqref="Q2">
    <cfRule type="expression" dxfId="123" priority="1">
      <formula>$H2="Service Center"</formula>
    </cfRule>
    <cfRule type="expression" dxfId="122" priority="2">
      <formula>$H2="COBRA"</formula>
    </cfRule>
    <cfRule type="expression" dxfId="121" priority="3">
      <formula>$H2="Claims"</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C5DDD6-4241-4900-8FC0-52E24BF4080C}">
  <dimension ref="A1:U195"/>
  <sheetViews>
    <sheetView topLeftCell="A169" zoomScale="80" zoomScaleNormal="80" workbookViewId="0">
      <selection activeCell="Q169" sqref="Q169"/>
    </sheetView>
  </sheetViews>
  <sheetFormatPr defaultRowHeight="15" x14ac:dyDescent="0.25"/>
  <cols>
    <col min="1" max="1" width="8.7109375" customWidth="1"/>
    <col min="2" max="2" width="10.7109375" customWidth="1"/>
    <col min="3" max="3" width="8.7109375" customWidth="1"/>
    <col min="4" max="4" width="12.7109375" customWidth="1"/>
    <col min="5" max="6" width="15.7109375" customWidth="1"/>
    <col min="7" max="7" width="40.7109375" customWidth="1"/>
    <col min="8" max="9" width="15.7109375" customWidth="1"/>
    <col min="10" max="12" width="10.7109375" customWidth="1"/>
    <col min="13" max="13" width="13.7109375" style="21" customWidth="1"/>
    <col min="14" max="14" width="12.7109375" customWidth="1"/>
    <col min="15" max="16" width="10.7109375" customWidth="1"/>
    <col min="17" max="17" width="30.7109375" customWidth="1"/>
    <col min="18" max="19" width="17.7109375" customWidth="1"/>
    <col min="20" max="20" width="30.7109375" customWidth="1"/>
    <col min="21" max="21" width="8.7109375" customWidth="1"/>
  </cols>
  <sheetData>
    <row r="1" spans="1:21" ht="38.25" x14ac:dyDescent="0.25">
      <c r="A1" s="42" t="s">
        <v>0</v>
      </c>
      <c r="B1" s="42" t="s">
        <v>1</v>
      </c>
      <c r="C1" s="42" t="s">
        <v>2</v>
      </c>
      <c r="D1" s="42" t="s">
        <v>3</v>
      </c>
      <c r="E1" s="42" t="s">
        <v>4</v>
      </c>
      <c r="F1" s="42" t="s">
        <v>5</v>
      </c>
      <c r="G1" s="42" t="s">
        <v>6</v>
      </c>
      <c r="H1" s="42" t="s">
        <v>7</v>
      </c>
      <c r="I1" s="42" t="s">
        <v>8</v>
      </c>
      <c r="J1" s="42" t="s">
        <v>9</v>
      </c>
      <c r="K1" s="42" t="s">
        <v>10</v>
      </c>
      <c r="L1" s="42" t="s">
        <v>11</v>
      </c>
      <c r="M1" s="43" t="s">
        <v>12</v>
      </c>
      <c r="N1" s="42" t="s">
        <v>13</v>
      </c>
      <c r="O1" s="42" t="s">
        <v>14</v>
      </c>
      <c r="P1" s="42" t="s">
        <v>15</v>
      </c>
      <c r="Q1" s="42" t="s">
        <v>16</v>
      </c>
      <c r="R1" s="42" t="s">
        <v>17</v>
      </c>
      <c r="S1" s="42" t="s">
        <v>18</v>
      </c>
      <c r="T1" s="42" t="s">
        <v>16</v>
      </c>
      <c r="U1" s="44" t="s">
        <v>19</v>
      </c>
    </row>
    <row r="2" spans="1:21" x14ac:dyDescent="0.25">
      <c r="A2" s="45" t="s">
        <v>20</v>
      </c>
      <c r="B2" s="46">
        <v>45757</v>
      </c>
      <c r="C2" s="45" t="s">
        <v>168</v>
      </c>
      <c r="D2" s="47"/>
      <c r="E2" s="45" t="s">
        <v>563</v>
      </c>
      <c r="F2" s="45" t="s">
        <v>564</v>
      </c>
      <c r="G2" s="45" t="s">
        <v>178</v>
      </c>
      <c r="H2" s="45" t="s">
        <v>1517</v>
      </c>
      <c r="I2" s="45" t="s">
        <v>1518</v>
      </c>
      <c r="J2" s="45">
        <v>447785616</v>
      </c>
      <c r="K2" s="45" t="s">
        <v>892</v>
      </c>
      <c r="L2" s="48">
        <v>43</v>
      </c>
      <c r="M2" s="49">
        <v>202411181434</v>
      </c>
      <c r="N2" s="50" t="s">
        <v>28</v>
      </c>
      <c r="O2" s="50"/>
      <c r="P2" s="50"/>
      <c r="Q2" s="51"/>
      <c r="R2" s="50"/>
      <c r="S2" s="50"/>
      <c r="T2" s="51"/>
      <c r="U2" s="50"/>
    </row>
    <row r="3" spans="1:21" x14ac:dyDescent="0.25">
      <c r="A3" s="45" t="s">
        <v>20</v>
      </c>
      <c r="B3" s="46">
        <v>45757</v>
      </c>
      <c r="C3" s="45" t="s">
        <v>21</v>
      </c>
      <c r="D3" s="47" t="s">
        <v>168</v>
      </c>
      <c r="E3" s="45" t="s">
        <v>563</v>
      </c>
      <c r="F3" s="45" t="s">
        <v>564</v>
      </c>
      <c r="G3" s="45" t="s">
        <v>2039</v>
      </c>
      <c r="H3" s="45" t="s">
        <v>2040</v>
      </c>
      <c r="I3" s="45" t="s">
        <v>2041</v>
      </c>
      <c r="J3" s="45">
        <v>532905095</v>
      </c>
      <c r="K3" s="45" t="s">
        <v>250</v>
      </c>
      <c r="L3" s="48">
        <v>8.9700000000000006</v>
      </c>
      <c r="M3" s="49">
        <v>202411181438</v>
      </c>
      <c r="N3" s="50" t="s">
        <v>28</v>
      </c>
      <c r="O3" s="50"/>
      <c r="P3" s="50"/>
      <c r="Q3" s="51"/>
      <c r="R3" s="50"/>
      <c r="S3" s="50"/>
      <c r="T3" s="51"/>
      <c r="U3" s="50"/>
    </row>
    <row r="4" spans="1:21" x14ac:dyDescent="0.25">
      <c r="A4" s="45" t="s">
        <v>20</v>
      </c>
      <c r="B4" s="46">
        <v>45757</v>
      </c>
      <c r="C4" s="45" t="s">
        <v>21</v>
      </c>
      <c r="D4" s="47" t="s">
        <v>168</v>
      </c>
      <c r="E4" s="45" t="s">
        <v>563</v>
      </c>
      <c r="F4" s="45" t="s">
        <v>564</v>
      </c>
      <c r="G4" s="45" t="s">
        <v>2039</v>
      </c>
      <c r="H4" s="45" t="s">
        <v>2040</v>
      </c>
      <c r="I4" s="45" t="s">
        <v>2041</v>
      </c>
      <c r="J4" s="45">
        <v>532905095</v>
      </c>
      <c r="K4" s="45" t="s">
        <v>1338</v>
      </c>
      <c r="L4" s="48">
        <v>21.45</v>
      </c>
      <c r="M4" s="49">
        <v>202411181435</v>
      </c>
      <c r="N4" s="50" t="s">
        <v>28</v>
      </c>
      <c r="O4" s="50"/>
      <c r="P4" s="50"/>
      <c r="Q4" s="51"/>
      <c r="R4" s="50"/>
      <c r="S4" s="50"/>
      <c r="T4" s="51"/>
      <c r="U4" s="50"/>
    </row>
    <row r="5" spans="1:21" x14ac:dyDescent="0.25">
      <c r="A5" s="45" t="s">
        <v>20</v>
      </c>
      <c r="B5" s="46">
        <v>45757</v>
      </c>
      <c r="C5" s="45" t="s">
        <v>21</v>
      </c>
      <c r="D5" s="47" t="s">
        <v>168</v>
      </c>
      <c r="E5" s="45" t="s">
        <v>563</v>
      </c>
      <c r="F5" s="45" t="s">
        <v>564</v>
      </c>
      <c r="G5" s="45" t="s">
        <v>109</v>
      </c>
      <c r="H5" s="45" t="s">
        <v>2042</v>
      </c>
      <c r="I5" s="45" t="s">
        <v>2043</v>
      </c>
      <c r="J5" s="45">
        <v>576539008</v>
      </c>
      <c r="K5" s="45" t="s">
        <v>2044</v>
      </c>
      <c r="L5" s="48">
        <v>10</v>
      </c>
      <c r="M5" s="49">
        <v>202411181432</v>
      </c>
      <c r="N5" s="50" t="s">
        <v>28</v>
      </c>
      <c r="O5" s="50"/>
      <c r="P5" s="50"/>
      <c r="Q5" s="51"/>
      <c r="R5" s="50"/>
      <c r="S5" s="50"/>
      <c r="T5" s="51"/>
      <c r="U5" s="50"/>
    </row>
    <row r="6" spans="1:21" ht="25.5" x14ac:dyDescent="0.25">
      <c r="A6" s="45" t="s">
        <v>29</v>
      </c>
      <c r="B6" s="46">
        <v>45757</v>
      </c>
      <c r="C6" s="45" t="s">
        <v>21</v>
      </c>
      <c r="D6" s="47" t="s">
        <v>168</v>
      </c>
      <c r="E6" s="45" t="s">
        <v>22</v>
      </c>
      <c r="F6" s="45" t="s">
        <v>23</v>
      </c>
      <c r="G6" s="45" t="s">
        <v>263</v>
      </c>
      <c r="H6" s="45" t="s">
        <v>2045</v>
      </c>
      <c r="I6" s="45" t="s">
        <v>2046</v>
      </c>
      <c r="J6" s="45">
        <v>607697258</v>
      </c>
      <c r="K6" s="45" t="s">
        <v>747</v>
      </c>
      <c r="L6" s="48">
        <v>975</v>
      </c>
      <c r="M6" s="49">
        <v>20241115403</v>
      </c>
      <c r="N6" s="50" t="s">
        <v>28</v>
      </c>
      <c r="O6" s="50"/>
      <c r="P6" s="50"/>
      <c r="Q6" s="51"/>
      <c r="R6" s="50"/>
      <c r="S6" s="50"/>
      <c r="T6" s="51"/>
      <c r="U6" s="50"/>
    </row>
    <row r="7" spans="1:21" x14ac:dyDescent="0.25">
      <c r="A7" s="45" t="s">
        <v>20</v>
      </c>
      <c r="B7" s="46">
        <v>45757</v>
      </c>
      <c r="C7" s="45" t="s">
        <v>21</v>
      </c>
      <c r="D7" s="47" t="s">
        <v>168</v>
      </c>
      <c r="E7" s="45" t="s">
        <v>22</v>
      </c>
      <c r="F7" s="45" t="s">
        <v>23</v>
      </c>
      <c r="G7" s="45" t="s">
        <v>263</v>
      </c>
      <c r="H7" s="45" t="s">
        <v>1442</v>
      </c>
      <c r="I7" s="45" t="s">
        <v>2047</v>
      </c>
      <c r="J7" s="45">
        <v>609544850</v>
      </c>
      <c r="K7" s="45" t="s">
        <v>765</v>
      </c>
      <c r="L7" s="48">
        <v>68.260000000000005</v>
      </c>
      <c r="M7" s="49">
        <v>202411181017</v>
      </c>
      <c r="N7" s="50" t="s">
        <v>28</v>
      </c>
      <c r="O7" s="50"/>
      <c r="P7" s="50"/>
      <c r="Q7" s="51"/>
      <c r="R7" s="50"/>
      <c r="S7" s="50"/>
      <c r="T7" s="51"/>
      <c r="U7" s="50"/>
    </row>
    <row r="8" spans="1:21" x14ac:dyDescent="0.25">
      <c r="A8" s="45" t="s">
        <v>20</v>
      </c>
      <c r="B8" s="46">
        <v>45757</v>
      </c>
      <c r="C8" s="45" t="s">
        <v>21</v>
      </c>
      <c r="D8" s="47" t="s">
        <v>168</v>
      </c>
      <c r="E8" s="45" t="s">
        <v>22</v>
      </c>
      <c r="F8" s="45" t="s">
        <v>23</v>
      </c>
      <c r="G8" s="45" t="s">
        <v>1646</v>
      </c>
      <c r="H8" s="45" t="s">
        <v>2048</v>
      </c>
      <c r="I8" s="45" t="s">
        <v>2049</v>
      </c>
      <c r="J8" s="45">
        <v>612560002</v>
      </c>
      <c r="K8" s="45" t="s">
        <v>436</v>
      </c>
      <c r="L8" s="48">
        <v>55</v>
      </c>
      <c r="M8" s="49">
        <v>202411181245</v>
      </c>
      <c r="N8" s="50" t="s">
        <v>28</v>
      </c>
      <c r="O8" s="50"/>
      <c r="P8" s="50"/>
      <c r="Q8" s="51"/>
      <c r="R8" s="50"/>
      <c r="S8" s="50"/>
      <c r="T8" s="51"/>
      <c r="U8" s="50"/>
    </row>
    <row r="9" spans="1:21" x14ac:dyDescent="0.25">
      <c r="A9" s="45" t="s">
        <v>20</v>
      </c>
      <c r="B9" s="46">
        <v>45757</v>
      </c>
      <c r="C9" s="45" t="s">
        <v>21</v>
      </c>
      <c r="D9" s="47" t="s">
        <v>168</v>
      </c>
      <c r="E9" s="45" t="s">
        <v>22</v>
      </c>
      <c r="F9" s="45" t="s">
        <v>23</v>
      </c>
      <c r="G9" s="45" t="s">
        <v>1646</v>
      </c>
      <c r="H9" s="45" t="s">
        <v>2048</v>
      </c>
      <c r="I9" s="45" t="s">
        <v>2049</v>
      </c>
      <c r="J9" s="45">
        <v>612560002</v>
      </c>
      <c r="K9" s="45" t="s">
        <v>436</v>
      </c>
      <c r="L9" s="48">
        <v>55</v>
      </c>
      <c r="M9" s="49">
        <v>202411181233</v>
      </c>
      <c r="N9" s="50" t="s">
        <v>28</v>
      </c>
      <c r="O9" s="50"/>
      <c r="P9" s="50"/>
      <c r="Q9" s="51"/>
      <c r="R9" s="50"/>
      <c r="S9" s="50"/>
      <c r="T9" s="51"/>
      <c r="U9" s="50"/>
    </row>
    <row r="10" spans="1:21" x14ac:dyDescent="0.25">
      <c r="A10" s="45" t="s">
        <v>20</v>
      </c>
      <c r="B10" s="46">
        <v>45757</v>
      </c>
      <c r="C10" s="45" t="s">
        <v>21</v>
      </c>
      <c r="D10" s="47" t="s">
        <v>168</v>
      </c>
      <c r="E10" s="45" t="s">
        <v>22</v>
      </c>
      <c r="F10" s="45" t="s">
        <v>23</v>
      </c>
      <c r="G10" s="45" t="s">
        <v>1646</v>
      </c>
      <c r="H10" s="45" t="s">
        <v>2048</v>
      </c>
      <c r="I10" s="45" t="s">
        <v>2049</v>
      </c>
      <c r="J10" s="45">
        <v>612560002</v>
      </c>
      <c r="K10" s="45" t="s">
        <v>1973</v>
      </c>
      <c r="L10" s="48">
        <v>811.9</v>
      </c>
      <c r="M10" s="49">
        <v>202411181143</v>
      </c>
      <c r="N10" s="50" t="s">
        <v>28</v>
      </c>
      <c r="O10" s="50"/>
      <c r="P10" s="50"/>
      <c r="Q10" s="51"/>
      <c r="R10" s="50"/>
      <c r="S10" s="50"/>
      <c r="T10" s="51"/>
      <c r="U10" s="50"/>
    </row>
    <row r="11" spans="1:21" x14ac:dyDescent="0.25">
      <c r="A11" s="45" t="s">
        <v>20</v>
      </c>
      <c r="B11" s="46">
        <v>45757</v>
      </c>
      <c r="C11" s="45" t="s">
        <v>21</v>
      </c>
      <c r="D11" s="47" t="s">
        <v>168</v>
      </c>
      <c r="E11" s="45" t="s">
        <v>22</v>
      </c>
      <c r="F11" s="45" t="s">
        <v>23</v>
      </c>
      <c r="G11" s="45" t="s">
        <v>1646</v>
      </c>
      <c r="H11" s="45" t="s">
        <v>2048</v>
      </c>
      <c r="I11" s="45" t="s">
        <v>2049</v>
      </c>
      <c r="J11" s="45">
        <v>612560002</v>
      </c>
      <c r="K11" s="45" t="s">
        <v>358</v>
      </c>
      <c r="L11" s="48">
        <v>361.92</v>
      </c>
      <c r="M11" s="49">
        <v>202411181268</v>
      </c>
      <c r="N11" s="50" t="s">
        <v>28</v>
      </c>
      <c r="O11" s="50"/>
      <c r="P11" s="50"/>
      <c r="Q11" s="51"/>
      <c r="R11" s="50"/>
      <c r="S11" s="50"/>
      <c r="T11" s="51"/>
      <c r="U11" s="50"/>
    </row>
    <row r="12" spans="1:21" ht="75" x14ac:dyDescent="0.25">
      <c r="A12" s="45" t="s">
        <v>20</v>
      </c>
      <c r="B12" s="46">
        <v>45758</v>
      </c>
      <c r="C12" s="45" t="s">
        <v>244</v>
      </c>
      <c r="D12" s="47" t="s">
        <v>168</v>
      </c>
      <c r="E12" s="45" t="s">
        <v>22</v>
      </c>
      <c r="F12" s="45" t="s">
        <v>23</v>
      </c>
      <c r="G12" s="45" t="s">
        <v>263</v>
      </c>
      <c r="H12" s="45" t="s">
        <v>635</v>
      </c>
      <c r="I12" s="45" t="s">
        <v>1451</v>
      </c>
      <c r="J12" s="45">
        <v>614942757</v>
      </c>
      <c r="K12" s="45" t="s">
        <v>2050</v>
      </c>
      <c r="L12" s="48">
        <v>202.4</v>
      </c>
      <c r="M12" s="49">
        <v>20241118980</v>
      </c>
      <c r="N12" s="50"/>
      <c r="O12" s="50" t="s">
        <v>124</v>
      </c>
      <c r="P12" s="50"/>
      <c r="Q12" s="51" t="s">
        <v>2051</v>
      </c>
      <c r="R12" s="50"/>
      <c r="S12" s="50"/>
      <c r="T12" s="51"/>
      <c r="U12" s="50"/>
    </row>
    <row r="13" spans="1:21" x14ac:dyDescent="0.25">
      <c r="A13" s="45" t="s">
        <v>20</v>
      </c>
      <c r="B13" s="46">
        <v>45758</v>
      </c>
      <c r="C13" s="45" t="s">
        <v>244</v>
      </c>
      <c r="D13" s="47" t="s">
        <v>168</v>
      </c>
      <c r="E13" s="45" t="s">
        <v>22</v>
      </c>
      <c r="F13" s="45" t="s">
        <v>23</v>
      </c>
      <c r="G13" s="45" t="s">
        <v>263</v>
      </c>
      <c r="H13" s="45" t="s">
        <v>1044</v>
      </c>
      <c r="I13" s="45" t="s">
        <v>2052</v>
      </c>
      <c r="J13" s="45">
        <v>615369720</v>
      </c>
      <c r="K13" s="45" t="s">
        <v>2050</v>
      </c>
      <c r="L13" s="48">
        <v>34.74</v>
      </c>
      <c r="M13" s="49">
        <v>20241118912</v>
      </c>
      <c r="N13" s="50" t="s">
        <v>28</v>
      </c>
      <c r="O13" s="50"/>
      <c r="P13" s="50"/>
      <c r="Q13" s="51"/>
      <c r="R13" s="50"/>
      <c r="S13" s="50"/>
      <c r="T13" s="51"/>
      <c r="U13" s="50"/>
    </row>
    <row r="14" spans="1:21" x14ac:dyDescent="0.25">
      <c r="A14" s="45" t="s">
        <v>20</v>
      </c>
      <c r="B14" s="46">
        <v>45758</v>
      </c>
      <c r="C14" s="45" t="s">
        <v>244</v>
      </c>
      <c r="D14" s="47" t="s">
        <v>168</v>
      </c>
      <c r="E14" s="45" t="s">
        <v>22</v>
      </c>
      <c r="F14" s="45" t="s">
        <v>23</v>
      </c>
      <c r="G14" s="45" t="s">
        <v>263</v>
      </c>
      <c r="H14" s="45" t="s">
        <v>1044</v>
      </c>
      <c r="I14" s="45" t="s">
        <v>2052</v>
      </c>
      <c r="J14" s="45">
        <v>615369720</v>
      </c>
      <c r="K14" s="45" t="s">
        <v>318</v>
      </c>
      <c r="L14" s="48">
        <v>538</v>
      </c>
      <c r="M14" s="49">
        <v>20241118743</v>
      </c>
      <c r="N14" s="50" t="s">
        <v>28</v>
      </c>
      <c r="O14" s="50"/>
      <c r="P14" s="50"/>
      <c r="Q14" s="51"/>
      <c r="R14" s="50"/>
      <c r="S14" s="50"/>
      <c r="T14" s="51"/>
      <c r="U14" s="50"/>
    </row>
    <row r="15" spans="1:21" x14ac:dyDescent="0.25">
      <c r="A15" s="45" t="s">
        <v>20</v>
      </c>
      <c r="B15" s="46">
        <v>45758</v>
      </c>
      <c r="C15" s="45" t="s">
        <v>244</v>
      </c>
      <c r="D15" s="47" t="s">
        <v>168</v>
      </c>
      <c r="E15" s="45" t="s">
        <v>22</v>
      </c>
      <c r="F15" s="45" t="s">
        <v>23</v>
      </c>
      <c r="G15" s="45" t="s">
        <v>1646</v>
      </c>
      <c r="H15" s="45" t="s">
        <v>2053</v>
      </c>
      <c r="I15" s="45" t="s">
        <v>2054</v>
      </c>
      <c r="J15" s="45">
        <v>615461693</v>
      </c>
      <c r="K15" s="45" t="s">
        <v>2055</v>
      </c>
      <c r="L15" s="48">
        <v>17.71</v>
      </c>
      <c r="M15" s="49">
        <v>202411181201</v>
      </c>
      <c r="N15" s="50" t="s">
        <v>28</v>
      </c>
      <c r="O15" s="50"/>
      <c r="P15" s="50"/>
      <c r="Q15" s="51"/>
      <c r="R15" s="50"/>
      <c r="S15" s="50"/>
      <c r="T15" s="51"/>
      <c r="U15" s="50"/>
    </row>
    <row r="16" spans="1:21" x14ac:dyDescent="0.25">
      <c r="A16" s="45" t="s">
        <v>20</v>
      </c>
      <c r="B16" s="46">
        <v>45758</v>
      </c>
      <c r="C16" s="45" t="s">
        <v>244</v>
      </c>
      <c r="D16" s="47" t="s">
        <v>168</v>
      </c>
      <c r="E16" s="45" t="s">
        <v>22</v>
      </c>
      <c r="F16" s="45" t="s">
        <v>23</v>
      </c>
      <c r="G16" s="45" t="s">
        <v>1646</v>
      </c>
      <c r="H16" s="45" t="s">
        <v>2053</v>
      </c>
      <c r="I16" s="45" t="s">
        <v>2054</v>
      </c>
      <c r="J16" s="45">
        <v>615461693</v>
      </c>
      <c r="K16" s="45" t="s">
        <v>2055</v>
      </c>
      <c r="L16" s="48">
        <v>7.29</v>
      </c>
      <c r="M16" s="49">
        <v>202411181108</v>
      </c>
      <c r="N16" s="50" t="s">
        <v>28</v>
      </c>
      <c r="O16" s="50"/>
      <c r="P16" s="50"/>
      <c r="Q16" s="51"/>
      <c r="R16" s="50"/>
      <c r="S16" s="50"/>
      <c r="T16" s="51"/>
      <c r="U16" s="50"/>
    </row>
    <row r="17" spans="1:21" x14ac:dyDescent="0.25">
      <c r="A17" s="45" t="s">
        <v>20</v>
      </c>
      <c r="B17" s="46">
        <v>45758</v>
      </c>
      <c r="C17" s="45" t="s">
        <v>244</v>
      </c>
      <c r="D17" s="47" t="s">
        <v>168</v>
      </c>
      <c r="E17" s="45" t="s">
        <v>22</v>
      </c>
      <c r="F17" s="45" t="s">
        <v>23</v>
      </c>
      <c r="G17" s="45" t="s">
        <v>1646</v>
      </c>
      <c r="H17" s="45" t="s">
        <v>1015</v>
      </c>
      <c r="I17" s="45" t="s">
        <v>2014</v>
      </c>
      <c r="J17" s="45">
        <v>617551364</v>
      </c>
      <c r="K17" s="45" t="s">
        <v>891</v>
      </c>
      <c r="L17" s="48">
        <v>54.6</v>
      </c>
      <c r="M17" s="49">
        <v>202411181174</v>
      </c>
      <c r="N17" s="50" t="s">
        <v>28</v>
      </c>
      <c r="O17" s="50"/>
      <c r="P17" s="50"/>
      <c r="Q17" s="51"/>
      <c r="R17" s="50"/>
      <c r="S17" s="50"/>
      <c r="T17" s="51"/>
      <c r="U17" s="50"/>
    </row>
    <row r="18" spans="1:21" x14ac:dyDescent="0.25">
      <c r="A18" s="45" t="s">
        <v>20</v>
      </c>
      <c r="B18" s="46">
        <v>45758</v>
      </c>
      <c r="C18" s="45" t="s">
        <v>244</v>
      </c>
      <c r="D18" s="47" t="s">
        <v>168</v>
      </c>
      <c r="E18" s="45" t="s">
        <v>22</v>
      </c>
      <c r="F18" s="45" t="s">
        <v>23</v>
      </c>
      <c r="G18" s="45" t="s">
        <v>1646</v>
      </c>
      <c r="H18" s="45" t="s">
        <v>1015</v>
      </c>
      <c r="I18" s="45" t="s">
        <v>2014</v>
      </c>
      <c r="J18" s="45">
        <v>617551364</v>
      </c>
      <c r="K18" s="45" t="s">
        <v>213</v>
      </c>
      <c r="L18" s="48">
        <v>25</v>
      </c>
      <c r="M18" s="49">
        <v>202411181278</v>
      </c>
      <c r="N18" s="50" t="s">
        <v>28</v>
      </c>
      <c r="O18" s="50"/>
      <c r="P18" s="50"/>
      <c r="Q18" s="51"/>
      <c r="R18" s="50"/>
      <c r="S18" s="50"/>
      <c r="T18" s="51"/>
      <c r="U18" s="50"/>
    </row>
    <row r="19" spans="1:21" x14ac:dyDescent="0.25">
      <c r="A19" s="45" t="s">
        <v>20</v>
      </c>
      <c r="B19" s="46">
        <v>45758</v>
      </c>
      <c r="C19" s="45" t="s">
        <v>244</v>
      </c>
      <c r="D19" s="47" t="s">
        <v>168</v>
      </c>
      <c r="E19" s="45" t="s">
        <v>22</v>
      </c>
      <c r="F19" s="45" t="s">
        <v>23</v>
      </c>
      <c r="G19" s="45" t="s">
        <v>2056</v>
      </c>
      <c r="H19" s="45" t="s">
        <v>2057</v>
      </c>
      <c r="I19" s="45" t="s">
        <v>2058</v>
      </c>
      <c r="J19" s="45">
        <v>619362303</v>
      </c>
      <c r="K19" s="45" t="s">
        <v>1593</v>
      </c>
      <c r="L19" s="48">
        <v>490</v>
      </c>
      <c r="M19" s="49">
        <v>20241106695</v>
      </c>
      <c r="N19" s="50" t="s">
        <v>28</v>
      </c>
      <c r="O19" s="50"/>
      <c r="P19" s="50"/>
      <c r="Q19" s="51"/>
      <c r="R19" s="50"/>
      <c r="S19" s="50"/>
      <c r="T19" s="51"/>
      <c r="U19" s="50"/>
    </row>
    <row r="20" spans="1:21" x14ac:dyDescent="0.25">
      <c r="A20" s="45" t="s">
        <v>20</v>
      </c>
      <c r="B20" s="46">
        <v>45758</v>
      </c>
      <c r="C20" s="45" t="s">
        <v>244</v>
      </c>
      <c r="D20" s="47" t="s">
        <v>168</v>
      </c>
      <c r="E20" s="45" t="s">
        <v>22</v>
      </c>
      <c r="F20" s="45" t="s">
        <v>23</v>
      </c>
      <c r="G20" s="45" t="s">
        <v>2056</v>
      </c>
      <c r="H20" s="45" t="s">
        <v>2057</v>
      </c>
      <c r="I20" s="45" t="s">
        <v>2058</v>
      </c>
      <c r="J20" s="45">
        <v>619362303</v>
      </c>
      <c r="K20" s="45" t="s">
        <v>1593</v>
      </c>
      <c r="L20" s="48">
        <v>12</v>
      </c>
      <c r="M20" s="49">
        <v>20241106742</v>
      </c>
      <c r="N20" s="50" t="s">
        <v>28</v>
      </c>
      <c r="O20" s="50"/>
      <c r="P20" s="50"/>
      <c r="Q20" s="51"/>
      <c r="R20" s="50"/>
      <c r="S20" s="50"/>
      <c r="T20" s="51"/>
      <c r="U20" s="50"/>
    </row>
    <row r="21" spans="1:21" x14ac:dyDescent="0.25">
      <c r="A21" s="45" t="s">
        <v>20</v>
      </c>
      <c r="B21" s="46">
        <v>45758</v>
      </c>
      <c r="C21" s="45" t="s">
        <v>244</v>
      </c>
      <c r="D21" s="47" t="s">
        <v>168</v>
      </c>
      <c r="E21" s="45" t="s">
        <v>64</v>
      </c>
      <c r="F21" s="45" t="s">
        <v>65</v>
      </c>
      <c r="G21" s="45" t="s">
        <v>30</v>
      </c>
      <c r="H21" s="45" t="s">
        <v>2059</v>
      </c>
      <c r="I21" s="45" t="s">
        <v>2060</v>
      </c>
      <c r="J21" s="45">
        <v>565924111</v>
      </c>
      <c r="K21" s="45" t="s">
        <v>1990</v>
      </c>
      <c r="L21" s="48">
        <v>25.63</v>
      </c>
      <c r="M21" s="49">
        <v>202411181144</v>
      </c>
      <c r="N21" s="50" t="s">
        <v>28</v>
      </c>
      <c r="O21" s="50"/>
      <c r="P21" s="50"/>
      <c r="Q21" s="51"/>
      <c r="R21" s="50"/>
      <c r="S21" s="50"/>
      <c r="T21" s="51"/>
      <c r="U21" s="50"/>
    </row>
    <row r="22" spans="1:21" x14ac:dyDescent="0.25">
      <c r="A22" s="45" t="s">
        <v>20</v>
      </c>
      <c r="B22" s="46">
        <v>45758</v>
      </c>
      <c r="C22" s="45" t="s">
        <v>244</v>
      </c>
      <c r="D22" s="47" t="s">
        <v>168</v>
      </c>
      <c r="E22" s="45" t="s">
        <v>64</v>
      </c>
      <c r="F22" s="45" t="s">
        <v>65</v>
      </c>
      <c r="G22" s="45" t="s">
        <v>30</v>
      </c>
      <c r="H22" s="45" t="s">
        <v>2059</v>
      </c>
      <c r="I22" s="45" t="s">
        <v>2060</v>
      </c>
      <c r="J22" s="45">
        <v>565924111</v>
      </c>
      <c r="K22" s="45" t="s">
        <v>1025</v>
      </c>
      <c r="L22" s="48">
        <v>13.77</v>
      </c>
      <c r="M22" s="49">
        <v>202411181200</v>
      </c>
      <c r="N22" s="50" t="s">
        <v>28</v>
      </c>
      <c r="O22" s="50"/>
      <c r="P22" s="50"/>
      <c r="Q22" s="51"/>
      <c r="R22" s="50"/>
      <c r="S22" s="50"/>
      <c r="T22" s="51"/>
      <c r="U22" s="50"/>
    </row>
    <row r="23" spans="1:21" x14ac:dyDescent="0.25">
      <c r="A23" s="45" t="s">
        <v>20</v>
      </c>
      <c r="B23" s="46">
        <v>45758</v>
      </c>
      <c r="C23" s="45" t="s">
        <v>244</v>
      </c>
      <c r="D23" s="47" t="s">
        <v>168</v>
      </c>
      <c r="E23" s="45" t="s">
        <v>64</v>
      </c>
      <c r="F23" s="45" t="s">
        <v>65</v>
      </c>
      <c r="G23" s="45" t="s">
        <v>30</v>
      </c>
      <c r="H23" s="45" t="s">
        <v>2059</v>
      </c>
      <c r="I23" s="45" t="s">
        <v>2060</v>
      </c>
      <c r="J23" s="45">
        <v>565924111</v>
      </c>
      <c r="K23" s="45" t="s">
        <v>1187</v>
      </c>
      <c r="L23" s="48">
        <v>344.08</v>
      </c>
      <c r="M23" s="49">
        <v>202411181162</v>
      </c>
      <c r="N23" s="50" t="s">
        <v>28</v>
      </c>
      <c r="O23" s="50"/>
      <c r="P23" s="50"/>
      <c r="Q23" s="51"/>
      <c r="R23" s="50"/>
      <c r="S23" s="50"/>
      <c r="T23" s="51"/>
      <c r="U23" s="50"/>
    </row>
    <row r="24" spans="1:21" x14ac:dyDescent="0.25">
      <c r="A24" s="45" t="s">
        <v>20</v>
      </c>
      <c r="B24" s="46">
        <v>45758</v>
      </c>
      <c r="C24" s="45" t="s">
        <v>244</v>
      </c>
      <c r="D24" s="47" t="s">
        <v>168</v>
      </c>
      <c r="E24" s="45" t="s">
        <v>64</v>
      </c>
      <c r="F24" s="45" t="s">
        <v>65</v>
      </c>
      <c r="G24" s="45" t="s">
        <v>30</v>
      </c>
      <c r="H24" s="45" t="s">
        <v>2059</v>
      </c>
      <c r="I24" s="45" t="s">
        <v>2060</v>
      </c>
      <c r="J24" s="45">
        <v>565924111</v>
      </c>
      <c r="K24" s="45" t="s">
        <v>2050</v>
      </c>
      <c r="L24" s="48">
        <v>4.7</v>
      </c>
      <c r="M24" s="49">
        <v>202411181298</v>
      </c>
      <c r="N24" s="50" t="s">
        <v>28</v>
      </c>
      <c r="O24" s="50"/>
      <c r="P24" s="50"/>
      <c r="Q24" s="51"/>
      <c r="R24" s="50"/>
      <c r="S24" s="50"/>
      <c r="T24" s="51"/>
      <c r="U24" s="50"/>
    </row>
    <row r="25" spans="1:21" x14ac:dyDescent="0.25">
      <c r="A25" s="45" t="s">
        <v>29</v>
      </c>
      <c r="B25" s="46">
        <v>45758</v>
      </c>
      <c r="C25" s="45" t="s">
        <v>244</v>
      </c>
      <c r="D25" s="47" t="s">
        <v>168</v>
      </c>
      <c r="E25" s="45" t="s">
        <v>64</v>
      </c>
      <c r="F25" s="45" t="s">
        <v>65</v>
      </c>
      <c r="G25" s="45" t="s">
        <v>2061</v>
      </c>
      <c r="H25" s="45" t="s">
        <v>2062</v>
      </c>
      <c r="I25" s="45" t="s">
        <v>2063</v>
      </c>
      <c r="J25" s="45">
        <v>571895573</v>
      </c>
      <c r="K25" s="45" t="s">
        <v>56</v>
      </c>
      <c r="L25" s="48">
        <v>500</v>
      </c>
      <c r="M25" s="49">
        <v>20241121685</v>
      </c>
      <c r="N25" s="50" t="s">
        <v>28</v>
      </c>
      <c r="O25" s="50"/>
      <c r="P25" s="50"/>
      <c r="Q25" s="51"/>
      <c r="R25" s="50"/>
      <c r="S25" s="50"/>
      <c r="T25" s="51"/>
      <c r="U25" s="50"/>
    </row>
    <row r="26" spans="1:21" x14ac:dyDescent="0.25">
      <c r="A26" s="45" t="s">
        <v>20</v>
      </c>
      <c r="B26" s="46">
        <v>45758</v>
      </c>
      <c r="C26" s="45" t="s">
        <v>244</v>
      </c>
      <c r="D26" s="47" t="s">
        <v>168</v>
      </c>
      <c r="E26" s="45" t="s">
        <v>64</v>
      </c>
      <c r="F26" s="45" t="s">
        <v>65</v>
      </c>
      <c r="G26" s="45" t="s">
        <v>263</v>
      </c>
      <c r="H26" s="45" t="s">
        <v>883</v>
      </c>
      <c r="I26" s="45" t="s">
        <v>884</v>
      </c>
      <c r="J26" s="45">
        <v>571958636</v>
      </c>
      <c r="K26" s="45" t="s">
        <v>1005</v>
      </c>
      <c r="L26" s="48">
        <v>6.99</v>
      </c>
      <c r="M26" s="49">
        <v>20241118443</v>
      </c>
      <c r="N26" s="50" t="s">
        <v>28</v>
      </c>
      <c r="O26" s="50"/>
      <c r="P26" s="50"/>
      <c r="Q26" s="51"/>
      <c r="R26" s="50"/>
      <c r="S26" s="50"/>
      <c r="T26" s="51"/>
      <c r="U26" s="50"/>
    </row>
    <row r="27" spans="1:21" x14ac:dyDescent="0.25">
      <c r="A27" s="45" t="s">
        <v>29</v>
      </c>
      <c r="B27" s="46">
        <v>45757</v>
      </c>
      <c r="C27" s="45" t="s">
        <v>34</v>
      </c>
      <c r="D27" s="47"/>
      <c r="E27" s="45" t="s">
        <v>64</v>
      </c>
      <c r="F27" s="45" t="s">
        <v>65</v>
      </c>
      <c r="G27" s="45" t="s">
        <v>376</v>
      </c>
      <c r="H27" s="45" t="s">
        <v>2063</v>
      </c>
      <c r="I27" s="45" t="s">
        <v>2064</v>
      </c>
      <c r="J27" s="45">
        <v>574761396</v>
      </c>
      <c r="K27" s="45" t="s">
        <v>237</v>
      </c>
      <c r="L27" s="48">
        <v>4030</v>
      </c>
      <c r="M27" s="49">
        <v>20241118336</v>
      </c>
      <c r="N27" s="50" t="s">
        <v>28</v>
      </c>
      <c r="O27" s="50"/>
      <c r="P27" s="50"/>
      <c r="Q27" s="51"/>
      <c r="R27" s="50"/>
      <c r="S27" s="50"/>
      <c r="T27" s="51"/>
      <c r="U27" s="50"/>
    </row>
    <row r="28" spans="1:21" x14ac:dyDescent="0.25">
      <c r="A28" s="45" t="s">
        <v>20</v>
      </c>
      <c r="B28" s="46">
        <v>45757</v>
      </c>
      <c r="C28" s="45" t="s">
        <v>34</v>
      </c>
      <c r="D28" s="47"/>
      <c r="E28" s="45" t="s">
        <v>64</v>
      </c>
      <c r="F28" s="45" t="s">
        <v>65</v>
      </c>
      <c r="G28" s="45" t="s">
        <v>30</v>
      </c>
      <c r="H28" s="45" t="s">
        <v>2065</v>
      </c>
      <c r="I28" s="45" t="s">
        <v>2066</v>
      </c>
      <c r="J28" s="45">
        <v>575069426</v>
      </c>
      <c r="K28" s="45" t="s">
        <v>268</v>
      </c>
      <c r="L28" s="48">
        <v>146.93</v>
      </c>
      <c r="M28" s="49">
        <v>202411181343</v>
      </c>
      <c r="N28" s="50" t="s">
        <v>28</v>
      </c>
      <c r="O28" s="50"/>
      <c r="P28" s="50"/>
      <c r="Q28" s="51"/>
      <c r="R28" s="50"/>
      <c r="S28" s="50"/>
      <c r="T28" s="51"/>
      <c r="U28" s="50"/>
    </row>
    <row r="29" spans="1:21" x14ac:dyDescent="0.25">
      <c r="A29" s="45" t="s">
        <v>20</v>
      </c>
      <c r="B29" s="46">
        <v>45757</v>
      </c>
      <c r="C29" s="45" t="s">
        <v>34</v>
      </c>
      <c r="D29" s="47"/>
      <c r="E29" s="45" t="s">
        <v>64</v>
      </c>
      <c r="F29" s="45" t="s">
        <v>65</v>
      </c>
      <c r="G29" s="45" t="s">
        <v>71</v>
      </c>
      <c r="H29" s="45" t="s">
        <v>2067</v>
      </c>
      <c r="I29" s="45" t="s">
        <v>2068</v>
      </c>
      <c r="J29" s="45">
        <v>575111127</v>
      </c>
      <c r="K29" s="45" t="s">
        <v>840</v>
      </c>
      <c r="L29" s="48">
        <v>49.38</v>
      </c>
      <c r="M29" s="49">
        <v>202411181034</v>
      </c>
      <c r="N29" s="50" t="s">
        <v>28</v>
      </c>
      <c r="O29" s="50"/>
      <c r="P29" s="50"/>
      <c r="Q29" s="51"/>
      <c r="R29" s="50"/>
      <c r="S29" s="50"/>
      <c r="T29" s="51"/>
      <c r="U29" s="50"/>
    </row>
    <row r="30" spans="1:21" x14ac:dyDescent="0.25">
      <c r="A30" s="45" t="s">
        <v>20</v>
      </c>
      <c r="B30" s="46">
        <v>45757</v>
      </c>
      <c r="C30" s="45" t="s">
        <v>34</v>
      </c>
      <c r="D30" s="47"/>
      <c r="E30" s="45" t="s">
        <v>64</v>
      </c>
      <c r="F30" s="45" t="s">
        <v>65</v>
      </c>
      <c r="G30" s="45" t="s">
        <v>71</v>
      </c>
      <c r="H30" s="45" t="s">
        <v>2067</v>
      </c>
      <c r="I30" s="45" t="s">
        <v>2068</v>
      </c>
      <c r="J30" s="45">
        <v>575111127</v>
      </c>
      <c r="K30" s="45" t="s">
        <v>1511</v>
      </c>
      <c r="L30" s="48">
        <v>83.76</v>
      </c>
      <c r="M30" s="49">
        <v>202411181023</v>
      </c>
      <c r="N30" s="50" t="s">
        <v>28</v>
      </c>
      <c r="O30" s="50"/>
      <c r="P30" s="50"/>
      <c r="Q30" s="51"/>
      <c r="R30" s="50"/>
      <c r="S30" s="50"/>
      <c r="T30" s="51"/>
      <c r="U30" s="50"/>
    </row>
    <row r="31" spans="1:21" x14ac:dyDescent="0.25">
      <c r="A31" s="45" t="s">
        <v>20</v>
      </c>
      <c r="B31" s="46">
        <v>45757</v>
      </c>
      <c r="C31" s="45" t="s">
        <v>34</v>
      </c>
      <c r="D31" s="47"/>
      <c r="E31" s="45" t="s">
        <v>64</v>
      </c>
      <c r="F31" s="45" t="s">
        <v>65</v>
      </c>
      <c r="G31" s="45" t="s">
        <v>71</v>
      </c>
      <c r="H31" s="45" t="s">
        <v>2067</v>
      </c>
      <c r="I31" s="45" t="s">
        <v>2068</v>
      </c>
      <c r="J31" s="45">
        <v>575111127</v>
      </c>
      <c r="K31" s="45" t="s">
        <v>59</v>
      </c>
      <c r="L31" s="48">
        <v>35.01</v>
      </c>
      <c r="M31" s="49">
        <v>202411181060</v>
      </c>
      <c r="N31" s="50" t="s">
        <v>28</v>
      </c>
      <c r="O31" s="50"/>
      <c r="P31" s="50"/>
      <c r="Q31" s="51"/>
      <c r="R31" s="50"/>
      <c r="S31" s="50"/>
      <c r="T31" s="51"/>
      <c r="U31" s="50"/>
    </row>
    <row r="32" spans="1:21" x14ac:dyDescent="0.25">
      <c r="A32" s="45" t="s">
        <v>29</v>
      </c>
      <c r="B32" s="46">
        <v>45757</v>
      </c>
      <c r="C32" s="45" t="s">
        <v>34</v>
      </c>
      <c r="D32" s="47"/>
      <c r="E32" s="45" t="s">
        <v>64</v>
      </c>
      <c r="F32" s="45" t="s">
        <v>65</v>
      </c>
      <c r="G32" s="45" t="s">
        <v>1965</v>
      </c>
      <c r="H32" s="45" t="s">
        <v>2069</v>
      </c>
      <c r="I32" s="45" t="s">
        <v>2070</v>
      </c>
      <c r="J32" s="45">
        <v>575215029</v>
      </c>
      <c r="K32" s="45" t="s">
        <v>978</v>
      </c>
      <c r="L32" s="48">
        <v>2600</v>
      </c>
      <c r="M32" s="49">
        <v>20241113238</v>
      </c>
      <c r="N32" s="50" t="s">
        <v>28</v>
      </c>
      <c r="O32" s="50"/>
      <c r="P32" s="50"/>
      <c r="Q32" s="51"/>
      <c r="R32" s="50"/>
      <c r="S32" s="50"/>
      <c r="T32" s="51"/>
      <c r="U32" s="50"/>
    </row>
    <row r="33" spans="1:21" x14ac:dyDescent="0.25">
      <c r="A33" s="45" t="s">
        <v>20</v>
      </c>
      <c r="B33" s="46">
        <v>45757</v>
      </c>
      <c r="C33" s="45" t="s">
        <v>34</v>
      </c>
      <c r="D33" s="47"/>
      <c r="E33" s="45" t="s">
        <v>64</v>
      </c>
      <c r="F33" s="45" t="s">
        <v>65</v>
      </c>
      <c r="G33" s="45" t="s">
        <v>148</v>
      </c>
      <c r="H33" s="45" t="s">
        <v>2071</v>
      </c>
      <c r="I33" s="45" t="s">
        <v>2072</v>
      </c>
      <c r="J33" s="45">
        <v>575234244</v>
      </c>
      <c r="K33" s="45" t="s">
        <v>2073</v>
      </c>
      <c r="L33" s="48">
        <v>19.75</v>
      </c>
      <c r="M33" s="49">
        <v>202411181001</v>
      </c>
      <c r="N33" s="50" t="s">
        <v>28</v>
      </c>
      <c r="O33" s="50"/>
      <c r="P33" s="50"/>
      <c r="Q33" s="51"/>
      <c r="R33" s="50"/>
      <c r="S33" s="50"/>
      <c r="T33" s="51"/>
      <c r="U33" s="50"/>
    </row>
    <row r="34" spans="1:21" x14ac:dyDescent="0.25">
      <c r="A34" s="45" t="s">
        <v>20</v>
      </c>
      <c r="B34" s="46">
        <v>45757</v>
      </c>
      <c r="C34" s="45" t="s">
        <v>34</v>
      </c>
      <c r="D34" s="47"/>
      <c r="E34" s="45" t="s">
        <v>64</v>
      </c>
      <c r="F34" s="45" t="s">
        <v>65</v>
      </c>
      <c r="G34" s="45" t="s">
        <v>30</v>
      </c>
      <c r="H34" s="45" t="s">
        <v>2074</v>
      </c>
      <c r="I34" s="45" t="s">
        <v>2075</v>
      </c>
      <c r="J34" s="45">
        <v>575314431</v>
      </c>
      <c r="K34" s="45" t="s">
        <v>119</v>
      </c>
      <c r="L34" s="48">
        <v>2.61</v>
      </c>
      <c r="M34" s="49">
        <v>202411181321</v>
      </c>
      <c r="N34" s="50" t="s">
        <v>28</v>
      </c>
      <c r="O34" s="50"/>
      <c r="P34" s="50"/>
      <c r="Q34" s="51"/>
      <c r="R34" s="50"/>
      <c r="S34" s="50"/>
      <c r="T34" s="51"/>
      <c r="U34" s="50"/>
    </row>
    <row r="35" spans="1:21" x14ac:dyDescent="0.25">
      <c r="A35" s="45" t="s">
        <v>20</v>
      </c>
      <c r="B35" s="46">
        <v>45757</v>
      </c>
      <c r="C35" s="45" t="s">
        <v>34</v>
      </c>
      <c r="D35" s="47"/>
      <c r="E35" s="45" t="s">
        <v>64</v>
      </c>
      <c r="F35" s="45" t="s">
        <v>65</v>
      </c>
      <c r="G35" s="45" t="s">
        <v>30</v>
      </c>
      <c r="H35" s="45" t="s">
        <v>2074</v>
      </c>
      <c r="I35" s="45" t="s">
        <v>2075</v>
      </c>
      <c r="J35" s="45">
        <v>575314431</v>
      </c>
      <c r="K35" s="45" t="s">
        <v>1227</v>
      </c>
      <c r="L35" s="48">
        <v>12</v>
      </c>
      <c r="M35" s="49">
        <v>202411181322</v>
      </c>
      <c r="N35" s="50" t="s">
        <v>28</v>
      </c>
      <c r="O35" s="50"/>
      <c r="P35" s="50"/>
      <c r="Q35" s="51"/>
      <c r="R35" s="50"/>
      <c r="S35" s="50"/>
      <c r="T35" s="51"/>
      <c r="U35" s="50"/>
    </row>
    <row r="36" spans="1:21" x14ac:dyDescent="0.25">
      <c r="A36" s="45" t="s">
        <v>20</v>
      </c>
      <c r="B36" s="46">
        <v>45757</v>
      </c>
      <c r="C36" s="45" t="s">
        <v>34</v>
      </c>
      <c r="D36" s="47"/>
      <c r="E36" s="45" t="s">
        <v>107</v>
      </c>
      <c r="F36" s="45" t="s">
        <v>108</v>
      </c>
      <c r="G36" s="45" t="s">
        <v>178</v>
      </c>
      <c r="H36" s="45" t="s">
        <v>2076</v>
      </c>
      <c r="I36" s="45" t="s">
        <v>1095</v>
      </c>
      <c r="J36" s="45">
        <v>585942960</v>
      </c>
      <c r="K36" s="45" t="s">
        <v>1511</v>
      </c>
      <c r="L36" s="48">
        <v>81.290000000000006</v>
      </c>
      <c r="M36" s="49">
        <v>20241119618</v>
      </c>
      <c r="N36" s="50"/>
      <c r="O36" s="50"/>
      <c r="P36" s="50" t="s">
        <v>304</v>
      </c>
      <c r="Q36" s="51" t="s">
        <v>2077</v>
      </c>
      <c r="R36" s="50"/>
      <c r="S36" s="50"/>
      <c r="T36" s="51"/>
      <c r="U36" s="50"/>
    </row>
    <row r="37" spans="1:21" x14ac:dyDescent="0.25">
      <c r="A37" s="45" t="s">
        <v>20</v>
      </c>
      <c r="B37" s="46">
        <v>45757</v>
      </c>
      <c r="C37" s="45" t="s">
        <v>34</v>
      </c>
      <c r="D37" s="47"/>
      <c r="E37" s="45" t="s">
        <v>107</v>
      </c>
      <c r="F37" s="45" t="s">
        <v>108</v>
      </c>
      <c r="G37" s="45" t="s">
        <v>178</v>
      </c>
      <c r="H37" s="45" t="s">
        <v>2076</v>
      </c>
      <c r="I37" s="45" t="s">
        <v>1095</v>
      </c>
      <c r="J37" s="45">
        <v>585942960</v>
      </c>
      <c r="K37" s="45" t="s">
        <v>367</v>
      </c>
      <c r="L37" s="48">
        <v>95</v>
      </c>
      <c r="M37" s="49">
        <v>20241119644</v>
      </c>
      <c r="N37" s="50"/>
      <c r="O37" s="50"/>
      <c r="P37" s="50" t="s">
        <v>304</v>
      </c>
      <c r="Q37" s="51" t="s">
        <v>2078</v>
      </c>
      <c r="R37" s="50"/>
      <c r="S37" s="50"/>
      <c r="T37" s="51"/>
      <c r="U37" s="50"/>
    </row>
    <row r="38" spans="1:21" ht="75" x14ac:dyDescent="0.25">
      <c r="A38" s="45" t="s">
        <v>20</v>
      </c>
      <c r="B38" s="46">
        <v>45757</v>
      </c>
      <c r="C38" s="45" t="s">
        <v>34</v>
      </c>
      <c r="D38" s="47"/>
      <c r="E38" s="45" t="s">
        <v>107</v>
      </c>
      <c r="F38" s="45" t="s">
        <v>108</v>
      </c>
      <c r="G38" s="45" t="s">
        <v>178</v>
      </c>
      <c r="H38" s="45" t="s">
        <v>2076</v>
      </c>
      <c r="I38" s="45" t="s">
        <v>1095</v>
      </c>
      <c r="J38" s="45">
        <v>585942960</v>
      </c>
      <c r="K38" s="45" t="s">
        <v>2079</v>
      </c>
      <c r="L38" s="48">
        <v>70</v>
      </c>
      <c r="M38" s="49">
        <v>20241119610</v>
      </c>
      <c r="N38" s="50"/>
      <c r="O38" s="50" t="s">
        <v>124</v>
      </c>
      <c r="P38" s="50"/>
      <c r="Q38" s="51" t="s">
        <v>2080</v>
      </c>
      <c r="R38" s="50"/>
      <c r="S38" s="50"/>
      <c r="T38" s="51"/>
      <c r="U38" s="50"/>
    </row>
    <row r="39" spans="1:21" x14ac:dyDescent="0.25">
      <c r="A39" s="45" t="s">
        <v>20</v>
      </c>
      <c r="B39" s="46">
        <v>45757</v>
      </c>
      <c r="C39" s="45" t="s">
        <v>34</v>
      </c>
      <c r="D39" s="47"/>
      <c r="E39" s="45" t="s">
        <v>107</v>
      </c>
      <c r="F39" s="45" t="s">
        <v>108</v>
      </c>
      <c r="G39" s="45" t="s">
        <v>2081</v>
      </c>
      <c r="H39" s="45" t="s">
        <v>2082</v>
      </c>
      <c r="I39" s="45" t="s">
        <v>2083</v>
      </c>
      <c r="J39" s="45">
        <v>589521181</v>
      </c>
      <c r="K39" s="45" t="s">
        <v>1702</v>
      </c>
      <c r="L39" s="48">
        <v>161.36000000000001</v>
      </c>
      <c r="M39" s="49">
        <v>20241121239</v>
      </c>
      <c r="N39" s="50" t="s">
        <v>28</v>
      </c>
      <c r="O39" s="50"/>
      <c r="P39" s="50"/>
      <c r="Q39" s="51"/>
      <c r="R39" s="50"/>
      <c r="S39" s="50"/>
      <c r="T39" s="51"/>
      <c r="U39" s="50"/>
    </row>
    <row r="40" spans="1:21" ht="60" x14ac:dyDescent="0.25">
      <c r="A40" s="45" t="s">
        <v>314</v>
      </c>
      <c r="B40" s="46">
        <v>45757</v>
      </c>
      <c r="C40" s="45" t="s">
        <v>34</v>
      </c>
      <c r="D40" s="47"/>
      <c r="E40" s="45" t="s">
        <v>107</v>
      </c>
      <c r="F40" s="45" t="s">
        <v>108</v>
      </c>
      <c r="G40" s="45" t="s">
        <v>2084</v>
      </c>
      <c r="H40" s="45" t="s">
        <v>2085</v>
      </c>
      <c r="I40" s="45" t="s">
        <v>2086</v>
      </c>
      <c r="J40" s="45">
        <v>590256045</v>
      </c>
      <c r="K40" s="45" t="s">
        <v>2087</v>
      </c>
      <c r="L40" s="48">
        <v>349</v>
      </c>
      <c r="M40" s="49">
        <v>20241118172</v>
      </c>
      <c r="N40" s="50"/>
      <c r="O40" s="50" t="s">
        <v>124</v>
      </c>
      <c r="P40" s="50"/>
      <c r="Q40" s="51" t="s">
        <v>2088</v>
      </c>
      <c r="R40" s="50"/>
      <c r="S40" s="50"/>
      <c r="T40" s="51"/>
      <c r="U40" s="50"/>
    </row>
    <row r="41" spans="1:21" x14ac:dyDescent="0.25">
      <c r="A41" s="45" t="s">
        <v>29</v>
      </c>
      <c r="B41" s="46">
        <v>45757</v>
      </c>
      <c r="C41" s="45" t="s">
        <v>34</v>
      </c>
      <c r="D41" s="47"/>
      <c r="E41" s="45" t="s">
        <v>107</v>
      </c>
      <c r="F41" s="45" t="s">
        <v>108</v>
      </c>
      <c r="G41" s="45" t="s">
        <v>2089</v>
      </c>
      <c r="H41" s="45" t="s">
        <v>2090</v>
      </c>
      <c r="I41" s="45" t="s">
        <v>2091</v>
      </c>
      <c r="J41" s="45">
        <v>590679444</v>
      </c>
      <c r="K41" s="45" t="s">
        <v>1702</v>
      </c>
      <c r="L41" s="48">
        <v>228</v>
      </c>
      <c r="M41" s="49">
        <v>20241118647</v>
      </c>
      <c r="N41" s="50" t="s">
        <v>28</v>
      </c>
      <c r="O41" s="50"/>
      <c r="P41" s="50"/>
      <c r="Q41" s="51"/>
      <c r="R41" s="50"/>
      <c r="S41" s="50"/>
      <c r="T41" s="51"/>
      <c r="U41" s="50"/>
    </row>
    <row r="42" spans="1:21" x14ac:dyDescent="0.25">
      <c r="A42" s="45" t="s">
        <v>29</v>
      </c>
      <c r="B42" s="46">
        <v>45757</v>
      </c>
      <c r="C42" s="45" t="s">
        <v>34</v>
      </c>
      <c r="D42" s="47"/>
      <c r="E42" s="45" t="s">
        <v>107</v>
      </c>
      <c r="F42" s="45" t="s">
        <v>108</v>
      </c>
      <c r="G42" s="45" t="s">
        <v>178</v>
      </c>
      <c r="H42" s="45" t="s">
        <v>2092</v>
      </c>
      <c r="I42" s="45" t="s">
        <v>2093</v>
      </c>
      <c r="J42" s="45">
        <v>591133222</v>
      </c>
      <c r="K42" s="45" t="s">
        <v>228</v>
      </c>
      <c r="L42" s="48">
        <v>275</v>
      </c>
      <c r="M42" s="49">
        <v>20241120569</v>
      </c>
      <c r="N42" s="50" t="s">
        <v>28</v>
      </c>
      <c r="O42" s="50"/>
      <c r="P42" s="50"/>
      <c r="Q42" s="51"/>
      <c r="R42" s="50"/>
      <c r="S42" s="50"/>
      <c r="T42" s="51"/>
      <c r="U42" s="50"/>
    </row>
    <row r="43" spans="1:21" x14ac:dyDescent="0.25">
      <c r="A43" s="45" t="s">
        <v>29</v>
      </c>
      <c r="B43" s="46">
        <v>45757</v>
      </c>
      <c r="C43" s="45" t="s">
        <v>34</v>
      </c>
      <c r="D43" s="47"/>
      <c r="E43" s="45" t="s">
        <v>107</v>
      </c>
      <c r="F43" s="45" t="s">
        <v>108</v>
      </c>
      <c r="G43" s="45" t="s">
        <v>2094</v>
      </c>
      <c r="H43" s="45" t="s">
        <v>84</v>
      </c>
      <c r="I43" s="45" t="s">
        <v>2095</v>
      </c>
      <c r="J43" s="45">
        <v>593820742</v>
      </c>
      <c r="K43" s="45" t="s">
        <v>1460</v>
      </c>
      <c r="L43" s="48">
        <v>208</v>
      </c>
      <c r="M43" s="49">
        <v>20241118596</v>
      </c>
      <c r="N43" s="50" t="s">
        <v>28</v>
      </c>
      <c r="O43" s="50"/>
      <c r="P43" s="50"/>
      <c r="Q43" s="51"/>
      <c r="R43" s="50"/>
      <c r="S43" s="50"/>
      <c r="T43" s="51"/>
      <c r="U43" s="50"/>
    </row>
    <row r="44" spans="1:21" x14ac:dyDescent="0.25">
      <c r="A44" s="45" t="s">
        <v>29</v>
      </c>
      <c r="B44" s="46">
        <v>45757</v>
      </c>
      <c r="C44" s="45" t="s">
        <v>34</v>
      </c>
      <c r="D44" s="47"/>
      <c r="E44" s="45" t="s">
        <v>107</v>
      </c>
      <c r="F44" s="45" t="s">
        <v>108</v>
      </c>
      <c r="G44" s="45" t="s">
        <v>2096</v>
      </c>
      <c r="H44" s="45" t="s">
        <v>1281</v>
      </c>
      <c r="I44" s="45" t="s">
        <v>2097</v>
      </c>
      <c r="J44" s="45">
        <v>595385756</v>
      </c>
      <c r="K44" s="45" t="s">
        <v>2098</v>
      </c>
      <c r="L44" s="48">
        <v>190</v>
      </c>
      <c r="M44" s="49">
        <v>20241122461</v>
      </c>
      <c r="N44" s="50" t="s">
        <v>28</v>
      </c>
      <c r="O44" s="50"/>
      <c r="P44" s="50"/>
      <c r="Q44" s="51"/>
      <c r="R44" s="50"/>
      <c r="S44" s="50"/>
      <c r="T44" s="51"/>
      <c r="U44" s="50"/>
    </row>
    <row r="45" spans="1:21" x14ac:dyDescent="0.25">
      <c r="A45" s="45" t="s">
        <v>20</v>
      </c>
      <c r="B45" s="46">
        <v>45757</v>
      </c>
      <c r="C45" s="45" t="s">
        <v>34</v>
      </c>
      <c r="D45" s="47"/>
      <c r="E45" s="45" t="s">
        <v>107</v>
      </c>
      <c r="F45" s="45" t="s">
        <v>108</v>
      </c>
      <c r="G45" s="45" t="s">
        <v>2099</v>
      </c>
      <c r="H45" s="45" t="s">
        <v>2100</v>
      </c>
      <c r="I45" s="45" t="s">
        <v>2101</v>
      </c>
      <c r="J45" s="45">
        <v>595545693</v>
      </c>
      <c r="K45" s="45" t="s">
        <v>2098</v>
      </c>
      <c r="L45" s="48">
        <v>16.63</v>
      </c>
      <c r="M45" s="49">
        <v>20241122387</v>
      </c>
      <c r="N45" s="50" t="s">
        <v>28</v>
      </c>
      <c r="O45" s="50"/>
      <c r="P45" s="50"/>
      <c r="Q45" s="51"/>
      <c r="R45" s="50"/>
      <c r="S45" s="50"/>
      <c r="T45" s="51"/>
      <c r="U45" s="50"/>
    </row>
    <row r="46" spans="1:21" x14ac:dyDescent="0.25">
      <c r="A46" s="45" t="s">
        <v>29</v>
      </c>
      <c r="B46" s="46">
        <v>45757</v>
      </c>
      <c r="C46" s="45" t="s">
        <v>34</v>
      </c>
      <c r="D46" s="47"/>
      <c r="E46" s="45" t="s">
        <v>107</v>
      </c>
      <c r="F46" s="45" t="s">
        <v>108</v>
      </c>
      <c r="G46" s="45" t="s">
        <v>2089</v>
      </c>
      <c r="H46" s="45" t="s">
        <v>2102</v>
      </c>
      <c r="I46" s="45" t="s">
        <v>2103</v>
      </c>
      <c r="J46" s="45">
        <v>595850740</v>
      </c>
      <c r="K46" s="45" t="s">
        <v>187</v>
      </c>
      <c r="L46" s="48">
        <v>601.63</v>
      </c>
      <c r="M46" s="49">
        <v>20241120502</v>
      </c>
      <c r="N46" s="50" t="s">
        <v>28</v>
      </c>
      <c r="O46" s="50"/>
      <c r="P46" s="50"/>
      <c r="Q46" s="51"/>
      <c r="R46" s="50"/>
      <c r="S46" s="50"/>
      <c r="T46" s="51"/>
      <c r="U46" s="50"/>
    </row>
    <row r="47" spans="1:21" ht="60" x14ac:dyDescent="0.25">
      <c r="A47" s="45" t="s">
        <v>70</v>
      </c>
      <c r="B47" s="46">
        <v>45757</v>
      </c>
      <c r="C47" s="45" t="s">
        <v>34</v>
      </c>
      <c r="D47" s="47"/>
      <c r="E47" s="45" t="s">
        <v>107</v>
      </c>
      <c r="F47" s="45" t="s">
        <v>108</v>
      </c>
      <c r="G47" s="45" t="s">
        <v>131</v>
      </c>
      <c r="H47" s="45" t="s">
        <v>2104</v>
      </c>
      <c r="I47" s="45" t="s">
        <v>2105</v>
      </c>
      <c r="J47" s="45">
        <v>601233321</v>
      </c>
      <c r="K47" s="45" t="s">
        <v>1593</v>
      </c>
      <c r="L47" s="48">
        <v>112.5</v>
      </c>
      <c r="M47" s="49">
        <v>20241121440</v>
      </c>
      <c r="N47" s="50"/>
      <c r="O47" s="50"/>
      <c r="P47" s="50" t="s">
        <v>304</v>
      </c>
      <c r="Q47" s="51" t="s">
        <v>2106</v>
      </c>
      <c r="R47" s="50"/>
      <c r="S47" s="50"/>
      <c r="T47" s="51"/>
      <c r="U47" s="50"/>
    </row>
    <row r="48" spans="1:21" x14ac:dyDescent="0.25">
      <c r="A48" s="45" t="s">
        <v>20</v>
      </c>
      <c r="B48" s="46">
        <v>45757</v>
      </c>
      <c r="C48" s="45" t="s">
        <v>34</v>
      </c>
      <c r="D48" s="47"/>
      <c r="E48" s="45" t="s">
        <v>107</v>
      </c>
      <c r="F48" s="45" t="s">
        <v>108</v>
      </c>
      <c r="G48" s="45" t="s">
        <v>263</v>
      </c>
      <c r="H48" s="45" t="s">
        <v>230</v>
      </c>
      <c r="I48" s="45" t="s">
        <v>2107</v>
      </c>
      <c r="J48" s="45">
        <v>601482729</v>
      </c>
      <c r="K48" s="45" t="s">
        <v>1912</v>
      </c>
      <c r="L48" s="48">
        <v>10</v>
      </c>
      <c r="M48" s="49">
        <v>20241118425</v>
      </c>
      <c r="N48" s="50" t="s">
        <v>28</v>
      </c>
      <c r="O48" s="50"/>
      <c r="P48" s="50"/>
      <c r="Q48" s="51"/>
      <c r="R48" s="50"/>
      <c r="S48" s="50"/>
      <c r="T48" s="51"/>
      <c r="U48" s="50"/>
    </row>
    <row r="49" spans="1:21" ht="25.5" x14ac:dyDescent="0.25">
      <c r="A49" s="45" t="s">
        <v>20</v>
      </c>
      <c r="B49" s="46">
        <v>45757</v>
      </c>
      <c r="C49" s="45" t="s">
        <v>34</v>
      </c>
      <c r="D49" s="47"/>
      <c r="E49" s="45" t="s">
        <v>107</v>
      </c>
      <c r="F49" s="45" t="s">
        <v>108</v>
      </c>
      <c r="G49" s="45" t="s">
        <v>2108</v>
      </c>
      <c r="H49" s="45" t="s">
        <v>1594</v>
      </c>
      <c r="I49" s="45" t="s">
        <v>2109</v>
      </c>
      <c r="J49" s="45">
        <v>603071498</v>
      </c>
      <c r="K49" s="45" t="s">
        <v>1806</v>
      </c>
      <c r="L49" s="48">
        <v>10.039999999999999</v>
      </c>
      <c r="M49" s="49">
        <v>20241119641</v>
      </c>
      <c r="N49" s="50" t="s">
        <v>28</v>
      </c>
      <c r="O49" s="50"/>
      <c r="P49" s="50"/>
      <c r="Q49" s="51"/>
      <c r="R49" s="50"/>
      <c r="S49" s="50"/>
      <c r="T49" s="51"/>
      <c r="U49" s="50"/>
    </row>
    <row r="50" spans="1:21" x14ac:dyDescent="0.25">
      <c r="A50" s="45" t="s">
        <v>20</v>
      </c>
      <c r="B50" s="46">
        <v>45757</v>
      </c>
      <c r="C50" s="45" t="s">
        <v>34</v>
      </c>
      <c r="D50" s="47"/>
      <c r="E50" s="45" t="s">
        <v>107</v>
      </c>
      <c r="F50" s="45" t="s">
        <v>108</v>
      </c>
      <c r="G50" s="45" t="s">
        <v>885</v>
      </c>
      <c r="H50" s="45" t="s">
        <v>2110</v>
      </c>
      <c r="I50" s="45" t="s">
        <v>1848</v>
      </c>
      <c r="J50" s="45">
        <v>603826315</v>
      </c>
      <c r="K50" s="45" t="s">
        <v>83</v>
      </c>
      <c r="L50" s="48">
        <v>50</v>
      </c>
      <c r="M50" s="49">
        <v>20241118744</v>
      </c>
      <c r="N50" s="50" t="s">
        <v>28</v>
      </c>
      <c r="O50" s="50"/>
      <c r="P50" s="50"/>
      <c r="Q50" s="51"/>
      <c r="R50" s="50"/>
      <c r="S50" s="50"/>
      <c r="T50" s="51"/>
      <c r="U50" s="50"/>
    </row>
    <row r="51" spans="1:21" x14ac:dyDescent="0.25">
      <c r="A51" s="45" t="s">
        <v>20</v>
      </c>
      <c r="B51" s="46">
        <v>45758</v>
      </c>
      <c r="C51" s="45" t="s">
        <v>34</v>
      </c>
      <c r="D51" s="47"/>
      <c r="E51" s="45" t="s">
        <v>176</v>
      </c>
      <c r="F51" s="45" t="s">
        <v>177</v>
      </c>
      <c r="G51" s="45" t="s">
        <v>2111</v>
      </c>
      <c r="H51" s="45" t="s">
        <v>2112</v>
      </c>
      <c r="I51" s="45" t="s">
        <v>2113</v>
      </c>
      <c r="J51" s="45">
        <v>528615977</v>
      </c>
      <c r="K51" s="45" t="s">
        <v>63</v>
      </c>
      <c r="L51" s="48">
        <v>150.80000000000001</v>
      </c>
      <c r="M51" s="49">
        <v>20241122230</v>
      </c>
      <c r="N51" s="50" t="s">
        <v>28</v>
      </c>
      <c r="O51" s="50"/>
      <c r="P51" s="50"/>
      <c r="Q51" s="51"/>
      <c r="R51" s="50"/>
      <c r="S51" s="50"/>
      <c r="T51" s="51"/>
      <c r="U51" s="50"/>
    </row>
    <row r="52" spans="1:21" x14ac:dyDescent="0.25">
      <c r="A52" s="45" t="s">
        <v>20</v>
      </c>
      <c r="B52" s="46">
        <v>45758</v>
      </c>
      <c r="C52" s="45" t="s">
        <v>34</v>
      </c>
      <c r="D52" s="47"/>
      <c r="E52" s="45" t="s">
        <v>176</v>
      </c>
      <c r="F52" s="45" t="s">
        <v>177</v>
      </c>
      <c r="G52" s="45" t="s">
        <v>2111</v>
      </c>
      <c r="H52" s="45" t="s">
        <v>2112</v>
      </c>
      <c r="I52" s="45" t="s">
        <v>2113</v>
      </c>
      <c r="J52" s="45">
        <v>528615977</v>
      </c>
      <c r="K52" s="45" t="s">
        <v>1126</v>
      </c>
      <c r="L52" s="48">
        <v>25</v>
      </c>
      <c r="M52" s="49">
        <v>20241122231</v>
      </c>
      <c r="N52" s="50" t="s">
        <v>28</v>
      </c>
      <c r="O52" s="50"/>
      <c r="P52" s="50"/>
      <c r="Q52" s="51"/>
      <c r="R52" s="50"/>
      <c r="S52" s="50"/>
      <c r="T52" s="51"/>
      <c r="U52" s="50"/>
    </row>
    <row r="53" spans="1:21" x14ac:dyDescent="0.25">
      <c r="A53" s="45" t="s">
        <v>20</v>
      </c>
      <c r="B53" s="46">
        <v>45758</v>
      </c>
      <c r="C53" s="45" t="s">
        <v>34</v>
      </c>
      <c r="D53" s="47"/>
      <c r="E53" s="45" t="s">
        <v>176</v>
      </c>
      <c r="F53" s="45" t="s">
        <v>177</v>
      </c>
      <c r="G53" s="45" t="s">
        <v>2111</v>
      </c>
      <c r="H53" s="45" t="s">
        <v>2112</v>
      </c>
      <c r="I53" s="45" t="s">
        <v>2113</v>
      </c>
      <c r="J53" s="45">
        <v>528615977</v>
      </c>
      <c r="K53" s="45" t="s">
        <v>1126</v>
      </c>
      <c r="L53" s="48">
        <v>25</v>
      </c>
      <c r="M53" s="49">
        <v>20241122232</v>
      </c>
      <c r="N53" s="50" t="s">
        <v>28</v>
      </c>
      <c r="O53" s="50"/>
      <c r="P53" s="50"/>
      <c r="Q53" s="51"/>
      <c r="R53" s="50"/>
      <c r="S53" s="50"/>
      <c r="T53" s="51"/>
      <c r="U53" s="50"/>
    </row>
    <row r="54" spans="1:21" x14ac:dyDescent="0.25">
      <c r="A54" s="45" t="s">
        <v>20</v>
      </c>
      <c r="B54" s="46">
        <v>45758</v>
      </c>
      <c r="C54" s="45" t="s">
        <v>34</v>
      </c>
      <c r="D54" s="47"/>
      <c r="E54" s="45" t="s">
        <v>176</v>
      </c>
      <c r="F54" s="45" t="s">
        <v>177</v>
      </c>
      <c r="G54" s="45" t="s">
        <v>2111</v>
      </c>
      <c r="H54" s="45" t="s">
        <v>2112</v>
      </c>
      <c r="I54" s="45" t="s">
        <v>2113</v>
      </c>
      <c r="J54" s="45">
        <v>528615977</v>
      </c>
      <c r="K54" s="45" t="s">
        <v>759</v>
      </c>
      <c r="L54" s="48">
        <v>25</v>
      </c>
      <c r="M54" s="49">
        <v>20241122233</v>
      </c>
      <c r="N54" s="50" t="s">
        <v>28</v>
      </c>
      <c r="O54" s="50"/>
      <c r="P54" s="50"/>
      <c r="Q54" s="51"/>
      <c r="R54" s="50"/>
      <c r="S54" s="50"/>
      <c r="T54" s="51"/>
      <c r="U54" s="50"/>
    </row>
    <row r="55" spans="1:21" x14ac:dyDescent="0.25">
      <c r="A55" s="45" t="s">
        <v>20</v>
      </c>
      <c r="B55" s="46">
        <v>45758</v>
      </c>
      <c r="C55" s="45" t="s">
        <v>34</v>
      </c>
      <c r="D55" s="47"/>
      <c r="E55" s="45" t="s">
        <v>176</v>
      </c>
      <c r="F55" s="45" t="s">
        <v>177</v>
      </c>
      <c r="G55" s="45" t="s">
        <v>2111</v>
      </c>
      <c r="H55" s="45" t="s">
        <v>2112</v>
      </c>
      <c r="I55" s="45" t="s">
        <v>2113</v>
      </c>
      <c r="J55" s="45">
        <v>528615977</v>
      </c>
      <c r="K55" s="45" t="s">
        <v>1219</v>
      </c>
      <c r="L55" s="48">
        <v>25</v>
      </c>
      <c r="M55" s="49">
        <v>20241122234</v>
      </c>
      <c r="N55" s="50" t="s">
        <v>28</v>
      </c>
      <c r="O55" s="50"/>
      <c r="P55" s="50"/>
      <c r="Q55" s="51"/>
      <c r="R55" s="50"/>
      <c r="S55" s="50"/>
      <c r="T55" s="51"/>
      <c r="U55" s="50"/>
    </row>
    <row r="56" spans="1:21" x14ac:dyDescent="0.25">
      <c r="A56" s="45" t="s">
        <v>20</v>
      </c>
      <c r="B56" s="46">
        <v>45758</v>
      </c>
      <c r="C56" s="45" t="s">
        <v>34</v>
      </c>
      <c r="D56" s="47"/>
      <c r="E56" s="45" t="s">
        <v>176</v>
      </c>
      <c r="F56" s="45" t="s">
        <v>177</v>
      </c>
      <c r="G56" s="45" t="s">
        <v>2111</v>
      </c>
      <c r="H56" s="45" t="s">
        <v>2112</v>
      </c>
      <c r="I56" s="45" t="s">
        <v>2113</v>
      </c>
      <c r="J56" s="45">
        <v>528615977</v>
      </c>
      <c r="K56" s="45" t="s">
        <v>1005</v>
      </c>
      <c r="L56" s="48">
        <v>25</v>
      </c>
      <c r="M56" s="49">
        <v>20241122235</v>
      </c>
      <c r="N56" s="50" t="s">
        <v>28</v>
      </c>
      <c r="O56" s="50"/>
      <c r="P56" s="50"/>
      <c r="Q56" s="51"/>
      <c r="R56" s="50"/>
      <c r="S56" s="50"/>
      <c r="T56" s="51"/>
      <c r="U56" s="50"/>
    </row>
    <row r="57" spans="1:21" x14ac:dyDescent="0.25">
      <c r="A57" s="45" t="s">
        <v>20</v>
      </c>
      <c r="B57" s="46">
        <v>45758</v>
      </c>
      <c r="C57" s="45" t="s">
        <v>34</v>
      </c>
      <c r="D57" s="47"/>
      <c r="E57" s="45" t="s">
        <v>176</v>
      </c>
      <c r="F57" s="45" t="s">
        <v>177</v>
      </c>
      <c r="G57" s="45" t="s">
        <v>2114</v>
      </c>
      <c r="H57" s="45" t="s">
        <v>1487</v>
      </c>
      <c r="I57" s="45" t="s">
        <v>2115</v>
      </c>
      <c r="J57" s="45">
        <v>528671182</v>
      </c>
      <c r="K57" s="45" t="s">
        <v>59</v>
      </c>
      <c r="L57" s="48">
        <v>2000</v>
      </c>
      <c r="M57" s="49">
        <v>20241118709</v>
      </c>
      <c r="N57" s="50" t="s">
        <v>28</v>
      </c>
      <c r="O57" s="50"/>
      <c r="P57" s="50"/>
      <c r="Q57" s="51"/>
      <c r="R57" s="50"/>
      <c r="S57" s="50"/>
      <c r="T57" s="51"/>
      <c r="U57" s="50"/>
    </row>
    <row r="58" spans="1:21" x14ac:dyDescent="0.25">
      <c r="A58" s="45" t="s">
        <v>20</v>
      </c>
      <c r="B58" s="46">
        <v>45758</v>
      </c>
      <c r="C58" s="45" t="s">
        <v>34</v>
      </c>
      <c r="D58" s="47"/>
      <c r="E58" s="45" t="s">
        <v>176</v>
      </c>
      <c r="F58" s="45" t="s">
        <v>177</v>
      </c>
      <c r="G58" s="45" t="s">
        <v>2116</v>
      </c>
      <c r="H58" s="45" t="s">
        <v>377</v>
      </c>
      <c r="I58" s="45" t="s">
        <v>1620</v>
      </c>
      <c r="J58" s="45">
        <v>528819817</v>
      </c>
      <c r="K58" s="45" t="s">
        <v>1843</v>
      </c>
      <c r="L58" s="48">
        <v>42</v>
      </c>
      <c r="M58" s="49">
        <v>20241122263</v>
      </c>
      <c r="N58" s="50" t="s">
        <v>28</v>
      </c>
      <c r="O58" s="50"/>
      <c r="P58" s="50"/>
      <c r="Q58" s="51"/>
      <c r="R58" s="50"/>
      <c r="S58" s="50"/>
      <c r="T58" s="51"/>
      <c r="U58" s="50"/>
    </row>
    <row r="59" spans="1:21" x14ac:dyDescent="0.25">
      <c r="A59" s="45" t="s">
        <v>29</v>
      </c>
      <c r="B59" s="46">
        <v>45758</v>
      </c>
      <c r="C59" s="45" t="s">
        <v>34</v>
      </c>
      <c r="D59" s="47"/>
      <c r="E59" s="45" t="s">
        <v>176</v>
      </c>
      <c r="F59" s="45" t="s">
        <v>177</v>
      </c>
      <c r="G59" s="45" t="s">
        <v>967</v>
      </c>
      <c r="H59" s="45" t="s">
        <v>2117</v>
      </c>
      <c r="I59" s="45" t="s">
        <v>1558</v>
      </c>
      <c r="J59" s="45">
        <v>528896027</v>
      </c>
      <c r="K59" s="45" t="s">
        <v>1888</v>
      </c>
      <c r="L59" s="48">
        <v>230</v>
      </c>
      <c r="M59" s="49">
        <v>20241122805</v>
      </c>
      <c r="N59" s="50" t="s">
        <v>28</v>
      </c>
      <c r="O59" s="50"/>
      <c r="P59" s="50"/>
      <c r="Q59" s="51"/>
      <c r="R59" s="50"/>
      <c r="S59" s="50"/>
      <c r="T59" s="51"/>
      <c r="U59" s="50"/>
    </row>
    <row r="60" spans="1:21" x14ac:dyDescent="0.25">
      <c r="A60" s="45" t="s">
        <v>756</v>
      </c>
      <c r="B60" s="46">
        <v>45758</v>
      </c>
      <c r="C60" s="45" t="s">
        <v>34</v>
      </c>
      <c r="D60" s="47"/>
      <c r="E60" s="45" t="s">
        <v>176</v>
      </c>
      <c r="F60" s="45" t="s">
        <v>177</v>
      </c>
      <c r="G60" s="45" t="s">
        <v>1951</v>
      </c>
      <c r="H60" s="45" t="s">
        <v>1891</v>
      </c>
      <c r="I60" s="45" t="s">
        <v>1946</v>
      </c>
      <c r="J60" s="45">
        <v>528985725</v>
      </c>
      <c r="K60" s="45" t="s">
        <v>1098</v>
      </c>
      <c r="L60" s="48">
        <v>1959.5</v>
      </c>
      <c r="M60" s="49">
        <v>20241118923</v>
      </c>
      <c r="N60" s="50" t="s">
        <v>28</v>
      </c>
      <c r="O60" s="50"/>
      <c r="P60" s="50"/>
      <c r="Q60" s="51"/>
      <c r="R60" s="50"/>
      <c r="S60" s="50"/>
      <c r="T60" s="51"/>
      <c r="U60" s="50"/>
    </row>
    <row r="61" spans="1:21" x14ac:dyDescent="0.25">
      <c r="A61" s="45" t="s">
        <v>20</v>
      </c>
      <c r="B61" s="46">
        <v>45758</v>
      </c>
      <c r="C61" s="45" t="s">
        <v>34</v>
      </c>
      <c r="D61" s="47"/>
      <c r="E61" s="45" t="s">
        <v>176</v>
      </c>
      <c r="F61" s="45" t="s">
        <v>177</v>
      </c>
      <c r="G61" s="45" t="s">
        <v>1713</v>
      </c>
      <c r="H61" s="45" t="s">
        <v>2118</v>
      </c>
      <c r="I61" s="45" t="s">
        <v>2119</v>
      </c>
      <c r="J61" s="45">
        <v>529339422</v>
      </c>
      <c r="K61" s="45" t="s">
        <v>1734</v>
      </c>
      <c r="L61" s="48">
        <v>20.260000000000002</v>
      </c>
      <c r="M61" s="49">
        <v>2024111891</v>
      </c>
      <c r="N61" s="50" t="s">
        <v>28</v>
      </c>
      <c r="O61" s="50"/>
      <c r="P61" s="50"/>
      <c r="Q61" s="51"/>
      <c r="R61" s="50"/>
      <c r="S61" s="50"/>
      <c r="T61" s="51"/>
      <c r="U61" s="50"/>
    </row>
    <row r="62" spans="1:21" x14ac:dyDescent="0.25">
      <c r="A62" s="45" t="s">
        <v>20</v>
      </c>
      <c r="B62" s="46">
        <v>45758</v>
      </c>
      <c r="C62" s="45" t="s">
        <v>34</v>
      </c>
      <c r="D62" s="47"/>
      <c r="E62" s="45" t="s">
        <v>176</v>
      </c>
      <c r="F62" s="45" t="s">
        <v>177</v>
      </c>
      <c r="G62" s="45" t="s">
        <v>1713</v>
      </c>
      <c r="H62" s="45" t="s">
        <v>2118</v>
      </c>
      <c r="I62" s="45" t="s">
        <v>2119</v>
      </c>
      <c r="J62" s="45">
        <v>529339422</v>
      </c>
      <c r="K62" s="45" t="s">
        <v>1734</v>
      </c>
      <c r="L62" s="48">
        <v>22.61</v>
      </c>
      <c r="M62" s="49">
        <v>2024111894</v>
      </c>
      <c r="N62" s="50" t="s">
        <v>28</v>
      </c>
      <c r="O62" s="50"/>
      <c r="P62" s="50"/>
      <c r="Q62" s="51"/>
      <c r="R62" s="50"/>
      <c r="S62" s="50"/>
      <c r="T62" s="51"/>
      <c r="U62" s="50"/>
    </row>
    <row r="63" spans="1:21" x14ac:dyDescent="0.25">
      <c r="A63" s="45" t="s">
        <v>20</v>
      </c>
      <c r="B63" s="46">
        <v>45758</v>
      </c>
      <c r="C63" s="45" t="s">
        <v>34</v>
      </c>
      <c r="D63" s="47"/>
      <c r="E63" s="45" t="s">
        <v>176</v>
      </c>
      <c r="F63" s="45" t="s">
        <v>177</v>
      </c>
      <c r="G63" s="45" t="s">
        <v>1713</v>
      </c>
      <c r="H63" s="45" t="s">
        <v>2118</v>
      </c>
      <c r="I63" s="45" t="s">
        <v>2119</v>
      </c>
      <c r="J63" s="45">
        <v>529339422</v>
      </c>
      <c r="K63" s="45" t="s">
        <v>1843</v>
      </c>
      <c r="L63" s="48">
        <v>1067.49</v>
      </c>
      <c r="M63" s="49">
        <v>20241118103</v>
      </c>
      <c r="N63" s="50" t="s">
        <v>28</v>
      </c>
      <c r="O63" s="50"/>
      <c r="P63" s="50"/>
      <c r="Q63" s="51"/>
      <c r="R63" s="50"/>
      <c r="S63" s="50"/>
      <c r="T63" s="51"/>
      <c r="U63" s="50"/>
    </row>
    <row r="64" spans="1:21" x14ac:dyDescent="0.25">
      <c r="A64" s="45" t="s">
        <v>29</v>
      </c>
      <c r="B64" s="46">
        <v>45758</v>
      </c>
      <c r="C64" s="45" t="s">
        <v>34</v>
      </c>
      <c r="D64" s="47"/>
      <c r="E64" s="45" t="s">
        <v>176</v>
      </c>
      <c r="F64" s="45" t="s">
        <v>177</v>
      </c>
      <c r="G64" s="45" t="s">
        <v>1468</v>
      </c>
      <c r="H64" s="45" t="s">
        <v>2120</v>
      </c>
      <c r="I64" s="45" t="s">
        <v>938</v>
      </c>
      <c r="J64" s="45">
        <v>529436390</v>
      </c>
      <c r="K64" s="45" t="s">
        <v>56</v>
      </c>
      <c r="L64" s="48">
        <v>200</v>
      </c>
      <c r="M64" s="49">
        <v>20241118248</v>
      </c>
      <c r="N64" s="50" t="s">
        <v>28</v>
      </c>
      <c r="O64" s="50"/>
      <c r="P64" s="50"/>
      <c r="Q64" s="51"/>
      <c r="R64" s="50"/>
      <c r="S64" s="50"/>
      <c r="T64" s="51"/>
      <c r="U64" s="50"/>
    </row>
    <row r="65" spans="1:21" x14ac:dyDescent="0.25">
      <c r="A65" s="45" t="s">
        <v>20</v>
      </c>
      <c r="B65" s="46">
        <v>45632</v>
      </c>
      <c r="C65" s="45" t="s">
        <v>175</v>
      </c>
      <c r="D65" s="47"/>
      <c r="E65" s="45" t="s">
        <v>176</v>
      </c>
      <c r="F65" s="45" t="s">
        <v>177</v>
      </c>
      <c r="G65" s="45" t="s">
        <v>2121</v>
      </c>
      <c r="H65" s="45" t="s">
        <v>2122</v>
      </c>
      <c r="I65" s="45" t="s">
        <v>335</v>
      </c>
      <c r="J65" s="45">
        <v>529491191</v>
      </c>
      <c r="K65" s="45" t="s">
        <v>76</v>
      </c>
      <c r="L65" s="48">
        <v>295.04000000000002</v>
      </c>
      <c r="M65" s="49">
        <v>20241122463</v>
      </c>
      <c r="N65" s="50" t="s">
        <v>28</v>
      </c>
      <c r="O65" s="50"/>
      <c r="P65" s="50"/>
      <c r="Q65" s="51"/>
      <c r="R65" s="50"/>
      <c r="S65" s="50"/>
      <c r="T65" s="51"/>
      <c r="U65" s="50"/>
    </row>
    <row r="66" spans="1:21" x14ac:dyDescent="0.25">
      <c r="A66" s="45" t="s">
        <v>29</v>
      </c>
      <c r="B66" s="46">
        <v>45632</v>
      </c>
      <c r="C66" s="45" t="s">
        <v>175</v>
      </c>
      <c r="D66" s="47"/>
      <c r="E66" s="45" t="s">
        <v>1631</v>
      </c>
      <c r="F66" s="45" t="s">
        <v>1122</v>
      </c>
      <c r="G66" s="45" t="s">
        <v>863</v>
      </c>
      <c r="H66" s="45" t="s">
        <v>2123</v>
      </c>
      <c r="I66" s="45" t="s">
        <v>1119</v>
      </c>
      <c r="J66" s="45">
        <v>17860</v>
      </c>
      <c r="K66" s="45" t="s">
        <v>1126</v>
      </c>
      <c r="L66" s="48">
        <v>8891.5</v>
      </c>
      <c r="M66" s="49">
        <v>20241105793</v>
      </c>
      <c r="N66" s="50" t="s">
        <v>28</v>
      </c>
      <c r="O66" s="50"/>
      <c r="P66" s="50"/>
      <c r="Q66" s="51"/>
      <c r="R66" s="50"/>
      <c r="S66" s="50"/>
      <c r="T66" s="51"/>
      <c r="U66" s="50"/>
    </row>
    <row r="67" spans="1:21" x14ac:dyDescent="0.25">
      <c r="A67" s="45" t="s">
        <v>20</v>
      </c>
      <c r="B67" s="46">
        <v>45632</v>
      </c>
      <c r="C67" s="45" t="s">
        <v>175</v>
      </c>
      <c r="D67" s="47"/>
      <c r="E67" s="45" t="s">
        <v>1631</v>
      </c>
      <c r="F67" s="45" t="s">
        <v>1122</v>
      </c>
      <c r="G67" s="45" t="s">
        <v>368</v>
      </c>
      <c r="H67" s="45" t="s">
        <v>2124</v>
      </c>
      <c r="I67" s="45" t="s">
        <v>246</v>
      </c>
      <c r="J67" s="45">
        <v>433616371</v>
      </c>
      <c r="K67" s="45" t="s">
        <v>2125</v>
      </c>
      <c r="L67" s="48">
        <v>15</v>
      </c>
      <c r="M67" s="49">
        <v>20241121528</v>
      </c>
      <c r="N67" s="50" t="s">
        <v>28</v>
      </c>
      <c r="O67" s="50"/>
      <c r="P67" s="50"/>
      <c r="Q67" s="51"/>
      <c r="R67" s="50"/>
      <c r="S67" s="50"/>
      <c r="T67" s="51"/>
      <c r="U67" s="50"/>
    </row>
    <row r="68" spans="1:21" x14ac:dyDescent="0.25">
      <c r="A68" s="45" t="s">
        <v>20</v>
      </c>
      <c r="B68" s="46">
        <v>45632</v>
      </c>
      <c r="C68" s="45" t="s">
        <v>175</v>
      </c>
      <c r="D68" s="47"/>
      <c r="E68" s="45" t="s">
        <v>1631</v>
      </c>
      <c r="F68" s="45" t="s">
        <v>1122</v>
      </c>
      <c r="G68" s="45" t="s">
        <v>368</v>
      </c>
      <c r="H68" s="45" t="s">
        <v>2124</v>
      </c>
      <c r="I68" s="45" t="s">
        <v>246</v>
      </c>
      <c r="J68" s="45">
        <v>433616371</v>
      </c>
      <c r="K68" s="45" t="s">
        <v>2125</v>
      </c>
      <c r="L68" s="48">
        <v>14.44</v>
      </c>
      <c r="M68" s="49">
        <v>20241121527</v>
      </c>
      <c r="N68" s="50" t="s">
        <v>28</v>
      </c>
      <c r="O68" s="50"/>
      <c r="P68" s="50"/>
      <c r="Q68" s="51"/>
      <c r="R68" s="50"/>
      <c r="S68" s="50"/>
      <c r="T68" s="51"/>
      <c r="U68" s="50"/>
    </row>
    <row r="69" spans="1:21" x14ac:dyDescent="0.25">
      <c r="A69" s="45" t="s">
        <v>20</v>
      </c>
      <c r="B69" s="46">
        <v>45632</v>
      </c>
      <c r="C69" s="45" t="s">
        <v>175</v>
      </c>
      <c r="D69" s="47"/>
      <c r="E69" s="45" t="s">
        <v>1631</v>
      </c>
      <c r="F69" s="45" t="s">
        <v>1122</v>
      </c>
      <c r="G69" s="45" t="s">
        <v>2126</v>
      </c>
      <c r="H69" s="45" t="s">
        <v>2127</v>
      </c>
      <c r="I69" s="45" t="s">
        <v>2128</v>
      </c>
      <c r="J69" s="45">
        <v>452478795</v>
      </c>
      <c r="K69" s="45" t="s">
        <v>2129</v>
      </c>
      <c r="L69" s="48">
        <v>67.22</v>
      </c>
      <c r="M69" s="49">
        <v>20241119719</v>
      </c>
      <c r="N69" s="50" t="s">
        <v>28</v>
      </c>
      <c r="O69" s="50"/>
      <c r="P69" s="50"/>
      <c r="Q69" s="51"/>
      <c r="R69" s="50"/>
      <c r="S69" s="50"/>
      <c r="T69" s="51"/>
      <c r="U69" s="50"/>
    </row>
    <row r="70" spans="1:21" x14ac:dyDescent="0.25">
      <c r="A70" s="45" t="s">
        <v>20</v>
      </c>
      <c r="B70" s="46">
        <v>45632</v>
      </c>
      <c r="C70" s="45" t="s">
        <v>175</v>
      </c>
      <c r="D70" s="47"/>
      <c r="E70" s="45" t="s">
        <v>1631</v>
      </c>
      <c r="F70" s="45" t="s">
        <v>1122</v>
      </c>
      <c r="G70" s="45" t="s">
        <v>900</v>
      </c>
      <c r="H70" s="45" t="s">
        <v>2130</v>
      </c>
      <c r="I70" s="45" t="s">
        <v>2131</v>
      </c>
      <c r="J70" s="45">
        <v>519782973</v>
      </c>
      <c r="K70" s="45" t="s">
        <v>1174</v>
      </c>
      <c r="L70" s="48">
        <v>7.91</v>
      </c>
      <c r="M70" s="49">
        <v>20241122704</v>
      </c>
      <c r="N70" s="50" t="s">
        <v>28</v>
      </c>
      <c r="O70" s="50"/>
      <c r="P70" s="50"/>
      <c r="Q70" s="51"/>
      <c r="R70" s="50"/>
      <c r="S70" s="50"/>
      <c r="T70" s="51"/>
      <c r="U70" s="50"/>
    </row>
    <row r="71" spans="1:21" x14ac:dyDescent="0.25">
      <c r="A71" s="45" t="s">
        <v>20</v>
      </c>
      <c r="B71" s="46">
        <v>45632</v>
      </c>
      <c r="C71" s="45" t="s">
        <v>175</v>
      </c>
      <c r="D71" s="47"/>
      <c r="E71" s="45" t="s">
        <v>1631</v>
      </c>
      <c r="F71" s="45" t="s">
        <v>1122</v>
      </c>
      <c r="G71" s="45" t="s">
        <v>900</v>
      </c>
      <c r="H71" s="45" t="s">
        <v>2130</v>
      </c>
      <c r="I71" s="45" t="s">
        <v>2131</v>
      </c>
      <c r="J71" s="45">
        <v>519782973</v>
      </c>
      <c r="K71" s="45" t="s">
        <v>1174</v>
      </c>
      <c r="L71" s="48">
        <v>6.34</v>
      </c>
      <c r="M71" s="49">
        <v>20241122705</v>
      </c>
      <c r="N71" s="50" t="s">
        <v>28</v>
      </c>
      <c r="O71" s="50"/>
      <c r="P71" s="50"/>
      <c r="Q71" s="51"/>
      <c r="R71" s="50"/>
      <c r="S71" s="50"/>
      <c r="T71" s="51"/>
      <c r="U71" s="50"/>
    </row>
    <row r="72" spans="1:21" x14ac:dyDescent="0.25">
      <c r="A72" s="45" t="s">
        <v>20</v>
      </c>
      <c r="B72" s="46">
        <v>45632</v>
      </c>
      <c r="C72" s="45" t="s">
        <v>175</v>
      </c>
      <c r="D72" s="47"/>
      <c r="E72" s="45" t="s">
        <v>1631</v>
      </c>
      <c r="F72" s="45" t="s">
        <v>1122</v>
      </c>
      <c r="G72" s="45" t="s">
        <v>900</v>
      </c>
      <c r="H72" s="45" t="s">
        <v>2130</v>
      </c>
      <c r="I72" s="45" t="s">
        <v>2131</v>
      </c>
      <c r="J72" s="45">
        <v>519782973</v>
      </c>
      <c r="K72" s="45" t="s">
        <v>382</v>
      </c>
      <c r="L72" s="48">
        <v>6.08</v>
      </c>
      <c r="M72" s="49">
        <v>20241122711</v>
      </c>
      <c r="N72" s="50" t="s">
        <v>28</v>
      </c>
      <c r="O72" s="50"/>
      <c r="P72" s="50"/>
      <c r="Q72" s="51"/>
      <c r="R72" s="50"/>
      <c r="S72" s="50"/>
      <c r="T72" s="51"/>
      <c r="U72" s="50"/>
    </row>
    <row r="73" spans="1:21" x14ac:dyDescent="0.25">
      <c r="A73" s="45" t="s">
        <v>20</v>
      </c>
      <c r="B73" s="46">
        <v>45632</v>
      </c>
      <c r="C73" s="45" t="s">
        <v>175</v>
      </c>
      <c r="D73" s="47"/>
      <c r="E73" s="45" t="s">
        <v>1631</v>
      </c>
      <c r="F73" s="45" t="s">
        <v>1122</v>
      </c>
      <c r="G73" s="45" t="s">
        <v>900</v>
      </c>
      <c r="H73" s="45" t="s">
        <v>2130</v>
      </c>
      <c r="I73" s="45" t="s">
        <v>2131</v>
      </c>
      <c r="J73" s="45">
        <v>519782973</v>
      </c>
      <c r="K73" s="45" t="s">
        <v>382</v>
      </c>
      <c r="L73" s="48">
        <v>7.58</v>
      </c>
      <c r="M73" s="49">
        <v>20241122710</v>
      </c>
      <c r="N73" s="50" t="s">
        <v>28</v>
      </c>
      <c r="O73" s="50"/>
      <c r="P73" s="50"/>
      <c r="Q73" s="51"/>
      <c r="R73" s="50"/>
      <c r="S73" s="50"/>
      <c r="T73" s="51"/>
      <c r="U73" s="50"/>
    </row>
    <row r="74" spans="1:21" x14ac:dyDescent="0.25">
      <c r="A74" s="45" t="s">
        <v>20</v>
      </c>
      <c r="B74" s="46">
        <v>45632</v>
      </c>
      <c r="C74" s="45" t="s">
        <v>175</v>
      </c>
      <c r="D74" s="47"/>
      <c r="E74" s="45" t="s">
        <v>1631</v>
      </c>
      <c r="F74" s="45" t="s">
        <v>1122</v>
      </c>
      <c r="G74" s="45" t="s">
        <v>900</v>
      </c>
      <c r="H74" s="45" t="s">
        <v>2130</v>
      </c>
      <c r="I74" s="45" t="s">
        <v>2131</v>
      </c>
      <c r="J74" s="45">
        <v>519782973</v>
      </c>
      <c r="K74" s="45" t="s">
        <v>63</v>
      </c>
      <c r="L74" s="48">
        <v>7.58</v>
      </c>
      <c r="M74" s="49">
        <v>20241122709</v>
      </c>
      <c r="N74" s="50" t="s">
        <v>28</v>
      </c>
      <c r="O74" s="50"/>
      <c r="P74" s="50"/>
      <c r="Q74" s="51"/>
      <c r="R74" s="50"/>
      <c r="S74" s="50"/>
      <c r="T74" s="51"/>
      <c r="U74" s="50"/>
    </row>
    <row r="75" spans="1:21" x14ac:dyDescent="0.25">
      <c r="A75" s="45" t="s">
        <v>20</v>
      </c>
      <c r="B75" s="46">
        <v>45632</v>
      </c>
      <c r="C75" s="45" t="s">
        <v>175</v>
      </c>
      <c r="D75" s="47"/>
      <c r="E75" s="45" t="s">
        <v>1631</v>
      </c>
      <c r="F75" s="45" t="s">
        <v>1122</v>
      </c>
      <c r="G75" s="45" t="s">
        <v>900</v>
      </c>
      <c r="H75" s="45" t="s">
        <v>2130</v>
      </c>
      <c r="I75" s="45" t="s">
        <v>2131</v>
      </c>
      <c r="J75" s="45">
        <v>519782973</v>
      </c>
      <c r="K75" s="45" t="s">
        <v>63</v>
      </c>
      <c r="L75" s="48">
        <v>6.08</v>
      </c>
      <c r="M75" s="49">
        <v>20241122708</v>
      </c>
      <c r="N75" s="50" t="s">
        <v>28</v>
      </c>
      <c r="O75" s="50"/>
      <c r="P75" s="50"/>
      <c r="Q75" s="51"/>
      <c r="R75" s="50"/>
      <c r="S75" s="50"/>
      <c r="T75" s="51"/>
      <c r="U75" s="50"/>
    </row>
    <row r="76" spans="1:21" x14ac:dyDescent="0.25">
      <c r="A76" s="45" t="s">
        <v>20</v>
      </c>
      <c r="B76" s="46">
        <v>45632</v>
      </c>
      <c r="C76" s="45" t="s">
        <v>175</v>
      </c>
      <c r="D76" s="47"/>
      <c r="E76" s="45" t="s">
        <v>1631</v>
      </c>
      <c r="F76" s="45" t="s">
        <v>1122</v>
      </c>
      <c r="G76" s="45" t="s">
        <v>900</v>
      </c>
      <c r="H76" s="45" t="s">
        <v>2130</v>
      </c>
      <c r="I76" s="45" t="s">
        <v>2131</v>
      </c>
      <c r="J76" s="45">
        <v>519782973</v>
      </c>
      <c r="K76" s="45" t="s">
        <v>310</v>
      </c>
      <c r="L76" s="48">
        <v>7.91</v>
      </c>
      <c r="M76" s="49">
        <v>20241122707</v>
      </c>
      <c r="N76" s="50" t="s">
        <v>28</v>
      </c>
      <c r="O76" s="50"/>
      <c r="P76" s="50"/>
      <c r="Q76" s="51"/>
      <c r="R76" s="50"/>
      <c r="S76" s="50"/>
      <c r="T76" s="51"/>
      <c r="U76" s="50"/>
    </row>
    <row r="77" spans="1:21" x14ac:dyDescent="0.25">
      <c r="A77" s="45" t="s">
        <v>20</v>
      </c>
      <c r="B77" s="46">
        <v>45632</v>
      </c>
      <c r="C77" s="45" t="s">
        <v>175</v>
      </c>
      <c r="D77" s="47"/>
      <c r="E77" s="45" t="s">
        <v>1631</v>
      </c>
      <c r="F77" s="45" t="s">
        <v>1122</v>
      </c>
      <c r="G77" s="45" t="s">
        <v>900</v>
      </c>
      <c r="H77" s="45" t="s">
        <v>2130</v>
      </c>
      <c r="I77" s="45" t="s">
        <v>2131</v>
      </c>
      <c r="J77" s="45">
        <v>519782973</v>
      </c>
      <c r="K77" s="45" t="s">
        <v>310</v>
      </c>
      <c r="L77" s="48">
        <v>6.34</v>
      </c>
      <c r="M77" s="49">
        <v>20241122706</v>
      </c>
      <c r="N77" s="50" t="s">
        <v>28</v>
      </c>
      <c r="O77" s="50"/>
      <c r="P77" s="50"/>
      <c r="Q77" s="51"/>
      <c r="R77" s="50"/>
      <c r="S77" s="50"/>
      <c r="T77" s="51"/>
      <c r="U77" s="50"/>
    </row>
    <row r="78" spans="1:21" x14ac:dyDescent="0.25">
      <c r="A78" s="45" t="s">
        <v>29</v>
      </c>
      <c r="B78" s="46">
        <v>45632</v>
      </c>
      <c r="C78" s="45" t="s">
        <v>175</v>
      </c>
      <c r="D78" s="47"/>
      <c r="E78" s="45" t="s">
        <v>1631</v>
      </c>
      <c r="F78" s="45" t="s">
        <v>1122</v>
      </c>
      <c r="G78" s="45" t="s">
        <v>1646</v>
      </c>
      <c r="H78" s="45" t="s">
        <v>875</v>
      </c>
      <c r="I78" s="45" t="s">
        <v>2132</v>
      </c>
      <c r="J78" s="45">
        <v>545851868</v>
      </c>
      <c r="K78" s="45" t="s">
        <v>56</v>
      </c>
      <c r="L78" s="48">
        <v>708</v>
      </c>
      <c r="M78" s="49">
        <v>20241120590</v>
      </c>
      <c r="N78" s="50" t="s">
        <v>28</v>
      </c>
      <c r="O78" s="50"/>
      <c r="P78" s="50"/>
      <c r="Q78" s="51"/>
      <c r="R78" s="50"/>
      <c r="S78" s="50"/>
      <c r="T78" s="51"/>
      <c r="U78" s="50"/>
    </row>
    <row r="79" spans="1:21" x14ac:dyDescent="0.25">
      <c r="A79" s="45" t="s">
        <v>29</v>
      </c>
      <c r="B79" s="46">
        <v>45632</v>
      </c>
      <c r="C79" s="45" t="s">
        <v>175</v>
      </c>
      <c r="D79" s="47"/>
      <c r="E79" s="45" t="s">
        <v>1631</v>
      </c>
      <c r="F79" s="45" t="s">
        <v>1122</v>
      </c>
      <c r="G79" s="45" t="s">
        <v>2133</v>
      </c>
      <c r="H79" s="45" t="s">
        <v>1983</v>
      </c>
      <c r="I79" s="45" t="s">
        <v>2134</v>
      </c>
      <c r="J79" s="45">
        <v>630987359</v>
      </c>
      <c r="K79" s="45" t="s">
        <v>184</v>
      </c>
      <c r="L79" s="48">
        <v>1310</v>
      </c>
      <c r="M79" s="49">
        <v>20241120624</v>
      </c>
      <c r="N79" s="50" t="s">
        <v>28</v>
      </c>
      <c r="O79" s="50"/>
      <c r="P79" s="50"/>
      <c r="Q79" s="51"/>
      <c r="R79" s="50"/>
      <c r="S79" s="50"/>
      <c r="T79" s="51"/>
      <c r="U79" s="50"/>
    </row>
    <row r="80" spans="1:21" x14ac:dyDescent="0.25">
      <c r="A80" s="45" t="s">
        <v>29</v>
      </c>
      <c r="B80" s="46">
        <v>45632</v>
      </c>
      <c r="C80" s="45" t="s">
        <v>175</v>
      </c>
      <c r="D80" s="47"/>
      <c r="E80" s="45" t="s">
        <v>1631</v>
      </c>
      <c r="F80" s="45" t="s">
        <v>1122</v>
      </c>
      <c r="G80" s="45" t="s">
        <v>2133</v>
      </c>
      <c r="H80" s="45" t="s">
        <v>1983</v>
      </c>
      <c r="I80" s="45" t="s">
        <v>2134</v>
      </c>
      <c r="J80" s="45">
        <v>630987359</v>
      </c>
      <c r="K80" s="45" t="s">
        <v>56</v>
      </c>
      <c r="L80" s="48">
        <v>1310</v>
      </c>
      <c r="M80" s="49">
        <v>20241120625</v>
      </c>
      <c r="N80" s="50" t="s">
        <v>28</v>
      </c>
      <c r="O80" s="50"/>
      <c r="P80" s="50"/>
      <c r="Q80" s="51"/>
      <c r="R80" s="50"/>
      <c r="S80" s="50"/>
      <c r="T80" s="51"/>
      <c r="U80" s="50"/>
    </row>
    <row r="81" spans="1:21" x14ac:dyDescent="0.25">
      <c r="A81" s="45" t="s">
        <v>20</v>
      </c>
      <c r="B81" s="46">
        <v>45758</v>
      </c>
      <c r="C81" s="45" t="s">
        <v>352</v>
      </c>
      <c r="D81" s="47" t="s">
        <v>168</v>
      </c>
      <c r="E81" s="45" t="s">
        <v>208</v>
      </c>
      <c r="F81" s="45" t="s">
        <v>209</v>
      </c>
      <c r="G81" s="45" t="s">
        <v>315</v>
      </c>
      <c r="H81" s="45" t="s">
        <v>2135</v>
      </c>
      <c r="I81" s="45" t="s">
        <v>2136</v>
      </c>
      <c r="J81" s="45">
        <v>191111134</v>
      </c>
      <c r="K81" s="45" t="s">
        <v>113</v>
      </c>
      <c r="L81" s="48">
        <v>109</v>
      </c>
      <c r="M81" s="49">
        <v>20241118197</v>
      </c>
      <c r="N81" s="50"/>
      <c r="O81" s="50"/>
      <c r="P81" s="50" t="s">
        <v>304</v>
      </c>
      <c r="Q81" s="51" t="s">
        <v>2137</v>
      </c>
      <c r="R81" s="50"/>
      <c r="S81" s="50"/>
      <c r="T81" s="51"/>
      <c r="U81" s="50"/>
    </row>
    <row r="82" spans="1:21" x14ac:dyDescent="0.25">
      <c r="A82" s="45" t="s">
        <v>20</v>
      </c>
      <c r="B82" s="46">
        <v>45758</v>
      </c>
      <c r="C82" s="45" t="s">
        <v>352</v>
      </c>
      <c r="D82" s="47" t="s">
        <v>168</v>
      </c>
      <c r="E82" s="45" t="s">
        <v>208</v>
      </c>
      <c r="F82" s="45" t="s">
        <v>209</v>
      </c>
      <c r="G82" s="45" t="s">
        <v>178</v>
      </c>
      <c r="H82" s="45" t="s">
        <v>2138</v>
      </c>
      <c r="I82" s="45" t="s">
        <v>2139</v>
      </c>
      <c r="J82" s="45">
        <v>212881666</v>
      </c>
      <c r="K82" s="45" t="s">
        <v>2140</v>
      </c>
      <c r="L82" s="48">
        <v>1920</v>
      </c>
      <c r="M82" s="49">
        <v>20241118868</v>
      </c>
      <c r="N82" s="50" t="s">
        <v>28</v>
      </c>
      <c r="O82" s="50"/>
      <c r="P82" s="50"/>
      <c r="Q82" s="51"/>
      <c r="R82" s="50"/>
      <c r="S82" s="50"/>
      <c r="T82" s="51"/>
      <c r="U82" s="50"/>
    </row>
    <row r="83" spans="1:21" x14ac:dyDescent="0.25">
      <c r="A83" s="45" t="s">
        <v>29</v>
      </c>
      <c r="B83" s="46">
        <v>45758</v>
      </c>
      <c r="C83" s="45" t="s">
        <v>352</v>
      </c>
      <c r="D83" s="47" t="s">
        <v>168</v>
      </c>
      <c r="E83" s="45" t="s">
        <v>208</v>
      </c>
      <c r="F83" s="45" t="s">
        <v>209</v>
      </c>
      <c r="G83" s="45" t="s">
        <v>178</v>
      </c>
      <c r="H83" s="45" t="s">
        <v>942</v>
      </c>
      <c r="I83" s="45" t="s">
        <v>943</v>
      </c>
      <c r="J83" s="45">
        <v>214966797</v>
      </c>
      <c r="K83" s="45" t="s">
        <v>160</v>
      </c>
      <c r="L83" s="48">
        <v>1000</v>
      </c>
      <c r="M83" s="49">
        <v>20241118714</v>
      </c>
      <c r="N83" s="50" t="s">
        <v>28</v>
      </c>
      <c r="O83" s="50"/>
      <c r="P83" s="50"/>
      <c r="Q83" s="51"/>
      <c r="R83" s="50"/>
      <c r="S83" s="50"/>
      <c r="T83" s="51"/>
      <c r="U83" s="50"/>
    </row>
    <row r="84" spans="1:21" x14ac:dyDescent="0.25">
      <c r="A84" s="45" t="s">
        <v>29</v>
      </c>
      <c r="B84" s="46">
        <v>45758</v>
      </c>
      <c r="C84" s="45" t="s">
        <v>352</v>
      </c>
      <c r="D84" s="47" t="s">
        <v>168</v>
      </c>
      <c r="E84" s="45" t="s">
        <v>208</v>
      </c>
      <c r="F84" s="45" t="s">
        <v>209</v>
      </c>
      <c r="G84" s="45" t="s">
        <v>178</v>
      </c>
      <c r="H84" s="45" t="s">
        <v>169</v>
      </c>
      <c r="I84" s="45" t="s">
        <v>2141</v>
      </c>
      <c r="J84" s="45">
        <v>217132600</v>
      </c>
      <c r="K84" s="45" t="s">
        <v>422</v>
      </c>
      <c r="L84" s="48">
        <v>1185</v>
      </c>
      <c r="M84" s="49">
        <v>20241118931</v>
      </c>
      <c r="N84" s="50" t="s">
        <v>28</v>
      </c>
      <c r="O84" s="50"/>
      <c r="P84" s="50"/>
      <c r="Q84" s="51"/>
      <c r="R84" s="50"/>
      <c r="S84" s="50"/>
      <c r="T84" s="51"/>
      <c r="U84" s="50"/>
    </row>
    <row r="85" spans="1:21" x14ac:dyDescent="0.25">
      <c r="A85" s="45" t="s">
        <v>20</v>
      </c>
      <c r="B85" s="46">
        <v>45758</v>
      </c>
      <c r="C85" s="45" t="s">
        <v>352</v>
      </c>
      <c r="D85" s="47" t="s">
        <v>168</v>
      </c>
      <c r="E85" s="45" t="s">
        <v>208</v>
      </c>
      <c r="F85" s="45" t="s">
        <v>209</v>
      </c>
      <c r="G85" s="45" t="s">
        <v>798</v>
      </c>
      <c r="H85" s="45" t="s">
        <v>799</v>
      </c>
      <c r="I85" s="45" t="s">
        <v>800</v>
      </c>
      <c r="J85" s="45">
        <v>220464581</v>
      </c>
      <c r="K85" s="45" t="s">
        <v>2142</v>
      </c>
      <c r="L85" s="48">
        <v>50</v>
      </c>
      <c r="M85" s="49">
        <v>20241121385</v>
      </c>
      <c r="N85" s="50" t="s">
        <v>28</v>
      </c>
      <c r="O85" s="50"/>
      <c r="P85" s="50"/>
      <c r="Q85" s="51"/>
      <c r="R85" s="50"/>
      <c r="S85" s="50"/>
      <c r="T85" s="51"/>
      <c r="U85" s="50"/>
    </row>
    <row r="86" spans="1:21" x14ac:dyDescent="0.25">
      <c r="A86" s="45" t="s">
        <v>20</v>
      </c>
      <c r="B86" s="46">
        <v>45758</v>
      </c>
      <c r="C86" s="45" t="s">
        <v>352</v>
      </c>
      <c r="D86" s="47" t="s">
        <v>168</v>
      </c>
      <c r="E86" s="45" t="s">
        <v>208</v>
      </c>
      <c r="F86" s="45" t="s">
        <v>209</v>
      </c>
      <c r="G86" s="45" t="s">
        <v>798</v>
      </c>
      <c r="H86" s="45" t="s">
        <v>799</v>
      </c>
      <c r="I86" s="45" t="s">
        <v>800</v>
      </c>
      <c r="J86" s="45">
        <v>220464581</v>
      </c>
      <c r="K86" s="45" t="s">
        <v>2142</v>
      </c>
      <c r="L86" s="48">
        <v>33.979999999999997</v>
      </c>
      <c r="M86" s="49">
        <v>20241121388</v>
      </c>
      <c r="N86" s="50" t="s">
        <v>28</v>
      </c>
      <c r="O86" s="50"/>
      <c r="P86" s="50"/>
      <c r="Q86" s="51"/>
      <c r="R86" s="50"/>
      <c r="S86" s="50"/>
      <c r="T86" s="51"/>
      <c r="U86" s="50"/>
    </row>
    <row r="87" spans="1:21" x14ac:dyDescent="0.25">
      <c r="A87" s="45" t="s">
        <v>70</v>
      </c>
      <c r="B87" s="46">
        <v>45758</v>
      </c>
      <c r="C87" s="45" t="s">
        <v>352</v>
      </c>
      <c r="D87" s="47" t="s">
        <v>168</v>
      </c>
      <c r="E87" s="45" t="s">
        <v>208</v>
      </c>
      <c r="F87" s="45" t="s">
        <v>209</v>
      </c>
      <c r="G87" s="45" t="s">
        <v>178</v>
      </c>
      <c r="H87" s="45" t="s">
        <v>2143</v>
      </c>
      <c r="I87" s="45" t="s">
        <v>2144</v>
      </c>
      <c r="J87" s="45">
        <v>223595533</v>
      </c>
      <c r="K87" s="45" t="s">
        <v>1990</v>
      </c>
      <c r="L87" s="48">
        <v>157.5</v>
      </c>
      <c r="M87" s="49">
        <v>20241118742</v>
      </c>
      <c r="N87" s="50" t="s">
        <v>28</v>
      </c>
      <c r="O87" s="50"/>
      <c r="P87" s="50"/>
      <c r="Q87" s="51"/>
      <c r="R87" s="50"/>
      <c r="S87" s="50"/>
      <c r="T87" s="51"/>
      <c r="U87" s="50"/>
    </row>
    <row r="88" spans="1:21" x14ac:dyDescent="0.25">
      <c r="A88" s="45" t="s">
        <v>314</v>
      </c>
      <c r="B88" s="46">
        <v>45758</v>
      </c>
      <c r="C88" s="45" t="s">
        <v>352</v>
      </c>
      <c r="D88" s="47" t="s">
        <v>168</v>
      </c>
      <c r="E88" s="45" t="s">
        <v>208</v>
      </c>
      <c r="F88" s="45" t="s">
        <v>209</v>
      </c>
      <c r="G88" s="45" t="s">
        <v>178</v>
      </c>
      <c r="H88" s="45" t="s">
        <v>2143</v>
      </c>
      <c r="I88" s="45" t="s">
        <v>2144</v>
      </c>
      <c r="J88" s="45">
        <v>223595533</v>
      </c>
      <c r="K88" s="45" t="s">
        <v>1973</v>
      </c>
      <c r="L88" s="48">
        <v>157.5</v>
      </c>
      <c r="M88" s="49">
        <v>20241118819</v>
      </c>
      <c r="N88" s="50" t="s">
        <v>28</v>
      </c>
      <c r="O88" s="50"/>
      <c r="P88" s="50"/>
      <c r="Q88" s="51"/>
      <c r="R88" s="50"/>
      <c r="S88" s="50"/>
      <c r="T88" s="51"/>
      <c r="U88" s="50"/>
    </row>
    <row r="89" spans="1:21" x14ac:dyDescent="0.25">
      <c r="A89" s="45" t="s">
        <v>29</v>
      </c>
      <c r="B89" s="46">
        <v>45758</v>
      </c>
      <c r="C89" s="45" t="s">
        <v>352</v>
      </c>
      <c r="D89" s="47" t="s">
        <v>168</v>
      </c>
      <c r="E89" s="45" t="s">
        <v>208</v>
      </c>
      <c r="F89" s="45" t="s">
        <v>209</v>
      </c>
      <c r="G89" s="45" t="s">
        <v>178</v>
      </c>
      <c r="H89" s="45" t="s">
        <v>84</v>
      </c>
      <c r="I89" s="45" t="s">
        <v>2145</v>
      </c>
      <c r="J89" s="45">
        <v>226274938</v>
      </c>
      <c r="K89" s="45" t="s">
        <v>56</v>
      </c>
      <c r="L89" s="48">
        <v>353</v>
      </c>
      <c r="M89" s="49">
        <v>20241118906</v>
      </c>
      <c r="N89" s="50" t="s">
        <v>28</v>
      </c>
      <c r="O89" s="50"/>
      <c r="P89" s="50"/>
      <c r="Q89" s="51"/>
      <c r="R89" s="50"/>
      <c r="S89" s="50"/>
      <c r="T89" s="51"/>
      <c r="U89" s="50"/>
    </row>
    <row r="90" spans="1:21" x14ac:dyDescent="0.25">
      <c r="A90" s="45" t="s">
        <v>29</v>
      </c>
      <c r="B90" s="46">
        <v>45758</v>
      </c>
      <c r="C90" s="45" t="s">
        <v>352</v>
      </c>
      <c r="D90" s="47" t="s">
        <v>168</v>
      </c>
      <c r="E90" s="45" t="s">
        <v>208</v>
      </c>
      <c r="F90" s="45" t="s">
        <v>209</v>
      </c>
      <c r="G90" s="45" t="s">
        <v>178</v>
      </c>
      <c r="H90" s="45" t="s">
        <v>145</v>
      </c>
      <c r="I90" s="45" t="s">
        <v>391</v>
      </c>
      <c r="J90" s="45">
        <v>228699096</v>
      </c>
      <c r="K90" s="45" t="s">
        <v>48</v>
      </c>
      <c r="L90" s="48">
        <v>1000</v>
      </c>
      <c r="M90" s="49">
        <v>20241118724</v>
      </c>
      <c r="N90" s="50" t="s">
        <v>28</v>
      </c>
      <c r="O90" s="50"/>
      <c r="P90" s="50"/>
      <c r="Q90" s="51"/>
      <c r="R90" s="50"/>
      <c r="S90" s="50"/>
      <c r="T90" s="51"/>
      <c r="U90" s="50"/>
    </row>
    <row r="91" spans="1:21" ht="25.5" x14ac:dyDescent="0.25">
      <c r="A91" s="45" t="s">
        <v>20</v>
      </c>
      <c r="B91" s="46">
        <v>45758</v>
      </c>
      <c r="C91" s="45" t="s">
        <v>352</v>
      </c>
      <c r="D91" s="47" t="s">
        <v>168</v>
      </c>
      <c r="E91" s="45" t="s">
        <v>208</v>
      </c>
      <c r="F91" s="45" t="s">
        <v>209</v>
      </c>
      <c r="G91" s="45" t="s">
        <v>834</v>
      </c>
      <c r="H91" s="45" t="s">
        <v>1052</v>
      </c>
      <c r="I91" s="45" t="s">
        <v>2146</v>
      </c>
      <c r="J91" s="45">
        <v>254595917</v>
      </c>
      <c r="K91" s="45" t="s">
        <v>336</v>
      </c>
      <c r="L91" s="48">
        <v>228</v>
      </c>
      <c r="M91" s="49">
        <v>20241114177</v>
      </c>
      <c r="N91" s="50" t="s">
        <v>28</v>
      </c>
      <c r="O91" s="50"/>
      <c r="P91" s="50"/>
      <c r="Q91" s="51"/>
      <c r="R91" s="50"/>
      <c r="S91" s="50"/>
      <c r="T91" s="51"/>
      <c r="U91" s="50"/>
    </row>
    <row r="92" spans="1:21" x14ac:dyDescent="0.25">
      <c r="A92" s="45" t="s">
        <v>20</v>
      </c>
      <c r="B92" s="46">
        <v>45758</v>
      </c>
      <c r="C92" s="45" t="s">
        <v>352</v>
      </c>
      <c r="D92" s="47" t="s">
        <v>168</v>
      </c>
      <c r="E92" s="45" t="s">
        <v>208</v>
      </c>
      <c r="F92" s="45" t="s">
        <v>209</v>
      </c>
      <c r="G92" s="45" t="s">
        <v>178</v>
      </c>
      <c r="H92" s="45" t="s">
        <v>1945</v>
      </c>
      <c r="I92" s="45" t="s">
        <v>2147</v>
      </c>
      <c r="J92" s="45">
        <v>259298333</v>
      </c>
      <c r="K92" s="45" t="s">
        <v>187</v>
      </c>
      <c r="L92" s="48">
        <v>25</v>
      </c>
      <c r="M92" s="49">
        <v>20241118771</v>
      </c>
      <c r="N92" s="50" t="s">
        <v>28</v>
      </c>
      <c r="O92" s="50"/>
      <c r="P92" s="50"/>
      <c r="Q92" s="51"/>
      <c r="R92" s="50"/>
      <c r="S92" s="50"/>
      <c r="T92" s="51"/>
      <c r="U92" s="50"/>
    </row>
    <row r="93" spans="1:21" x14ac:dyDescent="0.25">
      <c r="A93" s="45" t="s">
        <v>20</v>
      </c>
      <c r="B93" s="46">
        <v>45758</v>
      </c>
      <c r="C93" s="45" t="s">
        <v>352</v>
      </c>
      <c r="D93" s="47" t="s">
        <v>168</v>
      </c>
      <c r="E93" s="45" t="s">
        <v>208</v>
      </c>
      <c r="F93" s="45" t="s">
        <v>209</v>
      </c>
      <c r="G93" s="45" t="s">
        <v>178</v>
      </c>
      <c r="H93" s="45" t="s">
        <v>1945</v>
      </c>
      <c r="I93" s="45" t="s">
        <v>2147</v>
      </c>
      <c r="J93" s="45">
        <v>259298333</v>
      </c>
      <c r="K93" s="45" t="s">
        <v>1908</v>
      </c>
      <c r="L93" s="48">
        <v>50</v>
      </c>
      <c r="M93" s="49">
        <v>20241118751</v>
      </c>
      <c r="N93" s="50" t="s">
        <v>28</v>
      </c>
      <c r="O93" s="50"/>
      <c r="P93" s="50"/>
      <c r="Q93" s="51"/>
      <c r="R93" s="50"/>
      <c r="S93" s="50"/>
      <c r="T93" s="51"/>
      <c r="U93" s="50"/>
    </row>
    <row r="94" spans="1:21" x14ac:dyDescent="0.25">
      <c r="A94" s="45" t="s">
        <v>20</v>
      </c>
      <c r="B94" s="46">
        <v>45758</v>
      </c>
      <c r="C94" s="45" t="s">
        <v>352</v>
      </c>
      <c r="D94" s="47" t="s">
        <v>168</v>
      </c>
      <c r="E94" s="45" t="s">
        <v>208</v>
      </c>
      <c r="F94" s="45" t="s">
        <v>209</v>
      </c>
      <c r="G94" s="45" t="s">
        <v>178</v>
      </c>
      <c r="H94" s="45" t="s">
        <v>1945</v>
      </c>
      <c r="I94" s="45" t="s">
        <v>2147</v>
      </c>
      <c r="J94" s="45">
        <v>259298333</v>
      </c>
      <c r="K94" s="45" t="s">
        <v>1990</v>
      </c>
      <c r="L94" s="48">
        <v>50</v>
      </c>
      <c r="M94" s="49">
        <v>20241118823</v>
      </c>
      <c r="N94" s="50" t="s">
        <v>28</v>
      </c>
      <c r="O94" s="50"/>
      <c r="P94" s="50"/>
      <c r="Q94" s="51"/>
      <c r="R94" s="50"/>
      <c r="S94" s="50"/>
      <c r="T94" s="51"/>
      <c r="U94" s="50"/>
    </row>
    <row r="95" spans="1:21" x14ac:dyDescent="0.25">
      <c r="A95" s="45" t="s">
        <v>20</v>
      </c>
      <c r="B95" s="46">
        <v>45762</v>
      </c>
      <c r="C95" s="45" t="s">
        <v>352</v>
      </c>
      <c r="D95" s="47" t="s">
        <v>175</v>
      </c>
      <c r="E95" s="45" t="s">
        <v>208</v>
      </c>
      <c r="F95" s="45" t="s">
        <v>209</v>
      </c>
      <c r="G95" s="45" t="s">
        <v>178</v>
      </c>
      <c r="H95" s="45" t="s">
        <v>1945</v>
      </c>
      <c r="I95" s="45" t="s">
        <v>2147</v>
      </c>
      <c r="J95" s="45">
        <v>259298333</v>
      </c>
      <c r="K95" s="45" t="s">
        <v>123</v>
      </c>
      <c r="L95" s="48">
        <v>66.569999999999993</v>
      </c>
      <c r="M95" s="49">
        <v>20241118836</v>
      </c>
      <c r="N95" s="50" t="s">
        <v>28</v>
      </c>
      <c r="O95" s="50"/>
      <c r="P95" s="50"/>
      <c r="Q95" s="51"/>
      <c r="R95" s="50"/>
      <c r="S95" s="50"/>
      <c r="T95" s="51"/>
      <c r="U95" s="50"/>
    </row>
    <row r="96" spans="1:21" x14ac:dyDescent="0.25">
      <c r="A96" s="45" t="s">
        <v>233</v>
      </c>
      <c r="B96" s="46">
        <v>45762</v>
      </c>
      <c r="C96" s="45" t="s">
        <v>352</v>
      </c>
      <c r="D96" s="47" t="s">
        <v>175</v>
      </c>
      <c r="E96" s="45" t="s">
        <v>245</v>
      </c>
      <c r="F96" s="45" t="s">
        <v>246</v>
      </c>
      <c r="G96" s="45" t="s">
        <v>263</v>
      </c>
      <c r="H96" s="45" t="s">
        <v>2148</v>
      </c>
      <c r="I96" s="45" t="s">
        <v>2149</v>
      </c>
      <c r="J96" s="45">
        <v>622101290</v>
      </c>
      <c r="K96" s="45" t="s">
        <v>1907</v>
      </c>
      <c r="L96" s="48">
        <v>182</v>
      </c>
      <c r="M96" s="49">
        <v>20241120717</v>
      </c>
      <c r="N96" s="50" t="s">
        <v>28</v>
      </c>
      <c r="O96" s="50"/>
      <c r="P96" s="50"/>
      <c r="Q96" s="51"/>
      <c r="R96" s="50"/>
      <c r="S96" s="50"/>
      <c r="T96" s="51"/>
      <c r="U96" s="50"/>
    </row>
    <row r="97" spans="1:21" x14ac:dyDescent="0.25">
      <c r="A97" s="45" t="s">
        <v>233</v>
      </c>
      <c r="B97" s="46">
        <v>45762</v>
      </c>
      <c r="C97" s="45" t="s">
        <v>352</v>
      </c>
      <c r="D97" s="47" t="s">
        <v>175</v>
      </c>
      <c r="E97" s="45" t="s">
        <v>245</v>
      </c>
      <c r="F97" s="45" t="s">
        <v>246</v>
      </c>
      <c r="G97" s="45" t="s">
        <v>263</v>
      </c>
      <c r="H97" s="45" t="s">
        <v>2148</v>
      </c>
      <c r="I97" s="45" t="s">
        <v>2149</v>
      </c>
      <c r="J97" s="45">
        <v>622101290</v>
      </c>
      <c r="K97" s="45" t="s">
        <v>1907</v>
      </c>
      <c r="L97" s="48">
        <v>182</v>
      </c>
      <c r="M97" s="49">
        <v>20241120718</v>
      </c>
      <c r="N97" s="50" t="s">
        <v>28</v>
      </c>
      <c r="O97" s="50"/>
      <c r="P97" s="50"/>
      <c r="Q97" s="51"/>
      <c r="R97" s="50"/>
      <c r="S97" s="50"/>
      <c r="T97" s="51"/>
      <c r="U97" s="50"/>
    </row>
    <row r="98" spans="1:21" x14ac:dyDescent="0.25">
      <c r="A98" s="45" t="s">
        <v>233</v>
      </c>
      <c r="B98" s="46">
        <v>45762</v>
      </c>
      <c r="C98" s="45" t="s">
        <v>352</v>
      </c>
      <c r="D98" s="47" t="s">
        <v>175</v>
      </c>
      <c r="E98" s="45" t="s">
        <v>245</v>
      </c>
      <c r="F98" s="45" t="s">
        <v>246</v>
      </c>
      <c r="G98" s="45" t="s">
        <v>263</v>
      </c>
      <c r="H98" s="45" t="s">
        <v>2148</v>
      </c>
      <c r="I98" s="45" t="s">
        <v>2149</v>
      </c>
      <c r="J98" s="45">
        <v>622101290</v>
      </c>
      <c r="K98" s="45" t="s">
        <v>1033</v>
      </c>
      <c r="L98" s="48">
        <v>88</v>
      </c>
      <c r="M98" s="49">
        <v>20241120716</v>
      </c>
      <c r="N98" s="50" t="s">
        <v>28</v>
      </c>
      <c r="O98" s="50"/>
      <c r="P98" s="50"/>
      <c r="Q98" s="51"/>
      <c r="R98" s="50"/>
      <c r="S98" s="50"/>
      <c r="T98" s="51"/>
      <c r="U98" s="50"/>
    </row>
    <row r="99" spans="1:21" x14ac:dyDescent="0.25">
      <c r="A99" s="45" t="s">
        <v>233</v>
      </c>
      <c r="B99" s="46">
        <v>45762</v>
      </c>
      <c r="C99" s="45" t="s">
        <v>352</v>
      </c>
      <c r="D99" s="47" t="s">
        <v>175</v>
      </c>
      <c r="E99" s="45" t="s">
        <v>245</v>
      </c>
      <c r="F99" s="45" t="s">
        <v>246</v>
      </c>
      <c r="G99" s="45" t="s">
        <v>263</v>
      </c>
      <c r="H99" s="45" t="s">
        <v>2148</v>
      </c>
      <c r="I99" s="45" t="s">
        <v>2149</v>
      </c>
      <c r="J99" s="45">
        <v>622101290</v>
      </c>
      <c r="K99" s="45" t="s">
        <v>1588</v>
      </c>
      <c r="L99" s="48">
        <v>60.42</v>
      </c>
      <c r="M99" s="49">
        <v>20241122819</v>
      </c>
      <c r="N99" s="50" t="s">
        <v>28</v>
      </c>
      <c r="O99" s="50"/>
      <c r="P99" s="50"/>
      <c r="Q99" s="51"/>
      <c r="R99" s="50"/>
      <c r="S99" s="50"/>
      <c r="T99" s="51"/>
      <c r="U99" s="50"/>
    </row>
    <row r="100" spans="1:21" x14ac:dyDescent="0.25">
      <c r="A100" s="45" t="s">
        <v>29</v>
      </c>
      <c r="B100" s="46">
        <v>45762</v>
      </c>
      <c r="C100" s="45" t="s">
        <v>352</v>
      </c>
      <c r="D100" s="47" t="s">
        <v>175</v>
      </c>
      <c r="E100" s="45" t="s">
        <v>245</v>
      </c>
      <c r="F100" s="45" t="s">
        <v>246</v>
      </c>
      <c r="G100" s="45" t="s">
        <v>2150</v>
      </c>
      <c r="H100" s="45" t="s">
        <v>1616</v>
      </c>
      <c r="I100" s="45" t="s">
        <v>2151</v>
      </c>
      <c r="J100" s="45">
        <v>624440430</v>
      </c>
      <c r="K100" s="45" t="s">
        <v>56</v>
      </c>
      <c r="L100" s="48">
        <v>1196</v>
      </c>
      <c r="M100" s="49">
        <v>20241120375</v>
      </c>
      <c r="N100" s="50" t="s">
        <v>28</v>
      </c>
      <c r="O100" s="50"/>
      <c r="P100" s="50"/>
      <c r="Q100" s="51"/>
      <c r="R100" s="50"/>
      <c r="S100" s="50"/>
      <c r="T100" s="51"/>
      <c r="U100" s="50"/>
    </row>
    <row r="101" spans="1:21" ht="25.5" x14ac:dyDescent="0.25">
      <c r="A101" s="45" t="s">
        <v>233</v>
      </c>
      <c r="B101" s="46">
        <v>45762</v>
      </c>
      <c r="C101" s="45" t="s">
        <v>352</v>
      </c>
      <c r="D101" s="47" t="s">
        <v>175</v>
      </c>
      <c r="E101" s="45" t="s">
        <v>245</v>
      </c>
      <c r="F101" s="45" t="s">
        <v>246</v>
      </c>
      <c r="G101" s="45" t="s">
        <v>934</v>
      </c>
      <c r="H101" s="45" t="s">
        <v>2152</v>
      </c>
      <c r="I101" s="45" t="s">
        <v>1604</v>
      </c>
      <c r="J101" s="45">
        <v>624521358</v>
      </c>
      <c r="K101" s="45" t="s">
        <v>1888</v>
      </c>
      <c r="L101" s="48">
        <v>55</v>
      </c>
      <c r="M101" s="49">
        <v>20241112330</v>
      </c>
      <c r="N101" s="50" t="s">
        <v>28</v>
      </c>
      <c r="O101" s="50"/>
      <c r="P101" s="50"/>
      <c r="Q101" s="51"/>
      <c r="R101" s="50"/>
      <c r="S101" s="50"/>
      <c r="T101" s="51"/>
      <c r="U101" s="50"/>
    </row>
    <row r="102" spans="1:21" ht="45" x14ac:dyDescent="0.25">
      <c r="A102" s="45" t="s">
        <v>233</v>
      </c>
      <c r="B102" s="46">
        <v>45762</v>
      </c>
      <c r="C102" s="45" t="s">
        <v>352</v>
      </c>
      <c r="D102" s="47" t="s">
        <v>175</v>
      </c>
      <c r="E102" s="45" t="s">
        <v>245</v>
      </c>
      <c r="F102" s="45" t="s">
        <v>246</v>
      </c>
      <c r="G102" s="45" t="s">
        <v>263</v>
      </c>
      <c r="H102" s="45" t="s">
        <v>2123</v>
      </c>
      <c r="I102" s="45" t="s">
        <v>2153</v>
      </c>
      <c r="J102" s="45">
        <v>626211491</v>
      </c>
      <c r="K102" s="45" t="s">
        <v>2154</v>
      </c>
      <c r="L102" s="48">
        <v>19</v>
      </c>
      <c r="M102" s="49">
        <v>202411181218</v>
      </c>
      <c r="N102" s="50" t="s">
        <v>124</v>
      </c>
      <c r="O102" s="50"/>
      <c r="P102" s="50"/>
      <c r="Q102" s="51" t="s">
        <v>2155</v>
      </c>
      <c r="R102" s="50"/>
      <c r="S102" s="50"/>
      <c r="T102" s="51"/>
      <c r="U102" s="50"/>
    </row>
    <row r="103" spans="1:21" x14ac:dyDescent="0.25">
      <c r="A103" s="45" t="s">
        <v>233</v>
      </c>
      <c r="B103" s="46">
        <v>45762</v>
      </c>
      <c r="C103" s="45" t="s">
        <v>352</v>
      </c>
      <c r="D103" s="47" t="s">
        <v>175</v>
      </c>
      <c r="E103" s="45" t="s">
        <v>245</v>
      </c>
      <c r="F103" s="45" t="s">
        <v>246</v>
      </c>
      <c r="G103" s="45" t="s">
        <v>263</v>
      </c>
      <c r="H103" s="45" t="s">
        <v>2123</v>
      </c>
      <c r="I103" s="45" t="s">
        <v>2153</v>
      </c>
      <c r="J103" s="45">
        <v>626211491</v>
      </c>
      <c r="K103" s="45" t="s">
        <v>2154</v>
      </c>
      <c r="L103" s="48">
        <v>46.8</v>
      </c>
      <c r="M103" s="49">
        <v>20241119321</v>
      </c>
      <c r="N103" s="50" t="s">
        <v>28</v>
      </c>
      <c r="O103" s="50"/>
      <c r="P103" s="50"/>
      <c r="Q103" s="51"/>
      <c r="R103" s="50"/>
      <c r="S103" s="50"/>
      <c r="T103" s="51"/>
      <c r="U103" s="50"/>
    </row>
    <row r="104" spans="1:21" x14ac:dyDescent="0.25">
      <c r="A104" s="45" t="s">
        <v>233</v>
      </c>
      <c r="B104" s="46">
        <v>45762</v>
      </c>
      <c r="C104" s="45" t="s">
        <v>352</v>
      </c>
      <c r="D104" s="47" t="s">
        <v>175</v>
      </c>
      <c r="E104" s="45" t="s">
        <v>245</v>
      </c>
      <c r="F104" s="45" t="s">
        <v>246</v>
      </c>
      <c r="G104" s="45" t="s">
        <v>1294</v>
      </c>
      <c r="H104" s="45" t="s">
        <v>1286</v>
      </c>
      <c r="I104" s="45" t="s">
        <v>1751</v>
      </c>
      <c r="J104" s="45">
        <v>646055670</v>
      </c>
      <c r="K104" s="45" t="s">
        <v>1227</v>
      </c>
      <c r="L104" s="48">
        <v>80.900000000000006</v>
      </c>
      <c r="M104" s="49">
        <v>20241122323</v>
      </c>
      <c r="N104" s="50" t="s">
        <v>28</v>
      </c>
      <c r="O104" s="50"/>
      <c r="P104" s="50"/>
      <c r="Q104" s="51"/>
      <c r="R104" s="50"/>
      <c r="S104" s="50"/>
      <c r="T104" s="51"/>
      <c r="U104" s="50"/>
    </row>
    <row r="105" spans="1:21" x14ac:dyDescent="0.25">
      <c r="A105" s="45" t="s">
        <v>233</v>
      </c>
      <c r="B105" s="46">
        <v>45762</v>
      </c>
      <c r="C105" s="45" t="s">
        <v>352</v>
      </c>
      <c r="D105" s="47" t="s">
        <v>175</v>
      </c>
      <c r="E105" s="45" t="s">
        <v>245</v>
      </c>
      <c r="F105" s="45" t="s">
        <v>246</v>
      </c>
      <c r="G105" s="45" t="s">
        <v>1294</v>
      </c>
      <c r="H105" s="45" t="s">
        <v>1286</v>
      </c>
      <c r="I105" s="45" t="s">
        <v>1751</v>
      </c>
      <c r="J105" s="45">
        <v>646055670</v>
      </c>
      <c r="K105" s="45" t="s">
        <v>1227</v>
      </c>
      <c r="L105" s="48">
        <v>80.900000000000006</v>
      </c>
      <c r="M105" s="49">
        <v>20241122329</v>
      </c>
      <c r="N105" s="50" t="s">
        <v>28</v>
      </c>
      <c r="O105" s="50"/>
      <c r="P105" s="50"/>
      <c r="Q105" s="51"/>
      <c r="R105" s="50"/>
      <c r="S105" s="50"/>
      <c r="T105" s="51"/>
      <c r="U105" s="50"/>
    </row>
    <row r="106" spans="1:21" x14ac:dyDescent="0.25">
      <c r="A106" s="45" t="s">
        <v>233</v>
      </c>
      <c r="B106" s="46">
        <v>45762</v>
      </c>
      <c r="C106" s="45" t="s">
        <v>352</v>
      </c>
      <c r="D106" s="47" t="s">
        <v>175</v>
      </c>
      <c r="E106" s="45" t="s">
        <v>245</v>
      </c>
      <c r="F106" s="45" t="s">
        <v>246</v>
      </c>
      <c r="G106" s="45" t="s">
        <v>1294</v>
      </c>
      <c r="H106" s="45" t="s">
        <v>2156</v>
      </c>
      <c r="I106" s="45" t="s">
        <v>2157</v>
      </c>
      <c r="J106" s="45">
        <v>646286491</v>
      </c>
      <c r="K106" s="45" t="s">
        <v>195</v>
      </c>
      <c r="L106" s="48">
        <v>39.86</v>
      </c>
      <c r="M106" s="49">
        <v>20241118210</v>
      </c>
      <c r="N106" s="50" t="s">
        <v>28</v>
      </c>
      <c r="O106" s="50"/>
      <c r="P106" s="50"/>
      <c r="Q106" s="51"/>
      <c r="R106" s="50"/>
      <c r="S106" s="50"/>
      <c r="T106" s="51"/>
      <c r="U106" s="50"/>
    </row>
    <row r="107" spans="1:21" x14ac:dyDescent="0.25">
      <c r="A107" s="45" t="s">
        <v>233</v>
      </c>
      <c r="B107" s="46">
        <v>45762</v>
      </c>
      <c r="C107" s="45" t="s">
        <v>352</v>
      </c>
      <c r="D107" s="47" t="s">
        <v>175</v>
      </c>
      <c r="E107" s="45" t="s">
        <v>245</v>
      </c>
      <c r="F107" s="45" t="s">
        <v>246</v>
      </c>
      <c r="G107" s="45" t="s">
        <v>1294</v>
      </c>
      <c r="H107" s="45" t="s">
        <v>2156</v>
      </c>
      <c r="I107" s="45" t="s">
        <v>2157</v>
      </c>
      <c r="J107" s="45">
        <v>646286491</v>
      </c>
      <c r="K107" s="45" t="s">
        <v>840</v>
      </c>
      <c r="L107" s="48">
        <v>81.58</v>
      </c>
      <c r="M107" s="49">
        <v>20241118213</v>
      </c>
      <c r="N107" s="50" t="s">
        <v>28</v>
      </c>
      <c r="O107" s="50"/>
      <c r="P107" s="50"/>
      <c r="Q107" s="51"/>
      <c r="R107" s="50"/>
      <c r="S107" s="50"/>
      <c r="T107" s="51"/>
      <c r="U107" s="50"/>
    </row>
    <row r="108" spans="1:21" x14ac:dyDescent="0.25">
      <c r="A108" s="45" t="s">
        <v>233</v>
      </c>
      <c r="B108" s="46">
        <v>45762</v>
      </c>
      <c r="C108" s="45" t="s">
        <v>352</v>
      </c>
      <c r="D108" s="47" t="s">
        <v>175</v>
      </c>
      <c r="E108" s="45" t="s">
        <v>245</v>
      </c>
      <c r="F108" s="45" t="s">
        <v>246</v>
      </c>
      <c r="G108" s="45" t="s">
        <v>1294</v>
      </c>
      <c r="H108" s="45" t="s">
        <v>2156</v>
      </c>
      <c r="I108" s="45" t="s">
        <v>2157</v>
      </c>
      <c r="J108" s="45">
        <v>646286491</v>
      </c>
      <c r="K108" s="45" t="s">
        <v>269</v>
      </c>
      <c r="L108" s="48">
        <v>58.2</v>
      </c>
      <c r="M108" s="49">
        <v>20241118215</v>
      </c>
      <c r="N108" s="50" t="s">
        <v>28</v>
      </c>
      <c r="O108" s="50"/>
      <c r="P108" s="50"/>
      <c r="Q108" s="51"/>
      <c r="R108" s="50"/>
      <c r="S108" s="50"/>
      <c r="T108" s="51"/>
      <c r="U108" s="50"/>
    </row>
    <row r="109" spans="1:21" x14ac:dyDescent="0.25">
      <c r="A109" s="45" t="s">
        <v>407</v>
      </c>
      <c r="B109" s="46">
        <v>45762</v>
      </c>
      <c r="C109" s="45" t="s">
        <v>352</v>
      </c>
      <c r="D109" s="47" t="s">
        <v>175</v>
      </c>
      <c r="E109" s="45" t="s">
        <v>245</v>
      </c>
      <c r="F109" s="45" t="s">
        <v>246</v>
      </c>
      <c r="G109" s="45" t="s">
        <v>2158</v>
      </c>
      <c r="H109" s="45" t="s">
        <v>2159</v>
      </c>
      <c r="I109" s="45" t="s">
        <v>2160</v>
      </c>
      <c r="J109" s="45">
        <v>646365347</v>
      </c>
      <c r="K109" s="45" t="s">
        <v>1306</v>
      </c>
      <c r="L109" s="48">
        <v>315</v>
      </c>
      <c r="M109" s="49">
        <v>20241121253</v>
      </c>
      <c r="N109" s="50" t="s">
        <v>28</v>
      </c>
      <c r="O109" s="50"/>
      <c r="P109" s="50"/>
      <c r="Q109" s="51"/>
      <c r="R109" s="50"/>
      <c r="S109" s="50"/>
      <c r="T109" s="51"/>
      <c r="U109" s="50"/>
    </row>
    <row r="110" spans="1:21" x14ac:dyDescent="0.25">
      <c r="A110" s="45" t="s">
        <v>407</v>
      </c>
      <c r="B110" s="46">
        <v>45762</v>
      </c>
      <c r="C110" s="45" t="s">
        <v>352</v>
      </c>
      <c r="D110" s="47" t="s">
        <v>175</v>
      </c>
      <c r="E110" s="45" t="s">
        <v>245</v>
      </c>
      <c r="F110" s="45" t="s">
        <v>246</v>
      </c>
      <c r="G110" s="45" t="s">
        <v>2158</v>
      </c>
      <c r="H110" s="45" t="s">
        <v>2159</v>
      </c>
      <c r="I110" s="45" t="s">
        <v>2160</v>
      </c>
      <c r="J110" s="45">
        <v>646365347</v>
      </c>
      <c r="K110" s="45" t="s">
        <v>1922</v>
      </c>
      <c r="L110" s="48">
        <v>315</v>
      </c>
      <c r="M110" s="49">
        <v>20241121254</v>
      </c>
      <c r="N110" s="50" t="s">
        <v>28</v>
      </c>
      <c r="O110" s="50"/>
      <c r="P110" s="50"/>
      <c r="Q110" s="51"/>
      <c r="R110" s="50"/>
      <c r="S110" s="50"/>
      <c r="T110" s="51"/>
      <c r="U110" s="50"/>
    </row>
    <row r="111" spans="1:21" x14ac:dyDescent="0.25">
      <c r="A111" s="45" t="s">
        <v>20</v>
      </c>
      <c r="B111" s="46">
        <v>45758</v>
      </c>
      <c r="C111" s="45" t="s">
        <v>352</v>
      </c>
      <c r="D111" s="47" t="s">
        <v>168</v>
      </c>
      <c r="E111" s="45" t="s">
        <v>277</v>
      </c>
      <c r="F111" s="45" t="s">
        <v>278</v>
      </c>
      <c r="G111" s="45" t="s">
        <v>860</v>
      </c>
      <c r="H111" s="45" t="s">
        <v>2161</v>
      </c>
      <c r="I111" s="45" t="s">
        <v>2162</v>
      </c>
      <c r="J111" s="45">
        <v>2066</v>
      </c>
      <c r="K111" s="45" t="s">
        <v>48</v>
      </c>
      <c r="L111" s="48">
        <v>60</v>
      </c>
      <c r="M111" s="49">
        <v>20241018574</v>
      </c>
      <c r="N111" s="50" t="s">
        <v>28</v>
      </c>
      <c r="O111" s="50"/>
      <c r="P111" s="50"/>
      <c r="Q111" s="51"/>
      <c r="R111" s="50"/>
      <c r="S111" s="50"/>
      <c r="T111" s="51"/>
      <c r="U111" s="50"/>
    </row>
    <row r="112" spans="1:21" x14ac:dyDescent="0.25">
      <c r="A112" s="45" t="s">
        <v>20</v>
      </c>
      <c r="B112" s="46">
        <v>45758</v>
      </c>
      <c r="C112" s="45" t="s">
        <v>352</v>
      </c>
      <c r="D112" s="47" t="s">
        <v>168</v>
      </c>
      <c r="E112" s="45" t="s">
        <v>277</v>
      </c>
      <c r="F112" s="45" t="s">
        <v>278</v>
      </c>
      <c r="G112" s="45" t="s">
        <v>860</v>
      </c>
      <c r="H112" s="45" t="s">
        <v>1052</v>
      </c>
      <c r="I112" s="45" t="s">
        <v>2163</v>
      </c>
      <c r="J112" s="45">
        <v>2162</v>
      </c>
      <c r="K112" s="45" t="s">
        <v>2164</v>
      </c>
      <c r="L112" s="48">
        <v>15.97</v>
      </c>
      <c r="M112" s="49">
        <v>20241122687</v>
      </c>
      <c r="N112" s="50" t="s">
        <v>28</v>
      </c>
      <c r="O112" s="50"/>
      <c r="P112" s="50"/>
      <c r="Q112" s="51"/>
      <c r="R112" s="50"/>
      <c r="S112" s="50"/>
      <c r="T112" s="51"/>
      <c r="U112" s="50"/>
    </row>
    <row r="113" spans="1:21" ht="25.5" x14ac:dyDescent="0.25">
      <c r="A113" s="45" t="s">
        <v>20</v>
      </c>
      <c r="B113" s="46">
        <v>45758</v>
      </c>
      <c r="C113" s="45" t="s">
        <v>352</v>
      </c>
      <c r="D113" s="47" t="s">
        <v>168</v>
      </c>
      <c r="E113" s="45" t="s">
        <v>277</v>
      </c>
      <c r="F113" s="45" t="s">
        <v>278</v>
      </c>
      <c r="G113" s="45" t="s">
        <v>834</v>
      </c>
      <c r="H113" s="45" t="s">
        <v>867</v>
      </c>
      <c r="I113" s="45" t="s">
        <v>2165</v>
      </c>
      <c r="J113" s="45">
        <v>619347366</v>
      </c>
      <c r="K113" s="45" t="s">
        <v>815</v>
      </c>
      <c r="L113" s="48">
        <v>60</v>
      </c>
      <c r="M113" s="49">
        <v>20241122583</v>
      </c>
      <c r="N113" s="50" t="s">
        <v>28</v>
      </c>
      <c r="O113" s="50"/>
      <c r="P113" s="50"/>
      <c r="Q113" s="51"/>
      <c r="R113" s="50"/>
      <c r="S113" s="50"/>
      <c r="T113" s="51"/>
      <c r="U113" s="50"/>
    </row>
    <row r="114" spans="1:21" ht="25.5" x14ac:dyDescent="0.25">
      <c r="A114" s="45" t="s">
        <v>20</v>
      </c>
      <c r="B114" s="46">
        <v>45758</v>
      </c>
      <c r="C114" s="45" t="s">
        <v>352</v>
      </c>
      <c r="D114" s="47" t="s">
        <v>168</v>
      </c>
      <c r="E114" s="45" t="s">
        <v>277</v>
      </c>
      <c r="F114" s="45" t="s">
        <v>278</v>
      </c>
      <c r="G114" s="45" t="s">
        <v>834</v>
      </c>
      <c r="H114" s="45" t="s">
        <v>867</v>
      </c>
      <c r="I114" s="45" t="s">
        <v>2165</v>
      </c>
      <c r="J114" s="45">
        <v>619347366</v>
      </c>
      <c r="K114" s="45" t="s">
        <v>2166</v>
      </c>
      <c r="L114" s="48">
        <v>30</v>
      </c>
      <c r="M114" s="49">
        <v>20241122582</v>
      </c>
      <c r="N114" s="50" t="s">
        <v>28</v>
      </c>
      <c r="O114" s="50"/>
      <c r="P114" s="50"/>
      <c r="Q114" s="51"/>
      <c r="R114" s="50"/>
      <c r="S114" s="50"/>
      <c r="T114" s="51"/>
      <c r="U114" s="50"/>
    </row>
    <row r="115" spans="1:21" ht="25.5" x14ac:dyDescent="0.25">
      <c r="A115" s="45" t="s">
        <v>20</v>
      </c>
      <c r="B115" s="46">
        <v>45623</v>
      </c>
      <c r="C115" s="45" t="s">
        <v>114</v>
      </c>
      <c r="D115" s="47"/>
      <c r="E115" s="45" t="s">
        <v>277</v>
      </c>
      <c r="F115" s="45" t="s">
        <v>278</v>
      </c>
      <c r="G115" s="45" t="s">
        <v>834</v>
      </c>
      <c r="H115" s="45" t="s">
        <v>867</v>
      </c>
      <c r="I115" s="45" t="s">
        <v>2165</v>
      </c>
      <c r="J115" s="45">
        <v>619347366</v>
      </c>
      <c r="K115" s="45" t="s">
        <v>1833</v>
      </c>
      <c r="L115" s="48">
        <v>30</v>
      </c>
      <c r="M115" s="49">
        <v>20241122579</v>
      </c>
      <c r="N115" s="50" t="s">
        <v>28</v>
      </c>
      <c r="O115" s="50"/>
      <c r="P115" s="50"/>
      <c r="Q115" s="51"/>
      <c r="R115" s="50"/>
      <c r="S115" s="50"/>
      <c r="T115" s="51"/>
      <c r="U115" s="50"/>
    </row>
    <row r="116" spans="1:21" ht="25.5" x14ac:dyDescent="0.25">
      <c r="A116" s="45" t="s">
        <v>20</v>
      </c>
      <c r="B116" s="46">
        <v>45623</v>
      </c>
      <c r="C116" s="45" t="s">
        <v>114</v>
      </c>
      <c r="D116" s="47"/>
      <c r="E116" s="45" t="s">
        <v>277</v>
      </c>
      <c r="F116" s="45" t="s">
        <v>278</v>
      </c>
      <c r="G116" s="45" t="s">
        <v>834</v>
      </c>
      <c r="H116" s="45" t="s">
        <v>867</v>
      </c>
      <c r="I116" s="45" t="s">
        <v>2165</v>
      </c>
      <c r="J116" s="45">
        <v>619347366</v>
      </c>
      <c r="K116" s="45" t="s">
        <v>1150</v>
      </c>
      <c r="L116" s="48">
        <v>30</v>
      </c>
      <c r="M116" s="49">
        <v>20241122581</v>
      </c>
      <c r="N116" s="50" t="s">
        <v>28</v>
      </c>
      <c r="O116" s="50"/>
      <c r="P116" s="50"/>
      <c r="Q116" s="51"/>
      <c r="R116" s="50"/>
      <c r="S116" s="50"/>
      <c r="T116" s="51"/>
      <c r="U116" s="50"/>
    </row>
    <row r="117" spans="1:21" ht="25.5" x14ac:dyDescent="0.25">
      <c r="A117" s="45" t="s">
        <v>20</v>
      </c>
      <c r="B117" s="46">
        <v>45623</v>
      </c>
      <c r="C117" s="45" t="s">
        <v>114</v>
      </c>
      <c r="D117" s="47"/>
      <c r="E117" s="45" t="s">
        <v>277</v>
      </c>
      <c r="F117" s="45" t="s">
        <v>278</v>
      </c>
      <c r="G117" s="45" t="s">
        <v>834</v>
      </c>
      <c r="H117" s="45" t="s">
        <v>867</v>
      </c>
      <c r="I117" s="45" t="s">
        <v>2165</v>
      </c>
      <c r="J117" s="45">
        <v>619347366</v>
      </c>
      <c r="K117" s="45" t="s">
        <v>224</v>
      </c>
      <c r="L117" s="48">
        <v>30</v>
      </c>
      <c r="M117" s="49">
        <v>20241122577</v>
      </c>
      <c r="N117" s="50" t="s">
        <v>28</v>
      </c>
      <c r="O117" s="50"/>
      <c r="P117" s="50"/>
      <c r="Q117" s="51"/>
      <c r="R117" s="50"/>
      <c r="S117" s="50"/>
      <c r="T117" s="51"/>
      <c r="U117" s="50"/>
    </row>
    <row r="118" spans="1:21" ht="25.5" x14ac:dyDescent="0.25">
      <c r="A118" s="45" t="s">
        <v>20</v>
      </c>
      <c r="B118" s="46">
        <v>45623</v>
      </c>
      <c r="C118" s="45" t="s">
        <v>114</v>
      </c>
      <c r="D118" s="47"/>
      <c r="E118" s="45" t="s">
        <v>277</v>
      </c>
      <c r="F118" s="45" t="s">
        <v>278</v>
      </c>
      <c r="G118" s="45" t="s">
        <v>834</v>
      </c>
      <c r="H118" s="45" t="s">
        <v>867</v>
      </c>
      <c r="I118" s="45" t="s">
        <v>2165</v>
      </c>
      <c r="J118" s="45">
        <v>619347366</v>
      </c>
      <c r="K118" s="45" t="s">
        <v>2167</v>
      </c>
      <c r="L118" s="48">
        <v>30</v>
      </c>
      <c r="M118" s="49">
        <v>20241122576</v>
      </c>
      <c r="N118" s="50" t="s">
        <v>28</v>
      </c>
      <c r="O118" s="50"/>
      <c r="P118" s="50"/>
      <c r="Q118" s="51"/>
      <c r="R118" s="50"/>
      <c r="S118" s="50"/>
      <c r="T118" s="51"/>
      <c r="U118" s="50"/>
    </row>
    <row r="119" spans="1:21" x14ac:dyDescent="0.25">
      <c r="A119" s="45" t="s">
        <v>29</v>
      </c>
      <c r="B119" s="46">
        <v>45623</v>
      </c>
      <c r="C119" s="45" t="s">
        <v>114</v>
      </c>
      <c r="D119" s="47"/>
      <c r="E119" s="45" t="s">
        <v>277</v>
      </c>
      <c r="F119" s="45" t="s">
        <v>278</v>
      </c>
      <c r="G119" s="45" t="s">
        <v>171</v>
      </c>
      <c r="H119" s="45" t="s">
        <v>2168</v>
      </c>
      <c r="I119" s="45" t="s">
        <v>2169</v>
      </c>
      <c r="J119" s="45">
        <v>630181199</v>
      </c>
      <c r="K119" s="45" t="s">
        <v>1358</v>
      </c>
      <c r="L119" s="48">
        <v>256.5</v>
      </c>
      <c r="M119" s="49">
        <v>20241118827</v>
      </c>
      <c r="N119" s="50" t="s">
        <v>28</v>
      </c>
      <c r="O119" s="50"/>
      <c r="P119" s="50"/>
      <c r="Q119" s="51"/>
      <c r="R119" s="50"/>
      <c r="S119" s="50"/>
      <c r="T119" s="51"/>
      <c r="U119" s="50"/>
    </row>
    <row r="120" spans="1:21" x14ac:dyDescent="0.25">
      <c r="A120" s="45" t="s">
        <v>29</v>
      </c>
      <c r="B120" s="46">
        <v>45623</v>
      </c>
      <c r="C120" s="45" t="s">
        <v>114</v>
      </c>
      <c r="D120" s="47"/>
      <c r="E120" s="45" t="s">
        <v>277</v>
      </c>
      <c r="F120" s="45" t="s">
        <v>278</v>
      </c>
      <c r="G120" s="45" t="s">
        <v>171</v>
      </c>
      <c r="H120" s="45" t="s">
        <v>2168</v>
      </c>
      <c r="I120" s="45" t="s">
        <v>2169</v>
      </c>
      <c r="J120" s="45">
        <v>630181199</v>
      </c>
      <c r="K120" s="45" t="s">
        <v>56</v>
      </c>
      <c r="L120" s="48">
        <v>769.5</v>
      </c>
      <c r="M120" s="49">
        <v>20241118826</v>
      </c>
      <c r="N120" s="50" t="s">
        <v>28</v>
      </c>
      <c r="O120" s="50"/>
      <c r="P120" s="50"/>
      <c r="Q120" s="51"/>
      <c r="R120" s="50"/>
      <c r="S120" s="50"/>
      <c r="T120" s="51"/>
      <c r="U120" s="50"/>
    </row>
    <row r="121" spans="1:21" ht="165" x14ac:dyDescent="0.25">
      <c r="A121" s="45" t="s">
        <v>20</v>
      </c>
      <c r="B121" s="46">
        <v>45623</v>
      </c>
      <c r="C121" s="45" t="s">
        <v>114</v>
      </c>
      <c r="D121" s="47"/>
      <c r="E121" s="45" t="s">
        <v>277</v>
      </c>
      <c r="F121" s="45" t="s">
        <v>278</v>
      </c>
      <c r="G121" s="45" t="s">
        <v>2170</v>
      </c>
      <c r="H121" s="45" t="s">
        <v>870</v>
      </c>
      <c r="I121" s="45" t="s">
        <v>2171</v>
      </c>
      <c r="J121" s="45">
        <v>632184369</v>
      </c>
      <c r="K121" s="45" t="s">
        <v>237</v>
      </c>
      <c r="L121" s="48">
        <v>1993.75</v>
      </c>
      <c r="M121" s="49">
        <v>20241118615</v>
      </c>
      <c r="N121" s="50" t="s">
        <v>124</v>
      </c>
      <c r="O121" s="50"/>
      <c r="P121" s="50"/>
      <c r="Q121" s="51" t="s">
        <v>2172</v>
      </c>
      <c r="R121" s="50"/>
      <c r="S121" s="50"/>
      <c r="T121" s="51"/>
      <c r="U121" s="50"/>
    </row>
    <row r="122" spans="1:21" x14ac:dyDescent="0.25">
      <c r="A122" s="45" t="s">
        <v>20</v>
      </c>
      <c r="B122" s="46">
        <v>45623</v>
      </c>
      <c r="C122" s="45" t="s">
        <v>114</v>
      </c>
      <c r="D122" s="47"/>
      <c r="E122" s="45" t="s">
        <v>277</v>
      </c>
      <c r="F122" s="45" t="s">
        <v>278</v>
      </c>
      <c r="G122" s="45" t="s">
        <v>376</v>
      </c>
      <c r="H122" s="45" t="s">
        <v>2173</v>
      </c>
      <c r="I122" s="45" t="s">
        <v>2174</v>
      </c>
      <c r="J122" s="45">
        <v>646304959</v>
      </c>
      <c r="K122" s="45" t="s">
        <v>1540</v>
      </c>
      <c r="L122" s="48">
        <v>48.57</v>
      </c>
      <c r="M122" s="49">
        <v>20241107508</v>
      </c>
      <c r="N122" s="50" t="s">
        <v>28</v>
      </c>
      <c r="O122" s="50"/>
      <c r="P122" s="50"/>
      <c r="Q122" s="51"/>
      <c r="R122" s="50"/>
      <c r="S122" s="50"/>
      <c r="T122" s="51"/>
      <c r="U122" s="50"/>
    </row>
    <row r="123" spans="1:21" x14ac:dyDescent="0.25">
      <c r="A123" s="45" t="s">
        <v>20</v>
      </c>
      <c r="B123" s="46">
        <v>45623</v>
      </c>
      <c r="C123" s="45" t="s">
        <v>114</v>
      </c>
      <c r="D123" s="47"/>
      <c r="E123" s="45" t="s">
        <v>277</v>
      </c>
      <c r="F123" s="45" t="s">
        <v>278</v>
      </c>
      <c r="G123" s="45" t="s">
        <v>30</v>
      </c>
      <c r="H123" s="45" t="s">
        <v>2175</v>
      </c>
      <c r="I123" s="45" t="s">
        <v>2176</v>
      </c>
      <c r="J123" s="45">
        <v>750104525</v>
      </c>
      <c r="K123" s="45" t="s">
        <v>250</v>
      </c>
      <c r="L123" s="48">
        <v>26.87</v>
      </c>
      <c r="M123" s="49">
        <v>20241118490</v>
      </c>
      <c r="N123" s="50" t="s">
        <v>28</v>
      </c>
      <c r="O123" s="50"/>
      <c r="P123" s="50"/>
      <c r="Q123" s="51"/>
      <c r="R123" s="50"/>
      <c r="S123" s="50"/>
      <c r="T123" s="51"/>
      <c r="U123" s="50"/>
    </row>
    <row r="124" spans="1:21" x14ac:dyDescent="0.25">
      <c r="A124" s="45" t="s">
        <v>20</v>
      </c>
      <c r="B124" s="46">
        <v>45623</v>
      </c>
      <c r="C124" s="45" t="s">
        <v>114</v>
      </c>
      <c r="D124" s="47"/>
      <c r="E124" s="45" t="s">
        <v>277</v>
      </c>
      <c r="F124" s="45" t="s">
        <v>278</v>
      </c>
      <c r="G124" s="45" t="s">
        <v>30</v>
      </c>
      <c r="H124" s="45" t="s">
        <v>2175</v>
      </c>
      <c r="I124" s="45" t="s">
        <v>2176</v>
      </c>
      <c r="J124" s="45">
        <v>750104525</v>
      </c>
      <c r="K124" s="45" t="s">
        <v>2177</v>
      </c>
      <c r="L124" s="48">
        <v>903.48</v>
      </c>
      <c r="M124" s="49">
        <v>20241118491</v>
      </c>
      <c r="N124" s="50" t="s">
        <v>28</v>
      </c>
      <c r="O124" s="50"/>
      <c r="P124" s="50"/>
      <c r="Q124" s="51"/>
      <c r="R124" s="50"/>
      <c r="S124" s="50"/>
      <c r="T124" s="51"/>
      <c r="U124" s="50"/>
    </row>
    <row r="125" spans="1:21" x14ac:dyDescent="0.25">
      <c r="A125" s="45" t="s">
        <v>20</v>
      </c>
      <c r="B125" s="46">
        <v>45623</v>
      </c>
      <c r="C125" s="45" t="s">
        <v>114</v>
      </c>
      <c r="D125" s="47"/>
      <c r="E125" s="45" t="s">
        <v>277</v>
      </c>
      <c r="F125" s="45" t="s">
        <v>278</v>
      </c>
      <c r="G125" s="45" t="s">
        <v>148</v>
      </c>
      <c r="H125" s="45" t="s">
        <v>2178</v>
      </c>
      <c r="I125" s="45" t="s">
        <v>2179</v>
      </c>
      <c r="J125" s="45">
        <v>750180942</v>
      </c>
      <c r="K125" s="45" t="s">
        <v>1990</v>
      </c>
      <c r="L125" s="48">
        <v>37.979999999999997</v>
      </c>
      <c r="M125" s="49">
        <v>20241114569</v>
      </c>
      <c r="N125" s="50" t="s">
        <v>28</v>
      </c>
      <c r="O125" s="50"/>
      <c r="P125" s="50"/>
      <c r="Q125" s="51"/>
      <c r="R125" s="50"/>
      <c r="S125" s="50"/>
      <c r="T125" s="51"/>
      <c r="U125" s="50"/>
    </row>
    <row r="126" spans="1:21" x14ac:dyDescent="0.25">
      <c r="A126" s="45" t="s">
        <v>29</v>
      </c>
      <c r="B126" s="46">
        <v>45623</v>
      </c>
      <c r="C126" s="45" t="s">
        <v>114</v>
      </c>
      <c r="D126" s="47"/>
      <c r="E126" s="45" t="s">
        <v>690</v>
      </c>
      <c r="F126" s="45" t="s">
        <v>691</v>
      </c>
      <c r="G126" s="45" t="s">
        <v>2180</v>
      </c>
      <c r="H126" s="45" t="s">
        <v>2181</v>
      </c>
      <c r="I126" s="45" t="s">
        <v>2182</v>
      </c>
      <c r="J126" s="45">
        <v>456790406</v>
      </c>
      <c r="K126" s="45" t="s">
        <v>2125</v>
      </c>
      <c r="L126" s="48">
        <v>821.98</v>
      </c>
      <c r="M126" s="49">
        <v>20241122832</v>
      </c>
      <c r="N126" s="50" t="s">
        <v>28</v>
      </c>
      <c r="O126" s="50"/>
      <c r="P126" s="50"/>
      <c r="Q126" s="51"/>
      <c r="R126" s="50"/>
      <c r="S126" s="50"/>
      <c r="T126" s="51"/>
      <c r="U126" s="50"/>
    </row>
    <row r="127" spans="1:21" x14ac:dyDescent="0.25">
      <c r="A127" s="45" t="s">
        <v>20</v>
      </c>
      <c r="B127" s="46">
        <v>45623</v>
      </c>
      <c r="C127" s="45" t="s">
        <v>114</v>
      </c>
      <c r="D127" s="47"/>
      <c r="E127" s="45" t="s">
        <v>296</v>
      </c>
      <c r="F127" s="45" t="s">
        <v>297</v>
      </c>
      <c r="G127" s="45" t="s">
        <v>1171</v>
      </c>
      <c r="H127" s="45" t="s">
        <v>2183</v>
      </c>
      <c r="I127" s="45" t="s">
        <v>2184</v>
      </c>
      <c r="J127" s="45">
        <v>623177801</v>
      </c>
      <c r="K127" s="45" t="s">
        <v>2098</v>
      </c>
      <c r="L127" s="48">
        <v>25</v>
      </c>
      <c r="M127" s="49">
        <v>20241122680</v>
      </c>
      <c r="N127" s="50" t="s">
        <v>28</v>
      </c>
      <c r="O127" s="50"/>
      <c r="P127" s="50"/>
      <c r="Q127" s="51"/>
      <c r="R127" s="50"/>
      <c r="S127" s="50"/>
      <c r="T127" s="51"/>
      <c r="U127" s="50"/>
    </row>
    <row r="128" spans="1:21" x14ac:dyDescent="0.25">
      <c r="A128" s="45" t="s">
        <v>20</v>
      </c>
      <c r="B128" s="46">
        <v>45623</v>
      </c>
      <c r="C128" s="45" t="s">
        <v>114</v>
      </c>
      <c r="D128" s="47"/>
      <c r="E128" s="45" t="s">
        <v>296</v>
      </c>
      <c r="F128" s="45" t="s">
        <v>297</v>
      </c>
      <c r="G128" s="45" t="s">
        <v>376</v>
      </c>
      <c r="H128" s="45" t="s">
        <v>2185</v>
      </c>
      <c r="I128" s="45" t="s">
        <v>2186</v>
      </c>
      <c r="J128" s="45">
        <v>627528832</v>
      </c>
      <c r="K128" s="45" t="s">
        <v>63</v>
      </c>
      <c r="L128" s="48">
        <v>1240</v>
      </c>
      <c r="M128" s="49">
        <v>20241120445</v>
      </c>
      <c r="N128" s="50" t="s">
        <v>28</v>
      </c>
      <c r="O128" s="50"/>
      <c r="P128" s="50"/>
      <c r="Q128" s="51"/>
      <c r="R128" s="50"/>
      <c r="S128" s="50"/>
      <c r="T128" s="51"/>
      <c r="U128" s="50"/>
    </row>
    <row r="129" spans="1:21" x14ac:dyDescent="0.25">
      <c r="A129" s="45" t="s">
        <v>29</v>
      </c>
      <c r="B129" s="46">
        <v>45623</v>
      </c>
      <c r="C129" s="45" t="s">
        <v>114</v>
      </c>
      <c r="D129" s="47"/>
      <c r="E129" s="45" t="s">
        <v>296</v>
      </c>
      <c r="F129" s="45" t="s">
        <v>297</v>
      </c>
      <c r="G129" s="45" t="s">
        <v>1866</v>
      </c>
      <c r="H129" s="45" t="s">
        <v>2187</v>
      </c>
      <c r="I129" s="45" t="s">
        <v>2188</v>
      </c>
      <c r="J129" s="45">
        <v>635107779</v>
      </c>
      <c r="K129" s="45" t="s">
        <v>184</v>
      </c>
      <c r="L129" s="48">
        <v>440</v>
      </c>
      <c r="M129" s="49">
        <v>20241121325</v>
      </c>
      <c r="N129" s="50" t="s">
        <v>28</v>
      </c>
      <c r="O129" s="50"/>
      <c r="P129" s="50"/>
      <c r="Q129" s="51"/>
      <c r="R129" s="50"/>
      <c r="S129" s="50"/>
      <c r="T129" s="51"/>
      <c r="U129" s="50"/>
    </row>
    <row r="130" spans="1:21" x14ac:dyDescent="0.25">
      <c r="A130" s="45" t="s">
        <v>29</v>
      </c>
      <c r="B130" s="46">
        <v>45757</v>
      </c>
      <c r="C130" s="45" t="s">
        <v>168</v>
      </c>
      <c r="D130" s="47"/>
      <c r="E130" s="45" t="s">
        <v>296</v>
      </c>
      <c r="F130" s="45" t="s">
        <v>297</v>
      </c>
      <c r="G130" s="45" t="s">
        <v>1866</v>
      </c>
      <c r="H130" s="45" t="s">
        <v>2187</v>
      </c>
      <c r="I130" s="45" t="s">
        <v>2188</v>
      </c>
      <c r="J130" s="45">
        <v>635107779</v>
      </c>
      <c r="K130" s="45" t="s">
        <v>1358</v>
      </c>
      <c r="L130" s="48">
        <v>220</v>
      </c>
      <c r="M130" s="49">
        <v>20241121328</v>
      </c>
      <c r="N130" s="50" t="s">
        <v>28</v>
      </c>
      <c r="O130" s="50"/>
      <c r="P130" s="50"/>
      <c r="Q130" s="51"/>
      <c r="R130" s="50"/>
      <c r="S130" s="50"/>
      <c r="T130" s="51"/>
      <c r="U130" s="50"/>
    </row>
    <row r="131" spans="1:21" x14ac:dyDescent="0.25">
      <c r="A131" s="45" t="s">
        <v>20</v>
      </c>
      <c r="B131" s="46">
        <v>45757</v>
      </c>
      <c r="C131" s="45" t="s">
        <v>168</v>
      </c>
      <c r="D131" s="47"/>
      <c r="E131" s="45" t="s">
        <v>296</v>
      </c>
      <c r="F131" s="45" t="s">
        <v>297</v>
      </c>
      <c r="G131" s="45" t="s">
        <v>2189</v>
      </c>
      <c r="H131" s="45" t="s">
        <v>2190</v>
      </c>
      <c r="I131" s="45" t="s">
        <v>335</v>
      </c>
      <c r="J131" s="45">
        <v>635445907</v>
      </c>
      <c r="K131" s="45" t="s">
        <v>2050</v>
      </c>
      <c r="L131" s="48">
        <v>200</v>
      </c>
      <c r="M131" s="49">
        <v>20241119256</v>
      </c>
      <c r="N131" s="50" t="s">
        <v>28</v>
      </c>
      <c r="O131" s="50"/>
      <c r="P131" s="50"/>
      <c r="Q131" s="51"/>
      <c r="R131" s="50"/>
      <c r="S131" s="50"/>
      <c r="T131" s="51"/>
      <c r="U131" s="50"/>
    </row>
    <row r="132" spans="1:21" x14ac:dyDescent="0.25">
      <c r="A132" s="45" t="s">
        <v>29</v>
      </c>
      <c r="B132" s="46">
        <v>45757</v>
      </c>
      <c r="C132" s="45" t="s">
        <v>168</v>
      </c>
      <c r="D132" s="47"/>
      <c r="E132" s="45" t="s">
        <v>296</v>
      </c>
      <c r="F132" s="45" t="s">
        <v>297</v>
      </c>
      <c r="G132" s="45" t="s">
        <v>1866</v>
      </c>
      <c r="H132" s="45" t="s">
        <v>2191</v>
      </c>
      <c r="I132" s="45" t="s">
        <v>2192</v>
      </c>
      <c r="J132" s="45">
        <v>636162889</v>
      </c>
      <c r="K132" s="45" t="s">
        <v>48</v>
      </c>
      <c r="L132" s="48">
        <v>1850</v>
      </c>
      <c r="M132" s="49">
        <v>20241119484</v>
      </c>
      <c r="N132" s="50" t="s">
        <v>28</v>
      </c>
      <c r="O132" s="50"/>
      <c r="P132" s="50"/>
      <c r="Q132" s="51"/>
      <c r="R132" s="50"/>
      <c r="S132" s="50"/>
      <c r="T132" s="51"/>
      <c r="U132" s="50"/>
    </row>
    <row r="133" spans="1:21" x14ac:dyDescent="0.25">
      <c r="A133" s="45" t="s">
        <v>29</v>
      </c>
      <c r="B133" s="46">
        <v>45757</v>
      </c>
      <c r="C133" s="45" t="s">
        <v>168</v>
      </c>
      <c r="D133" s="47"/>
      <c r="E133" s="45" t="s">
        <v>296</v>
      </c>
      <c r="F133" s="45" t="s">
        <v>297</v>
      </c>
      <c r="G133" s="45" t="s">
        <v>1866</v>
      </c>
      <c r="H133" s="45" t="s">
        <v>2193</v>
      </c>
      <c r="I133" s="45" t="s">
        <v>2194</v>
      </c>
      <c r="J133" s="45">
        <v>637423371</v>
      </c>
      <c r="K133" s="45" t="s">
        <v>1358</v>
      </c>
      <c r="L133" s="48">
        <v>200</v>
      </c>
      <c r="M133" s="49">
        <v>20241118675</v>
      </c>
      <c r="N133" s="50" t="s">
        <v>28</v>
      </c>
      <c r="O133" s="50"/>
      <c r="P133" s="50"/>
      <c r="Q133" s="51"/>
      <c r="R133" s="50"/>
      <c r="S133" s="50"/>
      <c r="T133" s="51"/>
      <c r="U133" s="50"/>
    </row>
    <row r="134" spans="1:21" x14ac:dyDescent="0.25">
      <c r="A134" s="45" t="s">
        <v>29</v>
      </c>
      <c r="B134" s="46">
        <v>45757</v>
      </c>
      <c r="C134" s="45" t="s">
        <v>168</v>
      </c>
      <c r="D134" s="47"/>
      <c r="E134" s="45" t="s">
        <v>296</v>
      </c>
      <c r="F134" s="45" t="s">
        <v>297</v>
      </c>
      <c r="G134" s="45" t="s">
        <v>2195</v>
      </c>
      <c r="H134" s="45" t="s">
        <v>2196</v>
      </c>
      <c r="I134" s="45" t="s">
        <v>2197</v>
      </c>
      <c r="J134" s="45">
        <v>638107047</v>
      </c>
      <c r="K134" s="45" t="s">
        <v>765</v>
      </c>
      <c r="L134" s="48">
        <v>416.66</v>
      </c>
      <c r="M134" s="49">
        <v>20241119508</v>
      </c>
      <c r="N134" s="50" t="s">
        <v>28</v>
      </c>
      <c r="O134" s="50"/>
      <c r="P134" s="50"/>
      <c r="Q134" s="51"/>
      <c r="R134" s="50"/>
      <c r="S134" s="50"/>
      <c r="T134" s="51"/>
      <c r="U134" s="50"/>
    </row>
    <row r="135" spans="1:21" x14ac:dyDescent="0.25">
      <c r="A135" s="45" t="s">
        <v>29</v>
      </c>
      <c r="B135" s="46">
        <v>45757</v>
      </c>
      <c r="C135" s="45" t="s">
        <v>168</v>
      </c>
      <c r="D135" s="47"/>
      <c r="E135" s="45" t="s">
        <v>296</v>
      </c>
      <c r="F135" s="45" t="s">
        <v>297</v>
      </c>
      <c r="G135" s="45" t="s">
        <v>869</v>
      </c>
      <c r="H135" s="45" t="s">
        <v>2198</v>
      </c>
      <c r="I135" s="45" t="s">
        <v>2199</v>
      </c>
      <c r="J135" s="45">
        <v>640329548</v>
      </c>
      <c r="K135" s="45" t="s">
        <v>56</v>
      </c>
      <c r="L135" s="48">
        <v>1849</v>
      </c>
      <c r="M135" s="49">
        <v>20241118666</v>
      </c>
      <c r="N135" s="50" t="s">
        <v>28</v>
      </c>
      <c r="O135" s="50"/>
      <c r="P135" s="50"/>
      <c r="Q135" s="51"/>
      <c r="R135" s="50"/>
      <c r="S135" s="50"/>
      <c r="T135" s="51"/>
      <c r="U135" s="50"/>
    </row>
    <row r="136" spans="1:21" x14ac:dyDescent="0.25">
      <c r="A136" s="45" t="s">
        <v>20</v>
      </c>
      <c r="B136" s="46">
        <v>45757</v>
      </c>
      <c r="C136" s="45" t="s">
        <v>168</v>
      </c>
      <c r="D136" s="47"/>
      <c r="E136" s="45" t="s">
        <v>296</v>
      </c>
      <c r="F136" s="45" t="s">
        <v>297</v>
      </c>
      <c r="G136" s="45" t="s">
        <v>2200</v>
      </c>
      <c r="H136" s="45" t="s">
        <v>2201</v>
      </c>
      <c r="I136" s="45" t="s">
        <v>2202</v>
      </c>
      <c r="J136" s="45">
        <v>641056196</v>
      </c>
      <c r="K136" s="45" t="s">
        <v>1806</v>
      </c>
      <c r="L136" s="48">
        <v>60</v>
      </c>
      <c r="M136" s="49">
        <v>20241121438</v>
      </c>
      <c r="N136" s="50" t="s">
        <v>28</v>
      </c>
      <c r="O136" s="50"/>
      <c r="P136" s="50"/>
      <c r="Q136" s="51"/>
      <c r="R136" s="50"/>
      <c r="S136" s="50"/>
      <c r="T136" s="51"/>
      <c r="U136" s="50"/>
    </row>
    <row r="137" spans="1:21" x14ac:dyDescent="0.25">
      <c r="A137" s="45" t="s">
        <v>29</v>
      </c>
      <c r="B137" s="46">
        <v>45757</v>
      </c>
      <c r="C137" s="45" t="s">
        <v>168</v>
      </c>
      <c r="D137" s="47"/>
      <c r="E137" s="45" t="s">
        <v>296</v>
      </c>
      <c r="F137" s="45" t="s">
        <v>297</v>
      </c>
      <c r="G137" s="45" t="s">
        <v>2203</v>
      </c>
      <c r="H137" s="45" t="s">
        <v>1166</v>
      </c>
      <c r="I137" s="45" t="s">
        <v>2204</v>
      </c>
      <c r="J137" s="45">
        <v>643203274</v>
      </c>
      <c r="K137" s="45" t="s">
        <v>1358</v>
      </c>
      <c r="L137" s="48">
        <v>200</v>
      </c>
      <c r="M137" s="49">
        <v>20241121673</v>
      </c>
      <c r="N137" s="50" t="s">
        <v>28</v>
      </c>
      <c r="O137" s="50"/>
      <c r="P137" s="50"/>
      <c r="Q137" s="51"/>
      <c r="R137" s="50"/>
      <c r="S137" s="50"/>
      <c r="T137" s="51"/>
      <c r="U137" s="50"/>
    </row>
    <row r="138" spans="1:21" x14ac:dyDescent="0.25">
      <c r="A138" s="45" t="s">
        <v>29</v>
      </c>
      <c r="B138" s="46">
        <v>45757</v>
      </c>
      <c r="C138" s="45" t="s">
        <v>168</v>
      </c>
      <c r="D138" s="47"/>
      <c r="E138" s="45" t="s">
        <v>296</v>
      </c>
      <c r="F138" s="45" t="s">
        <v>297</v>
      </c>
      <c r="G138" s="45" t="s">
        <v>2203</v>
      </c>
      <c r="H138" s="45" t="s">
        <v>1166</v>
      </c>
      <c r="I138" s="45" t="s">
        <v>2204</v>
      </c>
      <c r="J138" s="45">
        <v>643203274</v>
      </c>
      <c r="K138" s="45" t="s">
        <v>184</v>
      </c>
      <c r="L138" s="48">
        <v>175</v>
      </c>
      <c r="M138" s="49">
        <v>20241121671</v>
      </c>
      <c r="N138" s="50" t="s">
        <v>28</v>
      </c>
      <c r="O138" s="50"/>
      <c r="P138" s="50"/>
      <c r="Q138" s="51"/>
      <c r="R138" s="50"/>
      <c r="S138" s="50"/>
      <c r="T138" s="51"/>
      <c r="U138" s="50"/>
    </row>
    <row r="139" spans="1:21" x14ac:dyDescent="0.25">
      <c r="A139" s="45" t="s">
        <v>29</v>
      </c>
      <c r="B139" s="46">
        <v>45757</v>
      </c>
      <c r="C139" s="45" t="s">
        <v>168</v>
      </c>
      <c r="D139" s="47"/>
      <c r="E139" s="45" t="s">
        <v>296</v>
      </c>
      <c r="F139" s="45" t="s">
        <v>297</v>
      </c>
      <c r="G139" s="45" t="s">
        <v>2203</v>
      </c>
      <c r="H139" s="45" t="s">
        <v>1166</v>
      </c>
      <c r="I139" s="45" t="s">
        <v>2204</v>
      </c>
      <c r="J139" s="45">
        <v>643203274</v>
      </c>
      <c r="K139" s="45" t="s">
        <v>48</v>
      </c>
      <c r="L139" s="48">
        <v>100</v>
      </c>
      <c r="M139" s="49">
        <v>20241121660</v>
      </c>
      <c r="N139" s="50" t="s">
        <v>28</v>
      </c>
      <c r="O139" s="50"/>
      <c r="P139" s="50"/>
      <c r="Q139" s="51"/>
      <c r="R139" s="50"/>
      <c r="S139" s="50"/>
      <c r="T139" s="51"/>
      <c r="U139" s="50"/>
    </row>
    <row r="140" spans="1:21" x14ac:dyDescent="0.25">
      <c r="A140" s="45" t="s">
        <v>29</v>
      </c>
      <c r="B140" s="46">
        <v>45757</v>
      </c>
      <c r="C140" s="45" t="s">
        <v>168</v>
      </c>
      <c r="D140" s="47"/>
      <c r="E140" s="45" t="s">
        <v>296</v>
      </c>
      <c r="F140" s="45" t="s">
        <v>297</v>
      </c>
      <c r="G140" s="45" t="s">
        <v>2203</v>
      </c>
      <c r="H140" s="45" t="s">
        <v>1166</v>
      </c>
      <c r="I140" s="45" t="s">
        <v>2204</v>
      </c>
      <c r="J140" s="45">
        <v>643203274</v>
      </c>
      <c r="K140" s="45" t="s">
        <v>56</v>
      </c>
      <c r="L140" s="48">
        <v>175</v>
      </c>
      <c r="M140" s="49">
        <v>20241121650</v>
      </c>
      <c r="N140" s="50" t="s">
        <v>28</v>
      </c>
      <c r="O140" s="50"/>
      <c r="P140" s="50"/>
      <c r="Q140" s="51"/>
      <c r="R140" s="50"/>
      <c r="S140" s="50"/>
      <c r="T140" s="51"/>
      <c r="U140" s="50"/>
    </row>
    <row r="141" spans="1:21" x14ac:dyDescent="0.25">
      <c r="A141" s="45" t="s">
        <v>29</v>
      </c>
      <c r="B141" s="46">
        <v>45757</v>
      </c>
      <c r="C141" s="45" t="s">
        <v>168</v>
      </c>
      <c r="D141" s="47"/>
      <c r="E141" s="45" t="s">
        <v>296</v>
      </c>
      <c r="F141" s="45" t="s">
        <v>297</v>
      </c>
      <c r="G141" s="45" t="s">
        <v>2203</v>
      </c>
      <c r="H141" s="45" t="s">
        <v>1166</v>
      </c>
      <c r="I141" s="45" t="s">
        <v>2204</v>
      </c>
      <c r="J141" s="45">
        <v>643203274</v>
      </c>
      <c r="K141" s="45" t="s">
        <v>48</v>
      </c>
      <c r="L141" s="48">
        <v>75</v>
      </c>
      <c r="M141" s="49">
        <v>20241121649</v>
      </c>
      <c r="N141" s="50" t="s">
        <v>28</v>
      </c>
      <c r="O141" s="50"/>
      <c r="P141" s="50"/>
      <c r="Q141" s="51"/>
      <c r="R141" s="50"/>
      <c r="S141" s="50"/>
      <c r="T141" s="51"/>
      <c r="U141" s="50"/>
    </row>
    <row r="142" spans="1:21" x14ac:dyDescent="0.25">
      <c r="A142" s="45" t="s">
        <v>20</v>
      </c>
      <c r="B142" s="46">
        <v>45757</v>
      </c>
      <c r="C142" s="45" t="s">
        <v>168</v>
      </c>
      <c r="D142" s="47"/>
      <c r="E142" s="45" t="s">
        <v>669</v>
      </c>
      <c r="F142" s="45" t="s">
        <v>670</v>
      </c>
      <c r="G142" s="45" t="s">
        <v>1677</v>
      </c>
      <c r="H142" s="45" t="s">
        <v>1393</v>
      </c>
      <c r="I142" s="45" t="s">
        <v>2205</v>
      </c>
      <c r="J142" s="45">
        <v>529578031</v>
      </c>
      <c r="K142" s="45" t="s">
        <v>840</v>
      </c>
      <c r="L142" s="48">
        <v>2600</v>
      </c>
      <c r="M142" s="49">
        <v>20241121250</v>
      </c>
      <c r="N142" s="50" t="s">
        <v>28</v>
      </c>
      <c r="O142" s="50"/>
      <c r="P142" s="50"/>
      <c r="Q142" s="51"/>
      <c r="R142" s="50"/>
      <c r="S142" s="50"/>
      <c r="T142" s="51"/>
      <c r="U142" s="50"/>
    </row>
    <row r="143" spans="1:21" x14ac:dyDescent="0.25">
      <c r="A143" s="45" t="s">
        <v>20</v>
      </c>
      <c r="B143" s="46">
        <v>45757</v>
      </c>
      <c r="C143" s="45" t="s">
        <v>168</v>
      </c>
      <c r="D143" s="47"/>
      <c r="E143" s="45" t="s">
        <v>622</v>
      </c>
      <c r="F143" s="45" t="s">
        <v>267</v>
      </c>
      <c r="G143" s="45" t="s">
        <v>1689</v>
      </c>
      <c r="H143" s="45" t="s">
        <v>2206</v>
      </c>
      <c r="I143" s="45" t="s">
        <v>2207</v>
      </c>
      <c r="J143" s="45">
        <v>528798609</v>
      </c>
      <c r="K143" s="45" t="s">
        <v>1889</v>
      </c>
      <c r="L143" s="48">
        <v>600</v>
      </c>
      <c r="M143" s="49">
        <v>20241113258</v>
      </c>
      <c r="N143" s="50" t="s">
        <v>28</v>
      </c>
      <c r="O143" s="50"/>
      <c r="P143" s="50"/>
      <c r="Q143" s="51"/>
      <c r="R143" s="50"/>
      <c r="S143" s="50"/>
      <c r="T143" s="51"/>
      <c r="U143" s="50"/>
    </row>
    <row r="144" spans="1:21" x14ac:dyDescent="0.25">
      <c r="A144" s="45" t="s">
        <v>233</v>
      </c>
      <c r="B144" s="46">
        <v>45757</v>
      </c>
      <c r="C144" s="45" t="s">
        <v>21</v>
      </c>
      <c r="D144" s="47" t="s">
        <v>34</v>
      </c>
      <c r="E144" s="45" t="s">
        <v>325</v>
      </c>
      <c r="F144" s="45" t="s">
        <v>278</v>
      </c>
      <c r="G144" s="45" t="s">
        <v>347</v>
      </c>
      <c r="H144" s="45" t="s">
        <v>2208</v>
      </c>
      <c r="I144" s="45" t="s">
        <v>2209</v>
      </c>
      <c r="J144" s="45">
        <v>13402928</v>
      </c>
      <c r="K144" s="45" t="s">
        <v>1347</v>
      </c>
      <c r="L144" s="48">
        <v>412</v>
      </c>
      <c r="M144" s="49">
        <v>20241121744</v>
      </c>
      <c r="N144" s="50" t="s">
        <v>28</v>
      </c>
      <c r="O144" s="50"/>
      <c r="P144" s="50"/>
      <c r="Q144" s="51"/>
      <c r="R144" s="50"/>
      <c r="S144" s="50"/>
      <c r="T144" s="51"/>
      <c r="U144" s="50"/>
    </row>
    <row r="145" spans="1:21" x14ac:dyDescent="0.25">
      <c r="A145" s="45" t="s">
        <v>233</v>
      </c>
      <c r="B145" s="46">
        <v>45757</v>
      </c>
      <c r="C145" s="45" t="s">
        <v>21</v>
      </c>
      <c r="D145" s="47" t="s">
        <v>34</v>
      </c>
      <c r="E145" s="45" t="s">
        <v>325</v>
      </c>
      <c r="F145" s="45" t="s">
        <v>278</v>
      </c>
      <c r="G145" s="45" t="s">
        <v>347</v>
      </c>
      <c r="H145" s="45" t="s">
        <v>2208</v>
      </c>
      <c r="I145" s="45" t="s">
        <v>2209</v>
      </c>
      <c r="J145" s="45">
        <v>13402928</v>
      </c>
      <c r="K145" s="45" t="s">
        <v>1347</v>
      </c>
      <c r="L145" s="48">
        <v>412</v>
      </c>
      <c r="M145" s="49">
        <v>20241121743</v>
      </c>
      <c r="N145" s="50" t="s">
        <v>28</v>
      </c>
      <c r="O145" s="50"/>
      <c r="P145" s="50"/>
      <c r="Q145" s="51"/>
      <c r="R145" s="50"/>
      <c r="S145" s="50"/>
      <c r="T145" s="51"/>
      <c r="U145" s="50"/>
    </row>
    <row r="146" spans="1:21" x14ac:dyDescent="0.25">
      <c r="A146" s="45" t="s">
        <v>29</v>
      </c>
      <c r="B146" s="46">
        <v>45757</v>
      </c>
      <c r="C146" s="45" t="s">
        <v>168</v>
      </c>
      <c r="D146" s="47" t="s">
        <v>34</v>
      </c>
      <c r="E146" s="45" t="s">
        <v>325</v>
      </c>
      <c r="F146" s="45" t="s">
        <v>278</v>
      </c>
      <c r="G146" s="45" t="s">
        <v>178</v>
      </c>
      <c r="H146" s="45" t="s">
        <v>1452</v>
      </c>
      <c r="I146" s="45" t="s">
        <v>1453</v>
      </c>
      <c r="J146" s="45">
        <v>45721164</v>
      </c>
      <c r="K146" s="45" t="s">
        <v>83</v>
      </c>
      <c r="L146" s="48">
        <v>1678</v>
      </c>
      <c r="M146" s="49">
        <v>20241119648</v>
      </c>
      <c r="N146" s="50" t="s">
        <v>28</v>
      </c>
      <c r="O146" s="50"/>
      <c r="P146" s="50"/>
      <c r="Q146" s="51"/>
      <c r="R146" s="50"/>
      <c r="S146" s="50"/>
      <c r="T146" s="51"/>
      <c r="U146" s="50"/>
    </row>
    <row r="147" spans="1:21" x14ac:dyDescent="0.25">
      <c r="A147" s="45" t="s">
        <v>233</v>
      </c>
      <c r="B147" s="46">
        <v>45757</v>
      </c>
      <c r="C147" s="45" t="s">
        <v>21</v>
      </c>
      <c r="D147" s="47" t="s">
        <v>34</v>
      </c>
      <c r="E147" s="45" t="s">
        <v>325</v>
      </c>
      <c r="F147" s="45" t="s">
        <v>278</v>
      </c>
      <c r="G147" s="45" t="s">
        <v>347</v>
      </c>
      <c r="H147" s="45" t="s">
        <v>211</v>
      </c>
      <c r="I147" s="45" t="s">
        <v>2210</v>
      </c>
      <c r="J147" s="45">
        <v>122563320</v>
      </c>
      <c r="K147" s="45" t="s">
        <v>271</v>
      </c>
      <c r="L147" s="48">
        <v>40.619999999999997</v>
      </c>
      <c r="M147" s="49">
        <v>20241119791</v>
      </c>
      <c r="N147" s="50" t="s">
        <v>28</v>
      </c>
      <c r="O147" s="50"/>
      <c r="P147" s="50"/>
      <c r="Q147" s="51"/>
      <c r="R147" s="50"/>
      <c r="S147" s="50"/>
      <c r="T147" s="51"/>
      <c r="U147" s="50"/>
    </row>
    <row r="148" spans="1:21" x14ac:dyDescent="0.25">
      <c r="A148" s="45" t="s">
        <v>324</v>
      </c>
      <c r="B148" s="46">
        <v>45757</v>
      </c>
      <c r="C148" s="45" t="s">
        <v>21</v>
      </c>
      <c r="D148" s="47" t="s">
        <v>34</v>
      </c>
      <c r="E148" s="45" t="s">
        <v>325</v>
      </c>
      <c r="F148" s="45" t="s">
        <v>278</v>
      </c>
      <c r="G148" s="45" t="s">
        <v>326</v>
      </c>
      <c r="H148" s="45" t="s">
        <v>1448</v>
      </c>
      <c r="I148" s="45" t="s">
        <v>2211</v>
      </c>
      <c r="J148" s="45">
        <v>135809604</v>
      </c>
      <c r="K148" s="45" t="s">
        <v>1907</v>
      </c>
      <c r="L148" s="48">
        <v>101.9</v>
      </c>
      <c r="M148" s="49">
        <v>202411181416</v>
      </c>
      <c r="N148" s="50" t="s">
        <v>28</v>
      </c>
      <c r="O148" s="50"/>
      <c r="P148" s="50"/>
      <c r="Q148" s="51"/>
      <c r="R148" s="50"/>
      <c r="S148" s="50"/>
      <c r="T148" s="51"/>
      <c r="U148" s="50"/>
    </row>
    <row r="149" spans="1:21" x14ac:dyDescent="0.25">
      <c r="A149" s="45" t="s">
        <v>324</v>
      </c>
      <c r="B149" s="46">
        <v>45757</v>
      </c>
      <c r="C149" s="45" t="s">
        <v>21</v>
      </c>
      <c r="D149" s="47" t="s">
        <v>34</v>
      </c>
      <c r="E149" s="45" t="s">
        <v>325</v>
      </c>
      <c r="F149" s="45" t="s">
        <v>278</v>
      </c>
      <c r="G149" s="45" t="s">
        <v>326</v>
      </c>
      <c r="H149" s="45" t="s">
        <v>1448</v>
      </c>
      <c r="I149" s="45" t="s">
        <v>2211</v>
      </c>
      <c r="J149" s="45">
        <v>135809604</v>
      </c>
      <c r="K149" s="45" t="s">
        <v>1907</v>
      </c>
      <c r="L149" s="48">
        <v>60</v>
      </c>
      <c r="M149" s="49">
        <v>202411181415</v>
      </c>
      <c r="N149" s="50" t="s">
        <v>28</v>
      </c>
      <c r="O149" s="50"/>
      <c r="P149" s="50"/>
      <c r="Q149" s="51"/>
      <c r="R149" s="50"/>
      <c r="S149" s="50"/>
      <c r="T149" s="51"/>
      <c r="U149" s="50"/>
    </row>
    <row r="150" spans="1:21" x14ac:dyDescent="0.25">
      <c r="A150" s="45" t="s">
        <v>324</v>
      </c>
      <c r="B150" s="46">
        <v>45757</v>
      </c>
      <c r="C150" s="45" t="s">
        <v>21</v>
      </c>
      <c r="D150" s="47" t="s">
        <v>34</v>
      </c>
      <c r="E150" s="45" t="s">
        <v>325</v>
      </c>
      <c r="F150" s="45" t="s">
        <v>278</v>
      </c>
      <c r="G150" s="45" t="s">
        <v>326</v>
      </c>
      <c r="H150" s="45" t="s">
        <v>1448</v>
      </c>
      <c r="I150" s="45" t="s">
        <v>2211</v>
      </c>
      <c r="J150" s="45">
        <v>135809604</v>
      </c>
      <c r="K150" s="45" t="s">
        <v>1806</v>
      </c>
      <c r="L150" s="48">
        <v>46.41</v>
      </c>
      <c r="M150" s="49">
        <v>20241119798</v>
      </c>
      <c r="N150" s="50" t="s">
        <v>28</v>
      </c>
      <c r="O150" s="50"/>
      <c r="P150" s="50"/>
      <c r="Q150" s="51"/>
      <c r="R150" s="50"/>
      <c r="S150" s="50"/>
      <c r="T150" s="51"/>
      <c r="U150" s="50"/>
    </row>
    <row r="151" spans="1:21" x14ac:dyDescent="0.25">
      <c r="A151" s="45" t="s">
        <v>233</v>
      </c>
      <c r="B151" s="46">
        <v>45757</v>
      </c>
      <c r="C151" s="45" t="s">
        <v>21</v>
      </c>
      <c r="D151" s="47" t="s">
        <v>34</v>
      </c>
      <c r="E151" s="45" t="s">
        <v>325</v>
      </c>
      <c r="F151" s="45" t="s">
        <v>278</v>
      </c>
      <c r="G151" s="45" t="s">
        <v>2212</v>
      </c>
      <c r="H151" s="45" t="s">
        <v>805</v>
      </c>
      <c r="I151" s="45" t="s">
        <v>2213</v>
      </c>
      <c r="J151" s="45">
        <v>137727476</v>
      </c>
      <c r="K151" s="45" t="s">
        <v>289</v>
      </c>
      <c r="L151" s="48">
        <v>2500</v>
      </c>
      <c r="M151" s="49">
        <v>20241115384</v>
      </c>
      <c r="N151" s="50" t="s">
        <v>28</v>
      </c>
      <c r="O151" s="50"/>
      <c r="P151" s="50"/>
      <c r="Q151" s="51"/>
      <c r="R151" s="50"/>
      <c r="S151" s="50"/>
      <c r="T151" s="51"/>
      <c r="U151" s="50"/>
    </row>
    <row r="152" spans="1:21" x14ac:dyDescent="0.25">
      <c r="A152" s="45" t="s">
        <v>233</v>
      </c>
      <c r="B152" s="46">
        <v>45757</v>
      </c>
      <c r="C152" s="45" t="s">
        <v>21</v>
      </c>
      <c r="D152" s="47" t="s">
        <v>34</v>
      </c>
      <c r="E152" s="45" t="s">
        <v>325</v>
      </c>
      <c r="F152" s="45" t="s">
        <v>278</v>
      </c>
      <c r="G152" s="45" t="s">
        <v>247</v>
      </c>
      <c r="H152" s="45" t="s">
        <v>2214</v>
      </c>
      <c r="I152" s="45" t="s">
        <v>2215</v>
      </c>
      <c r="J152" s="45">
        <v>156903670</v>
      </c>
      <c r="K152" s="45" t="s">
        <v>1265</v>
      </c>
      <c r="L152" s="48">
        <v>13.67</v>
      </c>
      <c r="M152" s="49">
        <v>202411181419</v>
      </c>
      <c r="N152" s="50" t="s">
        <v>28</v>
      </c>
      <c r="O152" s="50"/>
      <c r="P152" s="50"/>
      <c r="Q152" s="51"/>
      <c r="R152" s="50"/>
      <c r="S152" s="50"/>
      <c r="T152" s="51"/>
      <c r="U152" s="50"/>
    </row>
    <row r="153" spans="1:21" x14ac:dyDescent="0.25">
      <c r="A153" s="45" t="s">
        <v>233</v>
      </c>
      <c r="B153" s="46">
        <v>45757</v>
      </c>
      <c r="C153" s="45" t="s">
        <v>21</v>
      </c>
      <c r="D153" s="47" t="s">
        <v>34</v>
      </c>
      <c r="E153" s="45" t="s">
        <v>325</v>
      </c>
      <c r="F153" s="45" t="s">
        <v>278</v>
      </c>
      <c r="G153" s="45" t="s">
        <v>333</v>
      </c>
      <c r="H153" s="45" t="s">
        <v>1169</v>
      </c>
      <c r="I153" s="45" t="s">
        <v>1987</v>
      </c>
      <c r="J153" s="45">
        <v>216279574</v>
      </c>
      <c r="K153" s="45" t="s">
        <v>1806</v>
      </c>
      <c r="L153" s="48">
        <v>117.49</v>
      </c>
      <c r="M153" s="49">
        <v>20241119786</v>
      </c>
      <c r="N153" s="50" t="s">
        <v>28</v>
      </c>
      <c r="O153" s="50"/>
      <c r="P153" s="50"/>
      <c r="Q153" s="51"/>
      <c r="R153" s="50"/>
      <c r="S153" s="50"/>
      <c r="T153" s="51"/>
      <c r="U153" s="50"/>
    </row>
    <row r="154" spans="1:21" x14ac:dyDescent="0.25">
      <c r="A154" s="45" t="s">
        <v>324</v>
      </c>
      <c r="B154" s="46">
        <v>45757</v>
      </c>
      <c r="C154" s="45" t="s">
        <v>21</v>
      </c>
      <c r="D154" s="47" t="s">
        <v>34</v>
      </c>
      <c r="E154" s="45" t="s">
        <v>325</v>
      </c>
      <c r="F154" s="45" t="s">
        <v>278</v>
      </c>
      <c r="G154" s="45" t="s">
        <v>326</v>
      </c>
      <c r="H154" s="45" t="s">
        <v>327</v>
      </c>
      <c r="I154" s="45" t="s">
        <v>328</v>
      </c>
      <c r="J154" s="45">
        <v>219139746</v>
      </c>
      <c r="K154" s="45" t="s">
        <v>1806</v>
      </c>
      <c r="L154" s="48">
        <v>48.87</v>
      </c>
      <c r="M154" s="49">
        <v>20241119803</v>
      </c>
      <c r="N154" s="50" t="s">
        <v>28</v>
      </c>
      <c r="O154" s="50"/>
      <c r="P154" s="50"/>
      <c r="Q154" s="51"/>
      <c r="R154" s="50"/>
      <c r="S154" s="50"/>
      <c r="T154" s="51"/>
      <c r="U154" s="50"/>
    </row>
    <row r="155" spans="1:21" x14ac:dyDescent="0.25">
      <c r="A155" s="45" t="s">
        <v>324</v>
      </c>
      <c r="B155" s="46">
        <v>45757</v>
      </c>
      <c r="C155" s="45" t="s">
        <v>21</v>
      </c>
      <c r="D155" s="47" t="s">
        <v>34</v>
      </c>
      <c r="E155" s="45" t="s">
        <v>325</v>
      </c>
      <c r="F155" s="45" t="s">
        <v>278</v>
      </c>
      <c r="G155" s="45" t="s">
        <v>326</v>
      </c>
      <c r="H155" s="45" t="s">
        <v>327</v>
      </c>
      <c r="I155" s="45" t="s">
        <v>328</v>
      </c>
      <c r="J155" s="45">
        <v>219139746</v>
      </c>
      <c r="K155" s="45" t="s">
        <v>2050</v>
      </c>
      <c r="L155" s="48">
        <v>174.75</v>
      </c>
      <c r="M155" s="49">
        <v>20241119796</v>
      </c>
      <c r="N155" s="50" t="s">
        <v>28</v>
      </c>
      <c r="O155" s="50"/>
      <c r="P155" s="50"/>
      <c r="Q155" s="51"/>
      <c r="R155" s="50"/>
      <c r="S155" s="50"/>
      <c r="T155" s="51"/>
      <c r="U155" s="50"/>
    </row>
    <row r="156" spans="1:21" x14ac:dyDescent="0.25">
      <c r="A156" s="45" t="s">
        <v>324</v>
      </c>
      <c r="B156" s="46">
        <v>45757</v>
      </c>
      <c r="C156" s="45" t="s">
        <v>21</v>
      </c>
      <c r="D156" s="47" t="s">
        <v>34</v>
      </c>
      <c r="E156" s="45" t="s">
        <v>325</v>
      </c>
      <c r="F156" s="45" t="s">
        <v>278</v>
      </c>
      <c r="G156" s="45" t="s">
        <v>326</v>
      </c>
      <c r="H156" s="45" t="s">
        <v>329</v>
      </c>
      <c r="I156" s="45" t="s">
        <v>330</v>
      </c>
      <c r="J156" s="45">
        <v>237936224</v>
      </c>
      <c r="K156" s="45" t="s">
        <v>1990</v>
      </c>
      <c r="L156" s="48">
        <v>140</v>
      </c>
      <c r="M156" s="49">
        <v>20241119801</v>
      </c>
      <c r="N156" s="50" t="s">
        <v>28</v>
      </c>
      <c r="O156" s="50"/>
      <c r="P156" s="50"/>
      <c r="Q156" s="51"/>
      <c r="R156" s="50"/>
      <c r="S156" s="50"/>
      <c r="T156" s="51"/>
      <c r="U156" s="50"/>
    </row>
    <row r="157" spans="1:21" x14ac:dyDescent="0.25">
      <c r="A157" s="45" t="s">
        <v>233</v>
      </c>
      <c r="B157" s="46">
        <v>45757</v>
      </c>
      <c r="C157" s="45" t="s">
        <v>21</v>
      </c>
      <c r="D157" s="47" t="s">
        <v>34</v>
      </c>
      <c r="E157" s="45" t="s">
        <v>325</v>
      </c>
      <c r="F157" s="45" t="s">
        <v>278</v>
      </c>
      <c r="G157" s="45" t="s">
        <v>247</v>
      </c>
      <c r="H157" s="45" t="s">
        <v>2216</v>
      </c>
      <c r="I157" s="45" t="s">
        <v>2217</v>
      </c>
      <c r="J157" s="45">
        <v>246594914</v>
      </c>
      <c r="K157" s="45" t="s">
        <v>1338</v>
      </c>
      <c r="L157" s="48">
        <v>192.05</v>
      </c>
      <c r="M157" s="49">
        <v>202411181420</v>
      </c>
      <c r="N157" s="50" t="s">
        <v>28</v>
      </c>
      <c r="O157" s="50"/>
      <c r="P157" s="50"/>
      <c r="Q157" s="51"/>
      <c r="R157" s="50"/>
      <c r="S157" s="50"/>
      <c r="T157" s="51"/>
      <c r="U157" s="50"/>
    </row>
    <row r="158" spans="1:21" x14ac:dyDescent="0.25">
      <c r="A158" s="45" t="s">
        <v>233</v>
      </c>
      <c r="B158" s="46">
        <v>45757</v>
      </c>
      <c r="C158" s="45" t="s">
        <v>21</v>
      </c>
      <c r="D158" s="47" t="s">
        <v>34</v>
      </c>
      <c r="E158" s="45" t="s">
        <v>325</v>
      </c>
      <c r="F158" s="45" t="s">
        <v>278</v>
      </c>
      <c r="G158" s="45" t="s">
        <v>333</v>
      </c>
      <c r="H158" s="45" t="s">
        <v>1746</v>
      </c>
      <c r="I158" s="45" t="s">
        <v>1991</v>
      </c>
      <c r="J158" s="45">
        <v>295647017</v>
      </c>
      <c r="K158" s="45" t="s">
        <v>1174</v>
      </c>
      <c r="L158" s="48">
        <v>4.47</v>
      </c>
      <c r="M158" s="49">
        <v>202411181398</v>
      </c>
      <c r="N158" s="50" t="s">
        <v>28</v>
      </c>
      <c r="O158" s="50"/>
      <c r="P158" s="50"/>
      <c r="Q158" s="51"/>
      <c r="R158" s="50"/>
      <c r="S158" s="50"/>
      <c r="T158" s="51"/>
      <c r="U158" s="50"/>
    </row>
    <row r="159" spans="1:21" x14ac:dyDescent="0.25">
      <c r="A159" s="45" t="s">
        <v>20</v>
      </c>
      <c r="B159" s="46">
        <v>45757</v>
      </c>
      <c r="C159" s="45" t="s">
        <v>168</v>
      </c>
      <c r="D159" s="47" t="s">
        <v>34</v>
      </c>
      <c r="E159" s="45" t="s">
        <v>345</v>
      </c>
      <c r="F159" s="45" t="s">
        <v>1642</v>
      </c>
      <c r="G159" s="45" t="s">
        <v>1882</v>
      </c>
      <c r="H159" s="45" t="s">
        <v>2218</v>
      </c>
      <c r="I159" s="45" t="s">
        <v>2219</v>
      </c>
      <c r="J159" s="45">
        <v>517137567</v>
      </c>
      <c r="K159" s="45" t="s">
        <v>2050</v>
      </c>
      <c r="L159" s="48">
        <v>99.99</v>
      </c>
      <c r="M159" s="49">
        <v>20241118695</v>
      </c>
      <c r="N159" s="50" t="s">
        <v>28</v>
      </c>
      <c r="O159" s="50"/>
      <c r="P159" s="50"/>
      <c r="Q159" s="51"/>
      <c r="R159" s="50"/>
      <c r="S159" s="50"/>
      <c r="T159" s="51"/>
      <c r="U159" s="50"/>
    </row>
    <row r="160" spans="1:21" x14ac:dyDescent="0.25">
      <c r="A160" s="45" t="s">
        <v>324</v>
      </c>
      <c r="B160" s="46">
        <v>45758</v>
      </c>
      <c r="C160" s="45" t="s">
        <v>21</v>
      </c>
      <c r="D160" s="47"/>
      <c r="E160" s="45" t="s">
        <v>371</v>
      </c>
      <c r="F160" s="45" t="s">
        <v>372</v>
      </c>
      <c r="G160" s="45" t="s">
        <v>274</v>
      </c>
      <c r="H160" s="45" t="s">
        <v>1932</v>
      </c>
      <c r="I160" s="45" t="s">
        <v>2220</v>
      </c>
      <c r="J160" s="45">
        <v>590926704</v>
      </c>
      <c r="K160" s="45" t="s">
        <v>195</v>
      </c>
      <c r="L160" s="48">
        <v>41.15</v>
      </c>
      <c r="M160" s="49">
        <v>20241121155</v>
      </c>
      <c r="N160" s="50" t="s">
        <v>28</v>
      </c>
      <c r="O160" s="50"/>
      <c r="P160" s="50"/>
      <c r="Q160" s="51"/>
      <c r="R160" s="50"/>
      <c r="S160" s="50"/>
      <c r="T160" s="51"/>
      <c r="U160" s="50"/>
    </row>
    <row r="161" spans="1:21" x14ac:dyDescent="0.25">
      <c r="A161" s="45" t="s">
        <v>324</v>
      </c>
      <c r="B161" s="46">
        <v>45758</v>
      </c>
      <c r="C161" s="45" t="s">
        <v>21</v>
      </c>
      <c r="D161" s="47"/>
      <c r="E161" s="45" t="s">
        <v>371</v>
      </c>
      <c r="F161" s="45" t="s">
        <v>372</v>
      </c>
      <c r="G161" s="45" t="s">
        <v>274</v>
      </c>
      <c r="H161" s="45" t="s">
        <v>1932</v>
      </c>
      <c r="I161" s="45" t="s">
        <v>2220</v>
      </c>
      <c r="J161" s="45">
        <v>590926704</v>
      </c>
      <c r="K161" s="45" t="s">
        <v>1071</v>
      </c>
      <c r="L161" s="48">
        <v>41.15</v>
      </c>
      <c r="M161" s="49">
        <v>20241121156</v>
      </c>
      <c r="N161" s="50" t="s">
        <v>28</v>
      </c>
      <c r="O161" s="50"/>
      <c r="P161" s="50"/>
      <c r="Q161" s="51"/>
      <c r="R161" s="50"/>
      <c r="S161" s="50"/>
      <c r="T161" s="51"/>
      <c r="U161" s="50"/>
    </row>
    <row r="162" spans="1:21" x14ac:dyDescent="0.25">
      <c r="A162" s="45" t="s">
        <v>324</v>
      </c>
      <c r="B162" s="46">
        <v>45758</v>
      </c>
      <c r="C162" s="45" t="s">
        <v>21</v>
      </c>
      <c r="D162" s="47"/>
      <c r="E162" s="45" t="s">
        <v>371</v>
      </c>
      <c r="F162" s="45" t="s">
        <v>372</v>
      </c>
      <c r="G162" s="45" t="s">
        <v>274</v>
      </c>
      <c r="H162" s="45" t="s">
        <v>1932</v>
      </c>
      <c r="I162" s="45" t="s">
        <v>2220</v>
      </c>
      <c r="J162" s="45">
        <v>590926704</v>
      </c>
      <c r="K162" s="45" t="s">
        <v>2154</v>
      </c>
      <c r="L162" s="48">
        <v>41.15</v>
      </c>
      <c r="M162" s="49">
        <v>20241121157</v>
      </c>
      <c r="N162" s="50" t="s">
        <v>28</v>
      </c>
      <c r="O162" s="50"/>
      <c r="P162" s="50"/>
      <c r="Q162" s="51"/>
      <c r="R162" s="50"/>
      <c r="S162" s="50"/>
      <c r="T162" s="51"/>
      <c r="U162" s="50"/>
    </row>
    <row r="163" spans="1:21" x14ac:dyDescent="0.25">
      <c r="A163" s="45" t="s">
        <v>324</v>
      </c>
      <c r="B163" s="46">
        <v>45758</v>
      </c>
      <c r="C163" s="45" t="s">
        <v>21</v>
      </c>
      <c r="D163" s="47"/>
      <c r="E163" s="45" t="s">
        <v>371</v>
      </c>
      <c r="F163" s="45" t="s">
        <v>372</v>
      </c>
      <c r="G163" s="45" t="s">
        <v>274</v>
      </c>
      <c r="H163" s="45" t="s">
        <v>1932</v>
      </c>
      <c r="I163" s="45" t="s">
        <v>2220</v>
      </c>
      <c r="J163" s="45">
        <v>590926704</v>
      </c>
      <c r="K163" s="45" t="s">
        <v>62</v>
      </c>
      <c r="L163" s="48">
        <v>41.15</v>
      </c>
      <c r="M163" s="49">
        <v>20241121152</v>
      </c>
      <c r="N163" s="50" t="s">
        <v>28</v>
      </c>
      <c r="O163" s="50"/>
      <c r="P163" s="50"/>
      <c r="Q163" s="51"/>
      <c r="R163" s="50"/>
      <c r="S163" s="50"/>
      <c r="T163" s="51"/>
      <c r="U163" s="50"/>
    </row>
    <row r="164" spans="1:21" x14ac:dyDescent="0.25">
      <c r="A164" s="45" t="s">
        <v>324</v>
      </c>
      <c r="B164" s="46">
        <v>45758</v>
      </c>
      <c r="C164" s="45" t="s">
        <v>21</v>
      </c>
      <c r="D164" s="47"/>
      <c r="E164" s="45" t="s">
        <v>371</v>
      </c>
      <c r="F164" s="45" t="s">
        <v>372</v>
      </c>
      <c r="G164" s="45" t="s">
        <v>274</v>
      </c>
      <c r="H164" s="45" t="s">
        <v>1932</v>
      </c>
      <c r="I164" s="45" t="s">
        <v>2220</v>
      </c>
      <c r="J164" s="45">
        <v>590926704</v>
      </c>
      <c r="K164" s="45" t="s">
        <v>364</v>
      </c>
      <c r="L164" s="48">
        <v>41.15</v>
      </c>
      <c r="M164" s="49">
        <v>20241121153</v>
      </c>
      <c r="N164" s="50" t="s">
        <v>28</v>
      </c>
      <c r="O164" s="50"/>
      <c r="P164" s="50"/>
      <c r="Q164" s="51"/>
      <c r="R164" s="50"/>
      <c r="S164" s="50"/>
      <c r="T164" s="51"/>
      <c r="U164" s="50"/>
    </row>
    <row r="165" spans="1:21" x14ac:dyDescent="0.25">
      <c r="A165" s="45" t="s">
        <v>324</v>
      </c>
      <c r="B165" s="46">
        <v>45758</v>
      </c>
      <c r="C165" s="45" t="s">
        <v>21</v>
      </c>
      <c r="D165" s="47"/>
      <c r="E165" s="45" t="s">
        <v>371</v>
      </c>
      <c r="F165" s="45" t="s">
        <v>372</v>
      </c>
      <c r="G165" s="45" t="s">
        <v>274</v>
      </c>
      <c r="H165" s="45" t="s">
        <v>1932</v>
      </c>
      <c r="I165" s="45" t="s">
        <v>2220</v>
      </c>
      <c r="J165" s="45">
        <v>590926704</v>
      </c>
      <c r="K165" s="45" t="s">
        <v>224</v>
      </c>
      <c r="L165" s="48">
        <v>41.15</v>
      </c>
      <c r="M165" s="49">
        <v>20241121150</v>
      </c>
      <c r="N165" s="50" t="s">
        <v>28</v>
      </c>
      <c r="O165" s="50"/>
      <c r="P165" s="50"/>
      <c r="Q165" s="51"/>
      <c r="R165" s="50"/>
      <c r="S165" s="50"/>
      <c r="T165" s="51"/>
      <c r="U165" s="50"/>
    </row>
    <row r="166" spans="1:21" x14ac:dyDescent="0.25">
      <c r="A166" s="45" t="s">
        <v>324</v>
      </c>
      <c r="B166" s="46">
        <v>45758</v>
      </c>
      <c r="C166" s="45" t="s">
        <v>21</v>
      </c>
      <c r="D166" s="47"/>
      <c r="E166" s="45" t="s">
        <v>371</v>
      </c>
      <c r="F166" s="45" t="s">
        <v>372</v>
      </c>
      <c r="G166" s="45" t="s">
        <v>274</v>
      </c>
      <c r="H166" s="45" t="s">
        <v>1932</v>
      </c>
      <c r="I166" s="45" t="s">
        <v>2220</v>
      </c>
      <c r="J166" s="45">
        <v>590926704</v>
      </c>
      <c r="K166" s="45" t="s">
        <v>113</v>
      </c>
      <c r="L166" s="48">
        <v>149</v>
      </c>
      <c r="M166" s="49">
        <v>20241121170</v>
      </c>
      <c r="N166" s="50" t="s">
        <v>28</v>
      </c>
      <c r="O166" s="50"/>
      <c r="P166" s="50"/>
      <c r="Q166" s="51"/>
      <c r="R166" s="50"/>
      <c r="S166" s="50"/>
      <c r="T166" s="51"/>
      <c r="U166" s="50"/>
    </row>
    <row r="167" spans="1:21" x14ac:dyDescent="0.25">
      <c r="A167" s="45" t="s">
        <v>324</v>
      </c>
      <c r="B167" s="46">
        <v>45758</v>
      </c>
      <c r="C167" s="45" t="s">
        <v>21</v>
      </c>
      <c r="D167" s="47"/>
      <c r="E167" s="45" t="s">
        <v>371</v>
      </c>
      <c r="F167" s="45" t="s">
        <v>372</v>
      </c>
      <c r="G167" s="45" t="s">
        <v>274</v>
      </c>
      <c r="H167" s="45" t="s">
        <v>1932</v>
      </c>
      <c r="I167" s="45" t="s">
        <v>2220</v>
      </c>
      <c r="J167" s="45">
        <v>590926704</v>
      </c>
      <c r="K167" s="45" t="s">
        <v>1460</v>
      </c>
      <c r="L167" s="48">
        <v>139</v>
      </c>
      <c r="M167" s="49">
        <v>20241121166</v>
      </c>
      <c r="N167" s="50" t="s">
        <v>28</v>
      </c>
      <c r="O167" s="50"/>
      <c r="P167" s="50"/>
      <c r="Q167" s="51"/>
      <c r="R167" s="50"/>
      <c r="S167" s="50"/>
      <c r="T167" s="51"/>
      <c r="U167" s="50"/>
    </row>
    <row r="168" spans="1:21" x14ac:dyDescent="0.25">
      <c r="A168" s="45" t="s">
        <v>324</v>
      </c>
      <c r="B168" s="46">
        <v>45758</v>
      </c>
      <c r="C168" s="45" t="s">
        <v>21</v>
      </c>
      <c r="D168" s="47"/>
      <c r="E168" s="45" t="s">
        <v>371</v>
      </c>
      <c r="F168" s="45" t="s">
        <v>372</v>
      </c>
      <c r="G168" s="45" t="s">
        <v>274</v>
      </c>
      <c r="H168" s="45" t="s">
        <v>1932</v>
      </c>
      <c r="I168" s="45" t="s">
        <v>2220</v>
      </c>
      <c r="J168" s="45">
        <v>590926704</v>
      </c>
      <c r="K168" s="45" t="s">
        <v>1306</v>
      </c>
      <c r="L168" s="48">
        <v>41.15</v>
      </c>
      <c r="M168" s="49">
        <v>20241121138</v>
      </c>
      <c r="N168" s="50" t="s">
        <v>28</v>
      </c>
      <c r="O168" s="50"/>
      <c r="P168" s="50"/>
      <c r="Q168" s="51"/>
      <c r="R168" s="50"/>
      <c r="S168" s="50"/>
      <c r="T168" s="51"/>
      <c r="U168" s="50"/>
    </row>
    <row r="169" spans="1:21" x14ac:dyDescent="0.25">
      <c r="A169" s="45" t="s">
        <v>324</v>
      </c>
      <c r="B169" s="46">
        <v>45758</v>
      </c>
      <c r="C169" s="45" t="s">
        <v>21</v>
      </c>
      <c r="D169" s="47"/>
      <c r="E169" s="45" t="s">
        <v>371</v>
      </c>
      <c r="F169" s="45" t="s">
        <v>372</v>
      </c>
      <c r="G169" s="45" t="s">
        <v>274</v>
      </c>
      <c r="H169" s="45" t="s">
        <v>2221</v>
      </c>
      <c r="I169" s="45" t="s">
        <v>974</v>
      </c>
      <c r="J169" s="45">
        <v>595887278</v>
      </c>
      <c r="K169" s="45" t="s">
        <v>2098</v>
      </c>
      <c r="L169" s="48">
        <v>95</v>
      </c>
      <c r="M169" s="49">
        <v>20241122421</v>
      </c>
      <c r="N169" s="50" t="s">
        <v>28</v>
      </c>
      <c r="O169" s="50"/>
      <c r="P169" s="50"/>
      <c r="Q169" s="51"/>
      <c r="R169" s="50"/>
      <c r="S169" s="50"/>
      <c r="T169" s="51"/>
      <c r="U169" s="50"/>
    </row>
    <row r="170" spans="1:21" x14ac:dyDescent="0.25">
      <c r="A170" s="45" t="s">
        <v>233</v>
      </c>
      <c r="B170" s="46">
        <v>45758</v>
      </c>
      <c r="C170" s="45" t="s">
        <v>21</v>
      </c>
      <c r="D170" s="47"/>
      <c r="E170" s="45" t="s">
        <v>371</v>
      </c>
      <c r="F170" s="45" t="s">
        <v>372</v>
      </c>
      <c r="G170" s="45" t="s">
        <v>2222</v>
      </c>
      <c r="H170" s="45" t="s">
        <v>2223</v>
      </c>
      <c r="I170" s="45" t="s">
        <v>1581</v>
      </c>
      <c r="J170" s="45">
        <v>601629159</v>
      </c>
      <c r="K170" s="45" t="s">
        <v>1190</v>
      </c>
      <c r="L170" s="48">
        <v>150</v>
      </c>
      <c r="M170" s="49">
        <v>20241118261</v>
      </c>
      <c r="N170" s="50" t="s">
        <v>28</v>
      </c>
      <c r="O170" s="50"/>
      <c r="P170" s="50"/>
      <c r="Q170" s="51"/>
      <c r="R170" s="50"/>
      <c r="S170" s="50"/>
      <c r="T170" s="51"/>
      <c r="U170" s="50"/>
    </row>
    <row r="171" spans="1:21" x14ac:dyDescent="0.25">
      <c r="A171" s="45" t="s">
        <v>233</v>
      </c>
      <c r="B171" s="46">
        <v>45758</v>
      </c>
      <c r="C171" s="45" t="s">
        <v>21</v>
      </c>
      <c r="D171" s="47"/>
      <c r="E171" s="45" t="s">
        <v>371</v>
      </c>
      <c r="F171" s="45" t="s">
        <v>372</v>
      </c>
      <c r="G171" s="45" t="s">
        <v>2222</v>
      </c>
      <c r="H171" s="45" t="s">
        <v>2223</v>
      </c>
      <c r="I171" s="45" t="s">
        <v>1581</v>
      </c>
      <c r="J171" s="45">
        <v>601629159</v>
      </c>
      <c r="K171" s="45" t="s">
        <v>1219</v>
      </c>
      <c r="L171" s="48">
        <v>43.03</v>
      </c>
      <c r="M171" s="49">
        <v>20241118264</v>
      </c>
      <c r="N171" s="50" t="s">
        <v>28</v>
      </c>
      <c r="O171" s="50"/>
      <c r="P171" s="50"/>
      <c r="Q171" s="51"/>
      <c r="R171" s="50"/>
      <c r="S171" s="50"/>
      <c r="T171" s="51"/>
      <c r="U171" s="50"/>
    </row>
    <row r="172" spans="1:21" x14ac:dyDescent="0.25">
      <c r="A172" s="45" t="s">
        <v>233</v>
      </c>
      <c r="B172" s="46">
        <v>45758</v>
      </c>
      <c r="C172" s="45" t="s">
        <v>21</v>
      </c>
      <c r="D172" s="47"/>
      <c r="E172" s="45" t="s">
        <v>371</v>
      </c>
      <c r="F172" s="45" t="s">
        <v>372</v>
      </c>
      <c r="G172" s="45" t="s">
        <v>2222</v>
      </c>
      <c r="H172" s="45" t="s">
        <v>2223</v>
      </c>
      <c r="I172" s="45" t="s">
        <v>1581</v>
      </c>
      <c r="J172" s="45">
        <v>601629159</v>
      </c>
      <c r="K172" s="45" t="s">
        <v>1219</v>
      </c>
      <c r="L172" s="48">
        <v>150</v>
      </c>
      <c r="M172" s="49">
        <v>20241118256</v>
      </c>
      <c r="N172" s="50" t="s">
        <v>28</v>
      </c>
      <c r="O172" s="50"/>
      <c r="P172" s="50"/>
      <c r="Q172" s="51"/>
      <c r="R172" s="50"/>
      <c r="S172" s="50"/>
      <c r="T172" s="51"/>
      <c r="U172" s="50"/>
    </row>
    <row r="173" spans="1:21" x14ac:dyDescent="0.25">
      <c r="A173" s="45" t="s">
        <v>233</v>
      </c>
      <c r="B173" s="46">
        <v>45758</v>
      </c>
      <c r="C173" s="45" t="s">
        <v>21</v>
      </c>
      <c r="D173" s="47"/>
      <c r="E173" s="45" t="s">
        <v>371</v>
      </c>
      <c r="F173" s="45" t="s">
        <v>372</v>
      </c>
      <c r="G173" s="45" t="s">
        <v>2224</v>
      </c>
      <c r="H173" s="45" t="s">
        <v>1037</v>
      </c>
      <c r="I173" s="45" t="s">
        <v>2225</v>
      </c>
      <c r="J173" s="45">
        <v>602462681</v>
      </c>
      <c r="K173" s="45" t="s">
        <v>1511</v>
      </c>
      <c r="L173" s="48">
        <v>25</v>
      </c>
      <c r="M173" s="49">
        <v>20241122376</v>
      </c>
      <c r="N173" s="50" t="s">
        <v>28</v>
      </c>
      <c r="O173" s="50"/>
      <c r="P173" s="50"/>
      <c r="Q173" s="51"/>
      <c r="R173" s="50"/>
      <c r="S173" s="50"/>
      <c r="T173" s="51"/>
      <c r="U173" s="50"/>
    </row>
    <row r="174" spans="1:21" x14ac:dyDescent="0.25">
      <c r="A174" s="45" t="s">
        <v>233</v>
      </c>
      <c r="B174" s="46">
        <v>45758</v>
      </c>
      <c r="C174" s="45" t="s">
        <v>21</v>
      </c>
      <c r="D174" s="47"/>
      <c r="E174" s="45" t="s">
        <v>371</v>
      </c>
      <c r="F174" s="45" t="s">
        <v>372</v>
      </c>
      <c r="G174" s="45" t="s">
        <v>2224</v>
      </c>
      <c r="H174" s="45" t="s">
        <v>1037</v>
      </c>
      <c r="I174" s="45" t="s">
        <v>2225</v>
      </c>
      <c r="J174" s="45">
        <v>602462681</v>
      </c>
      <c r="K174" s="45" t="s">
        <v>250</v>
      </c>
      <c r="L174" s="48">
        <v>6.88</v>
      </c>
      <c r="M174" s="49">
        <v>20241122386</v>
      </c>
      <c r="N174" s="50" t="s">
        <v>28</v>
      </c>
      <c r="O174" s="50"/>
      <c r="P174" s="50"/>
      <c r="Q174" s="51"/>
      <c r="R174" s="50"/>
      <c r="S174" s="50"/>
      <c r="T174" s="51"/>
      <c r="U174" s="50"/>
    </row>
    <row r="175" spans="1:21" x14ac:dyDescent="0.25">
      <c r="A175" s="45" t="s">
        <v>314</v>
      </c>
      <c r="B175" s="46">
        <v>45757</v>
      </c>
      <c r="C175" s="45" t="s">
        <v>168</v>
      </c>
      <c r="D175" s="47"/>
      <c r="E175" s="45" t="s">
        <v>362</v>
      </c>
      <c r="F175" s="45" t="s">
        <v>394</v>
      </c>
      <c r="G175" s="45" t="s">
        <v>798</v>
      </c>
      <c r="H175" s="45" t="s">
        <v>2226</v>
      </c>
      <c r="I175" s="45" t="s">
        <v>2227</v>
      </c>
      <c r="J175" s="45">
        <v>31826738</v>
      </c>
      <c r="K175" s="45" t="s">
        <v>272</v>
      </c>
      <c r="L175" s="48">
        <v>35</v>
      </c>
      <c r="M175" s="49">
        <v>202411181234</v>
      </c>
      <c r="N175" s="50" t="s">
        <v>28</v>
      </c>
      <c r="O175" s="50"/>
      <c r="P175" s="50"/>
      <c r="Q175" s="51"/>
      <c r="R175" s="50"/>
      <c r="S175" s="50"/>
      <c r="T175" s="51"/>
      <c r="U175" s="50"/>
    </row>
    <row r="176" spans="1:21" x14ac:dyDescent="0.25">
      <c r="A176" s="45" t="s">
        <v>314</v>
      </c>
      <c r="B176" s="46">
        <v>45757</v>
      </c>
      <c r="C176" s="45" t="s">
        <v>168</v>
      </c>
      <c r="D176" s="47"/>
      <c r="E176" s="45" t="s">
        <v>362</v>
      </c>
      <c r="F176" s="45" t="s">
        <v>394</v>
      </c>
      <c r="G176" s="45" t="s">
        <v>798</v>
      </c>
      <c r="H176" s="45" t="s">
        <v>2226</v>
      </c>
      <c r="I176" s="45" t="s">
        <v>2227</v>
      </c>
      <c r="J176" s="45">
        <v>31826738</v>
      </c>
      <c r="K176" s="45" t="s">
        <v>918</v>
      </c>
      <c r="L176" s="48">
        <v>73.8</v>
      </c>
      <c r="M176" s="49">
        <v>202411181058</v>
      </c>
      <c r="N176" s="50" t="s">
        <v>28</v>
      </c>
      <c r="O176" s="50"/>
      <c r="P176" s="50"/>
      <c r="Q176" s="51"/>
      <c r="R176" s="50"/>
      <c r="S176" s="50"/>
      <c r="T176" s="51"/>
      <c r="U176" s="50"/>
    </row>
    <row r="177" spans="1:21" x14ac:dyDescent="0.25">
      <c r="A177" s="45" t="s">
        <v>314</v>
      </c>
      <c r="B177" s="46">
        <v>45757</v>
      </c>
      <c r="C177" s="45" t="s">
        <v>168</v>
      </c>
      <c r="D177" s="47"/>
      <c r="E177" s="45" t="s">
        <v>362</v>
      </c>
      <c r="F177" s="45" t="s">
        <v>394</v>
      </c>
      <c r="G177" s="45" t="s">
        <v>798</v>
      </c>
      <c r="H177" s="45" t="s">
        <v>2226</v>
      </c>
      <c r="I177" s="45" t="s">
        <v>2227</v>
      </c>
      <c r="J177" s="45">
        <v>31826738</v>
      </c>
      <c r="K177" s="45" t="s">
        <v>1358</v>
      </c>
      <c r="L177" s="48">
        <v>34.700000000000003</v>
      </c>
      <c r="M177" s="49">
        <v>202411181064</v>
      </c>
      <c r="N177" s="50" t="s">
        <v>28</v>
      </c>
      <c r="O177" s="50"/>
      <c r="P177" s="50"/>
      <c r="Q177" s="51"/>
      <c r="R177" s="50"/>
      <c r="S177" s="50"/>
      <c r="T177" s="51"/>
      <c r="U177" s="50"/>
    </row>
    <row r="178" spans="1:21" x14ac:dyDescent="0.25">
      <c r="A178" s="45" t="s">
        <v>314</v>
      </c>
      <c r="B178" s="46">
        <v>45757</v>
      </c>
      <c r="C178" s="45" t="s">
        <v>168</v>
      </c>
      <c r="D178" s="47"/>
      <c r="E178" s="45" t="s">
        <v>362</v>
      </c>
      <c r="F178" s="45" t="s">
        <v>394</v>
      </c>
      <c r="G178" s="45" t="s">
        <v>798</v>
      </c>
      <c r="H178" s="45" t="s">
        <v>2226</v>
      </c>
      <c r="I178" s="45" t="s">
        <v>2227</v>
      </c>
      <c r="J178" s="45">
        <v>31826738</v>
      </c>
      <c r="K178" s="45" t="s">
        <v>1075</v>
      </c>
      <c r="L178" s="48">
        <v>106.6</v>
      </c>
      <c r="M178" s="49">
        <v>202411181109</v>
      </c>
      <c r="N178" s="50" t="s">
        <v>28</v>
      </c>
      <c r="O178" s="50"/>
      <c r="P178" s="50"/>
      <c r="Q178" s="51"/>
      <c r="R178" s="50"/>
      <c r="S178" s="50"/>
      <c r="T178" s="51"/>
      <c r="U178" s="50"/>
    </row>
    <row r="179" spans="1:21" x14ac:dyDescent="0.25">
      <c r="A179" s="45" t="s">
        <v>314</v>
      </c>
      <c r="B179" s="46">
        <v>45757</v>
      </c>
      <c r="C179" s="45" t="s">
        <v>168</v>
      </c>
      <c r="D179" s="47"/>
      <c r="E179" s="45" t="s">
        <v>362</v>
      </c>
      <c r="F179" s="45" t="s">
        <v>394</v>
      </c>
      <c r="G179" s="45" t="s">
        <v>798</v>
      </c>
      <c r="H179" s="45" t="s">
        <v>2226</v>
      </c>
      <c r="I179" s="45" t="s">
        <v>2227</v>
      </c>
      <c r="J179" s="45">
        <v>31826738</v>
      </c>
      <c r="K179" s="45" t="s">
        <v>97</v>
      </c>
      <c r="L179" s="48">
        <v>63.9</v>
      </c>
      <c r="M179" s="49">
        <v>202411181166</v>
      </c>
      <c r="N179" s="50" t="s">
        <v>28</v>
      </c>
      <c r="O179" s="50"/>
      <c r="P179" s="50"/>
      <c r="Q179" s="51"/>
      <c r="R179" s="50"/>
      <c r="S179" s="50"/>
      <c r="T179" s="51"/>
      <c r="U179" s="50"/>
    </row>
    <row r="180" spans="1:21" x14ac:dyDescent="0.25">
      <c r="A180" s="45" t="s">
        <v>314</v>
      </c>
      <c r="B180" s="46">
        <v>45757</v>
      </c>
      <c r="C180" s="45" t="s">
        <v>168</v>
      </c>
      <c r="D180" s="47"/>
      <c r="E180" s="45" t="s">
        <v>362</v>
      </c>
      <c r="F180" s="45" t="s">
        <v>394</v>
      </c>
      <c r="G180" s="45" t="s">
        <v>798</v>
      </c>
      <c r="H180" s="45" t="s">
        <v>2226</v>
      </c>
      <c r="I180" s="45" t="s">
        <v>2227</v>
      </c>
      <c r="J180" s="45">
        <v>31826738</v>
      </c>
      <c r="K180" s="45" t="s">
        <v>389</v>
      </c>
      <c r="L180" s="48">
        <v>14</v>
      </c>
      <c r="M180" s="49">
        <v>202411181229</v>
      </c>
      <c r="N180" s="50" t="s">
        <v>28</v>
      </c>
      <c r="O180" s="50"/>
      <c r="P180" s="50"/>
      <c r="Q180" s="51"/>
      <c r="R180" s="50"/>
      <c r="S180" s="50"/>
      <c r="T180" s="51"/>
      <c r="U180" s="50"/>
    </row>
    <row r="181" spans="1:21" x14ac:dyDescent="0.25">
      <c r="A181" s="45" t="s">
        <v>314</v>
      </c>
      <c r="B181" s="46">
        <v>45757</v>
      </c>
      <c r="C181" s="45" t="s">
        <v>168</v>
      </c>
      <c r="D181" s="47"/>
      <c r="E181" s="45" t="s">
        <v>362</v>
      </c>
      <c r="F181" s="45" t="s">
        <v>394</v>
      </c>
      <c r="G181" s="45" t="s">
        <v>798</v>
      </c>
      <c r="H181" s="45" t="s">
        <v>2226</v>
      </c>
      <c r="I181" s="45" t="s">
        <v>2227</v>
      </c>
      <c r="J181" s="45">
        <v>31826738</v>
      </c>
      <c r="K181" s="45" t="s">
        <v>271</v>
      </c>
      <c r="L181" s="48">
        <v>59.9</v>
      </c>
      <c r="M181" s="49">
        <v>202411181264</v>
      </c>
      <c r="N181" s="50" t="s">
        <v>28</v>
      </c>
      <c r="O181" s="50"/>
      <c r="P181" s="50"/>
      <c r="Q181" s="51"/>
      <c r="R181" s="50"/>
      <c r="S181" s="50"/>
      <c r="T181" s="51"/>
      <c r="U181" s="50"/>
    </row>
    <row r="182" spans="1:21" x14ac:dyDescent="0.25">
      <c r="A182" s="45" t="s">
        <v>314</v>
      </c>
      <c r="B182" s="46">
        <v>45757</v>
      </c>
      <c r="C182" s="45" t="s">
        <v>168</v>
      </c>
      <c r="D182" s="47"/>
      <c r="E182" s="45" t="s">
        <v>362</v>
      </c>
      <c r="F182" s="45" t="s">
        <v>394</v>
      </c>
      <c r="G182" s="45" t="s">
        <v>798</v>
      </c>
      <c r="H182" s="45" t="s">
        <v>2226</v>
      </c>
      <c r="I182" s="45" t="s">
        <v>2227</v>
      </c>
      <c r="J182" s="45">
        <v>31826738</v>
      </c>
      <c r="K182" s="45" t="s">
        <v>56</v>
      </c>
      <c r="L182" s="48">
        <v>49</v>
      </c>
      <c r="M182" s="49">
        <v>202411181270</v>
      </c>
      <c r="N182" s="50" t="s">
        <v>28</v>
      </c>
      <c r="O182" s="50"/>
      <c r="P182" s="50"/>
      <c r="Q182" s="51"/>
      <c r="R182" s="50"/>
      <c r="S182" s="50"/>
      <c r="T182" s="51"/>
      <c r="U182" s="50"/>
    </row>
    <row r="183" spans="1:21" x14ac:dyDescent="0.25">
      <c r="A183" s="45" t="s">
        <v>314</v>
      </c>
      <c r="B183" s="46">
        <v>45757</v>
      </c>
      <c r="C183" s="45" t="s">
        <v>168</v>
      </c>
      <c r="D183" s="47"/>
      <c r="E183" s="45" t="s">
        <v>362</v>
      </c>
      <c r="F183" s="45" t="s">
        <v>394</v>
      </c>
      <c r="G183" s="45" t="s">
        <v>798</v>
      </c>
      <c r="H183" s="45" t="s">
        <v>2226</v>
      </c>
      <c r="I183" s="45" t="s">
        <v>2227</v>
      </c>
      <c r="J183" s="45">
        <v>31826738</v>
      </c>
      <c r="K183" s="45" t="s">
        <v>241</v>
      </c>
      <c r="L183" s="48">
        <v>34</v>
      </c>
      <c r="M183" s="49">
        <v>202411181145</v>
      </c>
      <c r="N183" s="50" t="s">
        <v>28</v>
      </c>
      <c r="O183" s="50"/>
      <c r="P183" s="50"/>
      <c r="Q183" s="51"/>
      <c r="R183" s="50"/>
      <c r="S183" s="50"/>
      <c r="T183" s="51"/>
      <c r="U183" s="50"/>
    </row>
    <row r="184" spans="1:21" x14ac:dyDescent="0.25">
      <c r="A184" s="45" t="s">
        <v>314</v>
      </c>
      <c r="B184" s="46">
        <v>45757</v>
      </c>
      <c r="C184" s="45" t="s">
        <v>168</v>
      </c>
      <c r="D184" s="47"/>
      <c r="E184" s="45" t="s">
        <v>362</v>
      </c>
      <c r="F184" s="45" t="s">
        <v>394</v>
      </c>
      <c r="G184" s="45" t="s">
        <v>798</v>
      </c>
      <c r="H184" s="45" t="s">
        <v>2226</v>
      </c>
      <c r="I184" s="45" t="s">
        <v>2227</v>
      </c>
      <c r="J184" s="45">
        <v>31826738</v>
      </c>
      <c r="K184" s="45" t="s">
        <v>978</v>
      </c>
      <c r="L184" s="48">
        <v>76.7</v>
      </c>
      <c r="M184" s="49">
        <v>202411181172</v>
      </c>
      <c r="N184" s="50" t="s">
        <v>28</v>
      </c>
      <c r="O184" s="50"/>
      <c r="P184" s="50"/>
      <c r="Q184" s="51"/>
      <c r="R184" s="50"/>
      <c r="S184" s="50"/>
      <c r="T184" s="51"/>
      <c r="U184" s="50"/>
    </row>
    <row r="185" spans="1:21" x14ac:dyDescent="0.25">
      <c r="A185" s="45" t="s">
        <v>314</v>
      </c>
      <c r="B185" s="46">
        <v>45757</v>
      </c>
      <c r="C185" s="45" t="s">
        <v>168</v>
      </c>
      <c r="D185" s="47"/>
      <c r="E185" s="45" t="s">
        <v>362</v>
      </c>
      <c r="F185" s="45" t="s">
        <v>394</v>
      </c>
      <c r="G185" s="45" t="s">
        <v>798</v>
      </c>
      <c r="H185" s="45" t="s">
        <v>2226</v>
      </c>
      <c r="I185" s="45" t="s">
        <v>2227</v>
      </c>
      <c r="J185" s="45">
        <v>31826738</v>
      </c>
      <c r="K185" s="45" t="s">
        <v>289</v>
      </c>
      <c r="L185" s="48">
        <v>117.55</v>
      </c>
      <c r="M185" s="49">
        <v>202411181179</v>
      </c>
      <c r="N185" s="50" t="s">
        <v>28</v>
      </c>
      <c r="O185" s="50"/>
      <c r="P185" s="50"/>
      <c r="Q185" s="51"/>
      <c r="R185" s="50"/>
      <c r="S185" s="50"/>
      <c r="T185" s="51"/>
      <c r="U185" s="50"/>
    </row>
    <row r="186" spans="1:21" x14ac:dyDescent="0.25">
      <c r="A186" s="45" t="s">
        <v>314</v>
      </c>
      <c r="B186" s="46">
        <v>45757</v>
      </c>
      <c r="C186" s="45" t="s">
        <v>168</v>
      </c>
      <c r="D186" s="47"/>
      <c r="E186" s="45" t="s">
        <v>362</v>
      </c>
      <c r="F186" s="45" t="s">
        <v>394</v>
      </c>
      <c r="G186" s="45" t="s">
        <v>798</v>
      </c>
      <c r="H186" s="45" t="s">
        <v>2226</v>
      </c>
      <c r="I186" s="45" t="s">
        <v>2227</v>
      </c>
      <c r="J186" s="45">
        <v>31826738</v>
      </c>
      <c r="K186" s="45" t="s">
        <v>97</v>
      </c>
      <c r="L186" s="48">
        <v>140.6</v>
      </c>
      <c r="M186" s="49">
        <v>202411181163</v>
      </c>
      <c r="N186" s="50" t="s">
        <v>28</v>
      </c>
      <c r="O186" s="50"/>
      <c r="P186" s="50"/>
      <c r="Q186" s="51"/>
      <c r="R186" s="50"/>
      <c r="S186" s="50"/>
      <c r="T186" s="51"/>
      <c r="U186" s="50"/>
    </row>
    <row r="187" spans="1:21" x14ac:dyDescent="0.25">
      <c r="A187" s="45" t="s">
        <v>314</v>
      </c>
      <c r="B187" s="46">
        <v>45757</v>
      </c>
      <c r="C187" s="45" t="s">
        <v>168</v>
      </c>
      <c r="D187" s="47"/>
      <c r="E187" s="45" t="s">
        <v>362</v>
      </c>
      <c r="F187" s="45" t="s">
        <v>394</v>
      </c>
      <c r="G187" s="45" t="s">
        <v>798</v>
      </c>
      <c r="H187" s="45" t="s">
        <v>2226</v>
      </c>
      <c r="I187" s="45" t="s">
        <v>2227</v>
      </c>
      <c r="J187" s="45">
        <v>31826738</v>
      </c>
      <c r="K187" s="45" t="s">
        <v>2228</v>
      </c>
      <c r="L187" s="48">
        <v>76</v>
      </c>
      <c r="M187" s="49">
        <v>202411181076</v>
      </c>
      <c r="N187" s="50" t="s">
        <v>28</v>
      </c>
      <c r="O187" s="50"/>
      <c r="P187" s="50"/>
      <c r="Q187" s="51"/>
      <c r="R187" s="50"/>
      <c r="S187" s="50"/>
      <c r="T187" s="51"/>
      <c r="U187" s="50"/>
    </row>
    <row r="188" spans="1:21" x14ac:dyDescent="0.25">
      <c r="A188" s="45" t="s">
        <v>314</v>
      </c>
      <c r="B188" s="46">
        <v>45757</v>
      </c>
      <c r="C188" s="45" t="s">
        <v>168</v>
      </c>
      <c r="D188" s="47"/>
      <c r="E188" s="45" t="s">
        <v>362</v>
      </c>
      <c r="F188" s="45" t="s">
        <v>394</v>
      </c>
      <c r="G188" s="45" t="s">
        <v>798</v>
      </c>
      <c r="H188" s="45" t="s">
        <v>2226</v>
      </c>
      <c r="I188" s="45" t="s">
        <v>2227</v>
      </c>
      <c r="J188" s="45">
        <v>31826738</v>
      </c>
      <c r="K188" s="45" t="s">
        <v>1075</v>
      </c>
      <c r="L188" s="48">
        <v>140.6</v>
      </c>
      <c r="M188" s="49">
        <v>202411181101</v>
      </c>
      <c r="N188" s="50" t="s">
        <v>28</v>
      </c>
      <c r="O188" s="50"/>
      <c r="P188" s="50"/>
      <c r="Q188" s="51"/>
      <c r="R188" s="50"/>
      <c r="S188" s="50"/>
      <c r="T188" s="51"/>
      <c r="U188" s="50"/>
    </row>
    <row r="189" spans="1:21" x14ac:dyDescent="0.25">
      <c r="A189" s="45" t="s">
        <v>314</v>
      </c>
      <c r="B189" s="46">
        <v>45757</v>
      </c>
      <c r="C189" s="45" t="s">
        <v>168</v>
      </c>
      <c r="D189" s="47"/>
      <c r="E189" s="45" t="s">
        <v>362</v>
      </c>
      <c r="F189" s="45" t="s">
        <v>394</v>
      </c>
      <c r="G189" s="45" t="s">
        <v>798</v>
      </c>
      <c r="H189" s="45" t="s">
        <v>2226</v>
      </c>
      <c r="I189" s="45" t="s">
        <v>2227</v>
      </c>
      <c r="J189" s="45">
        <v>31826738</v>
      </c>
      <c r="K189" s="45" t="s">
        <v>2228</v>
      </c>
      <c r="L189" s="48">
        <v>76</v>
      </c>
      <c r="M189" s="49">
        <v>202411181077</v>
      </c>
      <c r="N189" s="50" t="s">
        <v>28</v>
      </c>
      <c r="O189" s="50"/>
      <c r="P189" s="50"/>
      <c r="Q189" s="51"/>
      <c r="R189" s="50"/>
      <c r="S189" s="50"/>
      <c r="T189" s="51"/>
      <c r="U189" s="50"/>
    </row>
    <row r="190" spans="1:21" x14ac:dyDescent="0.25">
      <c r="A190" s="45" t="s">
        <v>29</v>
      </c>
      <c r="B190" s="46">
        <v>45757</v>
      </c>
      <c r="C190" s="45" t="s">
        <v>168</v>
      </c>
      <c r="D190" s="47"/>
      <c r="E190" s="45" t="s">
        <v>362</v>
      </c>
      <c r="F190" s="45" t="s">
        <v>409</v>
      </c>
      <c r="G190" s="45" t="s">
        <v>2229</v>
      </c>
      <c r="H190" s="45" t="s">
        <v>2230</v>
      </c>
      <c r="I190" s="45" t="s">
        <v>1477</v>
      </c>
      <c r="J190" s="45">
        <v>380822562</v>
      </c>
      <c r="K190" s="45" t="s">
        <v>1358</v>
      </c>
      <c r="L190" s="48">
        <v>300</v>
      </c>
      <c r="M190" s="49">
        <v>20241104665</v>
      </c>
      <c r="N190" s="50" t="s">
        <v>28</v>
      </c>
      <c r="O190" s="50"/>
      <c r="P190" s="50"/>
      <c r="Q190" s="51"/>
      <c r="R190" s="50"/>
      <c r="S190" s="50"/>
      <c r="T190" s="51"/>
      <c r="U190" s="50"/>
    </row>
    <row r="191" spans="1:21" x14ac:dyDescent="0.25">
      <c r="A191" s="45" t="s">
        <v>29</v>
      </c>
      <c r="B191" s="46">
        <v>45757</v>
      </c>
      <c r="C191" s="45" t="s">
        <v>168</v>
      </c>
      <c r="D191" s="47"/>
      <c r="E191" s="45" t="s">
        <v>659</v>
      </c>
      <c r="F191" s="45" t="s">
        <v>660</v>
      </c>
      <c r="G191" s="45" t="s">
        <v>1723</v>
      </c>
      <c r="H191" s="45" t="s">
        <v>2231</v>
      </c>
      <c r="I191" s="45" t="s">
        <v>2232</v>
      </c>
      <c r="J191" s="45">
        <v>424372843</v>
      </c>
      <c r="K191" s="45" t="s">
        <v>1702</v>
      </c>
      <c r="L191" s="48">
        <v>332.5</v>
      </c>
      <c r="M191" s="49">
        <v>20241122834</v>
      </c>
      <c r="N191" s="50" t="s">
        <v>28</v>
      </c>
      <c r="O191" s="50"/>
      <c r="P191" s="50"/>
      <c r="Q191" s="51"/>
      <c r="R191" s="50"/>
      <c r="S191" s="50"/>
      <c r="T191" s="51"/>
      <c r="U191" s="50"/>
    </row>
    <row r="192" spans="1:21" x14ac:dyDescent="0.25">
      <c r="A192" s="45" t="s">
        <v>29</v>
      </c>
      <c r="B192" s="46">
        <v>45757</v>
      </c>
      <c r="C192" s="45" t="s">
        <v>168</v>
      </c>
      <c r="D192" s="47"/>
      <c r="E192" s="45" t="s">
        <v>411</v>
      </c>
      <c r="F192" s="45" t="s">
        <v>412</v>
      </c>
      <c r="G192" s="45" t="s">
        <v>2233</v>
      </c>
      <c r="H192" s="45" t="s">
        <v>411</v>
      </c>
      <c r="I192" s="45" t="s">
        <v>1693</v>
      </c>
      <c r="J192" s="45">
        <v>528591733</v>
      </c>
      <c r="K192" s="45" t="s">
        <v>80</v>
      </c>
      <c r="L192" s="48">
        <v>480</v>
      </c>
      <c r="M192" s="49">
        <v>20241111249</v>
      </c>
      <c r="N192" s="50" t="s">
        <v>28</v>
      </c>
      <c r="O192" s="50"/>
      <c r="P192" s="50"/>
      <c r="Q192" s="51"/>
      <c r="R192" s="50"/>
      <c r="S192" s="50"/>
      <c r="T192" s="51"/>
      <c r="U192" s="50"/>
    </row>
    <row r="193" spans="1:21" x14ac:dyDescent="0.25">
      <c r="A193" s="45" t="s">
        <v>20</v>
      </c>
      <c r="B193" s="46">
        <v>45757</v>
      </c>
      <c r="C193" s="45" t="s">
        <v>168</v>
      </c>
      <c r="D193" s="47"/>
      <c r="E193" s="45" t="s">
        <v>556</v>
      </c>
      <c r="F193" s="45" t="s">
        <v>557</v>
      </c>
      <c r="G193" s="45" t="s">
        <v>376</v>
      </c>
      <c r="H193" s="45" t="s">
        <v>2234</v>
      </c>
      <c r="I193" s="45" t="s">
        <v>2235</v>
      </c>
      <c r="J193" s="45">
        <v>305922403</v>
      </c>
      <c r="K193" s="45" t="s">
        <v>1973</v>
      </c>
      <c r="L193" s="48">
        <v>67.599999999999994</v>
      </c>
      <c r="M193" s="49">
        <v>202411181331</v>
      </c>
      <c r="N193" s="50" t="s">
        <v>28</v>
      </c>
      <c r="O193" s="50"/>
      <c r="P193" s="50"/>
      <c r="Q193" s="51"/>
      <c r="R193" s="50"/>
      <c r="S193" s="50"/>
      <c r="T193" s="51"/>
      <c r="U193" s="50"/>
    </row>
    <row r="194" spans="1:21" x14ac:dyDescent="0.25">
      <c r="A194" s="45" t="s">
        <v>20</v>
      </c>
      <c r="B194" s="46">
        <v>45757</v>
      </c>
      <c r="C194" s="45" t="s">
        <v>168</v>
      </c>
      <c r="D194" s="47"/>
      <c r="E194" s="45" t="s">
        <v>556</v>
      </c>
      <c r="F194" s="45" t="s">
        <v>557</v>
      </c>
      <c r="G194" s="45" t="s">
        <v>376</v>
      </c>
      <c r="H194" s="45" t="s">
        <v>1873</v>
      </c>
      <c r="I194" s="45" t="s">
        <v>1946</v>
      </c>
      <c r="J194" s="45">
        <v>528270700</v>
      </c>
      <c r="K194" s="45" t="s">
        <v>989</v>
      </c>
      <c r="L194" s="48">
        <v>35</v>
      </c>
      <c r="M194" s="49">
        <v>202411181316</v>
      </c>
      <c r="N194" s="50" t="s">
        <v>28</v>
      </c>
      <c r="O194" s="50"/>
      <c r="P194" s="50"/>
      <c r="Q194" s="51"/>
      <c r="R194" s="50"/>
      <c r="S194" s="50"/>
      <c r="T194" s="51"/>
      <c r="U194" s="50"/>
    </row>
    <row r="195" spans="1:21" x14ac:dyDescent="0.25">
      <c r="A195" s="45" t="s">
        <v>20</v>
      </c>
      <c r="B195" s="46">
        <v>45757</v>
      </c>
      <c r="C195" s="45" t="s">
        <v>168</v>
      </c>
      <c r="D195" s="47"/>
      <c r="E195" s="45" t="s">
        <v>556</v>
      </c>
      <c r="F195" s="45" t="s">
        <v>557</v>
      </c>
      <c r="G195" s="45" t="s">
        <v>376</v>
      </c>
      <c r="H195" s="45" t="s">
        <v>1793</v>
      </c>
      <c r="I195" s="45" t="s">
        <v>2236</v>
      </c>
      <c r="J195" s="45">
        <v>646287355</v>
      </c>
      <c r="K195" s="45" t="s">
        <v>285</v>
      </c>
      <c r="L195" s="48">
        <v>81.2</v>
      </c>
      <c r="M195" s="49">
        <v>202411181360</v>
      </c>
      <c r="N195" s="50" t="s">
        <v>28</v>
      </c>
      <c r="O195" s="50"/>
      <c r="P195" s="50"/>
      <c r="Q195" s="51"/>
      <c r="R195" s="50"/>
      <c r="S195" s="50"/>
      <c r="T195" s="51"/>
      <c r="U195" s="50"/>
    </row>
  </sheetData>
  <autoFilter ref="A1:AG39756" xr:uid="{ABC5DDD6-4241-4900-8FC0-52E24BF4080C}"/>
  <sortState xmlns:xlrd2="http://schemas.microsoft.com/office/spreadsheetml/2017/richdata2" ref="A2:U195">
    <sortCondition ref="J2:J195"/>
  </sortState>
  <conditionalFormatting sqref="O116 O122 N1:N1048576">
    <cfRule type="cellIs" priority="13" stopIfTrue="1" operator="equal">
      <formula>""</formula>
    </cfRule>
    <cfRule type="cellIs" priority="14" stopIfTrue="1" operator="equal">
      <formula>"Correct = C"</formula>
    </cfRule>
    <cfRule type="cellIs" dxfId="120" priority="15" operator="notEqual">
      <formula>"C"</formula>
    </cfRule>
  </conditionalFormatting>
  <conditionalFormatting sqref="O1:O115 O117:O121 O123:O1048576">
    <cfRule type="cellIs" priority="10" stopIfTrue="1" operator="equal">
      <formula>""</formula>
    </cfRule>
    <cfRule type="cellIs" priority="11" stopIfTrue="1" operator="equal">
      <formula>"Major = M"</formula>
    </cfRule>
    <cfRule type="cellIs" dxfId="119" priority="12" operator="notEqual">
      <formula>"M"</formula>
    </cfRule>
  </conditionalFormatting>
  <conditionalFormatting sqref="P1:P1048576">
    <cfRule type="cellIs" priority="7" stopIfTrue="1" operator="equal">
      <formula>""</formula>
    </cfRule>
    <cfRule type="cellIs" priority="8" stopIfTrue="1" operator="equal">
      <formula>"Minor = E"</formula>
    </cfRule>
    <cfRule type="cellIs" dxfId="118" priority="9" operator="notEqual">
      <formula>"E"</formula>
    </cfRule>
  </conditionalFormatting>
  <conditionalFormatting sqref="R1:R1048576">
    <cfRule type="cellIs" priority="4" stopIfTrue="1" operator="equal">
      <formula>""</formula>
    </cfRule>
    <cfRule type="cellIs" priority="5" stopIfTrue="1" operator="equal">
      <formula>"Inserted Major = M"</formula>
    </cfRule>
    <cfRule type="cellIs" dxfId="117" priority="6" operator="notEqual">
      <formula>"M"</formula>
    </cfRule>
  </conditionalFormatting>
  <conditionalFormatting sqref="S1:S1048576">
    <cfRule type="cellIs" priority="1" stopIfTrue="1" operator="equal">
      <formula>""</formula>
    </cfRule>
    <cfRule type="cellIs" priority="2" stopIfTrue="1" operator="equal">
      <formula>"Inserted Minor = E"</formula>
    </cfRule>
    <cfRule type="cellIs" dxfId="116" priority="3" operator="notEqual">
      <formula>"E"</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1DD7E9-A09C-400C-839A-471629145D98}">
  <sheetPr codeName="Sheet22"/>
  <dimension ref="B2:AA50"/>
  <sheetViews>
    <sheetView workbookViewId="0"/>
  </sheetViews>
  <sheetFormatPr defaultRowHeight="15" x14ac:dyDescent="0.25"/>
  <cols>
    <col min="1" max="1" width="2.7109375" customWidth="1"/>
    <col min="2" max="2" width="28.140625" style="1" bestFit="1" customWidth="1"/>
    <col min="3" max="3" width="19.140625" style="1" hidden="1" customWidth="1"/>
    <col min="4" max="4" width="21.7109375" style="1" hidden="1" customWidth="1"/>
    <col min="5" max="5" width="11" style="1" hidden="1" customWidth="1"/>
    <col min="6" max="6" width="9.5703125" style="1" hidden="1" customWidth="1"/>
    <col min="7" max="7" width="16.140625" style="1" hidden="1" customWidth="1"/>
    <col min="8" max="8" width="17.140625" style="1" customWidth="1"/>
    <col min="9" max="9" width="33.85546875" style="1" hidden="1" customWidth="1"/>
    <col min="10" max="10" width="16.140625" style="1" customWidth="1"/>
    <col min="11" max="11" width="20.85546875" style="1" hidden="1" customWidth="1"/>
    <col min="12" max="12" width="19.85546875" style="1" hidden="1" customWidth="1"/>
    <col min="13" max="13" width="9.140625" style="1"/>
    <col min="14" max="16" width="0" style="1" hidden="1" customWidth="1"/>
    <col min="17" max="17" width="9.140625" style="1"/>
    <col min="18" max="19" width="9.140625" style="27"/>
    <col min="20" max="20" width="9.140625" style="1"/>
    <col min="21" max="22" width="9.140625" style="2"/>
    <col min="23" max="23" width="9.140625" style="1"/>
    <col min="24" max="24" width="18.85546875" style="1" bestFit="1" customWidth="1"/>
    <col min="25" max="27" width="9.140625" style="1"/>
  </cols>
  <sheetData>
    <row r="2" spans="2:24" s="1" customFormat="1" ht="52.5" x14ac:dyDescent="0.25">
      <c r="B2" s="22" t="s">
        <v>437</v>
      </c>
      <c r="C2" s="22" t="s">
        <v>438</v>
      </c>
      <c r="D2" s="22" t="s">
        <v>439</v>
      </c>
      <c r="E2" s="23" t="s">
        <v>440</v>
      </c>
      <c r="F2" s="23" t="s">
        <v>441</v>
      </c>
      <c r="G2" s="23" t="s">
        <v>442</v>
      </c>
      <c r="H2" s="23" t="s">
        <v>443</v>
      </c>
      <c r="I2" s="23" t="s">
        <v>444</v>
      </c>
      <c r="J2" s="23" t="s">
        <v>445</v>
      </c>
      <c r="K2" s="23" t="s">
        <v>446</v>
      </c>
      <c r="L2" s="23" t="s">
        <v>447</v>
      </c>
      <c r="M2" s="24" t="s">
        <v>448</v>
      </c>
      <c r="N2" s="24"/>
      <c r="O2" s="24"/>
      <c r="P2" s="24" t="s">
        <v>449</v>
      </c>
      <c r="Q2" s="24" t="s">
        <v>450</v>
      </c>
      <c r="R2" s="25" t="s">
        <v>451</v>
      </c>
      <c r="S2" s="25" t="s">
        <v>452</v>
      </c>
      <c r="T2" s="24" t="s">
        <v>453</v>
      </c>
      <c r="U2" s="26" t="s">
        <v>454</v>
      </c>
      <c r="V2" s="2"/>
    </row>
    <row r="3" spans="2:24" s="1" customFormat="1" ht="15" customHeight="1" x14ac:dyDescent="0.25">
      <c r="B3" s="1" t="s">
        <v>455</v>
      </c>
      <c r="C3" s="1" t="s">
        <v>456</v>
      </c>
      <c r="D3" s="1" t="s">
        <v>297</v>
      </c>
      <c r="E3" t="s">
        <v>457</v>
      </c>
      <c r="F3" t="s">
        <v>458</v>
      </c>
      <c r="G3" t="s">
        <v>459</v>
      </c>
      <c r="H3" t="s">
        <v>460</v>
      </c>
      <c r="I3" t="s">
        <v>461</v>
      </c>
      <c r="J3" t="s">
        <v>462</v>
      </c>
      <c r="K3"/>
      <c r="L3" t="s">
        <v>463</v>
      </c>
      <c r="M3">
        <v>0</v>
      </c>
      <c r="N3" t="s">
        <v>464</v>
      </c>
      <c r="O3"/>
      <c r="P3"/>
      <c r="Q3" s="7"/>
      <c r="R3" s="27" t="str">
        <f t="shared" ref="R3:R48" si="0">IF(Q3-SUM(S3:T3)=0,"",Q3-SUM(S3:T3))</f>
        <v/>
      </c>
      <c r="S3" s="27" t="str">
        <f>IF(SUM(COUNTIFS('11_18_11_24'!E:E,'11_18_11_24 Acc Rate'!C3,'11_18_11_24'!O:O,"*M*"),COUNTIFS('11_18_11_24'!E:E,'11_18_11_24 Acc Rate'!C3,'11_18_11_24'!R:R,"*M*"))=0,"",SUM(COUNTIFS('11_18_11_24'!E:E,'11_18_11_24 Acc Rate'!C3,'11_18_11_24'!O:O,"*M*"),COUNTIFS('11_18_11_24'!E:E,'11_18_11_24 Acc Rate'!C3,'11_18_11_24'!R:R,"*M*")))</f>
        <v/>
      </c>
      <c r="T3" s="1" t="str">
        <f>IF(SUM(COUNTIFS('11_18_11_24'!E:E,'11_18_11_24 Acc Rate'!C3,'11_18_11_24'!P:P,"*E*"),COUNTIFS('11_18_11_24'!E:E,'11_18_11_24 Acc Rate'!C3,'11_18_11_24'!S:S,"*E*"))=0,"",SUM(COUNTIFS('11_18_11_24'!E:E,'11_18_11_24 Acc Rate'!C3,'11_18_11_24'!P:P,"*E*"),COUNTIFS('11_18_11_24'!E:E,'11_18_11_24 Acc Rate'!C3,'11_18_11_24'!S:S,"*E*")))</f>
        <v/>
      </c>
      <c r="U3" s="8" t="str">
        <f>IF(ISERROR(SUM(_xlfn.NUMBERVALUE(S3)*8+_xlfn.NUMBERVALUE(T3)*2)/Q3),"",SUM(_xlfn.NUMBERVALUE(S3)*8+_xlfn.NUMBERVALUE(T3)*2)/Q3)</f>
        <v/>
      </c>
      <c r="V3" s="2"/>
      <c r="W3" s="83" t="s">
        <v>465</v>
      </c>
      <c r="X3" s="83"/>
    </row>
    <row r="4" spans="2:24" s="1" customFormat="1" ht="15" customHeight="1" x14ac:dyDescent="0.25">
      <c r="B4" s="1" t="s">
        <v>506</v>
      </c>
      <c r="C4" s="1" t="s">
        <v>208</v>
      </c>
      <c r="D4" s="1" t="s">
        <v>209</v>
      </c>
      <c r="E4" t="s">
        <v>507</v>
      </c>
      <c r="F4" t="s">
        <v>352</v>
      </c>
      <c r="G4" t="s">
        <v>508</v>
      </c>
      <c r="H4" t="s">
        <v>460</v>
      </c>
      <c r="I4" t="s">
        <v>509</v>
      </c>
      <c r="J4" t="s">
        <v>470</v>
      </c>
      <c r="K4"/>
      <c r="L4" t="s">
        <v>510</v>
      </c>
      <c r="M4">
        <v>15</v>
      </c>
      <c r="N4" t="s">
        <v>511</v>
      </c>
      <c r="O4">
        <v>32</v>
      </c>
      <c r="P4">
        <v>40</v>
      </c>
      <c r="Q4" s="7"/>
      <c r="R4" s="27">
        <f t="shared" si="0"/>
        <v>-1</v>
      </c>
      <c r="S4" s="27" t="str">
        <f>IF(SUM(COUNTIFS('11_18_11_24'!E:E,'11_18_11_24 Acc Rate'!C4,'11_18_11_24'!O:O,"*M*"),COUNTIFS('11_18_11_24'!E:E,'11_18_11_24 Acc Rate'!C4,'11_18_11_24'!R:R,"*M*"))=0,"",SUM(COUNTIFS('11_18_11_24'!E:E,'11_18_11_24 Acc Rate'!C4,'11_18_11_24'!O:O,"*M*"),COUNTIFS('11_18_11_24'!E:E,'11_18_11_24 Acc Rate'!C4,'11_18_11_24'!R:R,"*M*")))</f>
        <v/>
      </c>
      <c r="T4" s="1">
        <f>IF(SUM(COUNTIFS('11_18_11_24'!E:E,'11_18_11_24 Acc Rate'!C4,'11_18_11_24'!P:P,"*E*"),COUNTIFS('11_18_11_24'!E:E,'11_18_11_24 Acc Rate'!C4,'11_18_11_24'!S:S,"*E*"))=0,"",SUM(COUNTIFS('11_18_11_24'!E:E,'11_18_11_24 Acc Rate'!C4,'11_18_11_24'!P:P,"*E*"),COUNTIFS('11_18_11_24'!E:E,'11_18_11_24 Acc Rate'!C4,'11_18_11_24'!S:S,"*E*")))</f>
        <v>1</v>
      </c>
      <c r="U4" s="8" t="str">
        <f t="shared" ref="U4:U47" si="1">IF(ISERROR(SUM(_xlfn.NUMBERVALUE(S4)*8+_xlfn.NUMBERVALUE(T4)*2)/Q4),"",SUM(_xlfn.NUMBERVALUE(S4)*8+_xlfn.NUMBERVALUE(T4)*2)/Q4)</f>
        <v/>
      </c>
      <c r="V4" s="2"/>
      <c r="W4" s="40" t="s">
        <v>473</v>
      </c>
      <c r="X4" s="41" t="s">
        <v>474</v>
      </c>
    </row>
    <row r="5" spans="2:24" s="1" customFormat="1" ht="15" customHeight="1" x14ac:dyDescent="0.25">
      <c r="B5" s="1" t="s">
        <v>525</v>
      </c>
      <c r="C5" s="1" t="s">
        <v>277</v>
      </c>
      <c r="D5" s="1" t="s">
        <v>278</v>
      </c>
      <c r="E5" t="s">
        <v>526</v>
      </c>
      <c r="F5" t="s">
        <v>527</v>
      </c>
      <c r="G5" t="s">
        <v>528</v>
      </c>
      <c r="H5" t="s">
        <v>460</v>
      </c>
      <c r="I5" t="s">
        <v>529</v>
      </c>
      <c r="J5" t="s">
        <v>2033</v>
      </c>
      <c r="K5" t="s">
        <v>509</v>
      </c>
      <c r="L5"/>
      <c r="M5">
        <v>15</v>
      </c>
      <c r="N5" t="s">
        <v>530</v>
      </c>
      <c r="O5">
        <v>219</v>
      </c>
      <c r="P5">
        <v>25</v>
      </c>
      <c r="Q5" s="7"/>
      <c r="R5" s="27" t="str">
        <f t="shared" si="0"/>
        <v/>
      </c>
      <c r="S5" s="27" t="str">
        <f>IF(SUM(COUNTIFS('11_18_11_24'!E:E,'11_18_11_24 Acc Rate'!C5,'11_18_11_24'!O:O,"*M*"),COUNTIFS('11_18_11_24'!E:E,'11_18_11_24 Acc Rate'!C5,'11_18_11_24'!R:R,"*M*"))=0,"",SUM(COUNTIFS('11_18_11_24'!E:E,'11_18_11_24 Acc Rate'!C5,'11_18_11_24'!O:O,"*M*"),COUNTIFS('11_18_11_24'!E:E,'11_18_11_24 Acc Rate'!C5,'11_18_11_24'!R:R,"*M*")))</f>
        <v/>
      </c>
      <c r="T5" s="1" t="str">
        <f>IF(SUM(COUNTIFS('11_18_11_24'!E:E,'11_18_11_24 Acc Rate'!C5,'11_18_11_24'!P:P,"*E*"),COUNTIFS('11_18_11_24'!E:E,'11_18_11_24 Acc Rate'!C5,'11_18_11_24'!S:S,"*E*"))=0,"",SUM(COUNTIFS('11_18_11_24'!E:E,'11_18_11_24 Acc Rate'!C5,'11_18_11_24'!P:P,"*E*"),COUNTIFS('11_18_11_24'!E:E,'11_18_11_24 Acc Rate'!C5,'11_18_11_24'!S:S,"*E*")))</f>
        <v/>
      </c>
      <c r="U5" s="8" t="str">
        <f t="shared" si="1"/>
        <v/>
      </c>
      <c r="V5" s="2"/>
      <c r="W5" s="40" t="s">
        <v>482</v>
      </c>
      <c r="X5" s="41" t="s">
        <v>483</v>
      </c>
    </row>
    <row r="6" spans="2:24" s="1" customFormat="1" ht="15" customHeight="1" x14ac:dyDescent="0.25">
      <c r="B6" s="1" t="s">
        <v>475</v>
      </c>
      <c r="C6" s="1" t="s">
        <v>362</v>
      </c>
      <c r="D6" s="1" t="s">
        <v>394</v>
      </c>
      <c r="E6" t="s">
        <v>476</v>
      </c>
      <c r="F6" t="s">
        <v>175</v>
      </c>
      <c r="G6" t="s">
        <v>477</v>
      </c>
      <c r="H6" t="s">
        <v>460</v>
      </c>
      <c r="I6" t="s">
        <v>478</v>
      </c>
      <c r="J6" t="s">
        <v>2033</v>
      </c>
      <c r="K6" t="s">
        <v>509</v>
      </c>
      <c r="L6" t="s">
        <v>480</v>
      </c>
      <c r="M6">
        <v>15</v>
      </c>
      <c r="N6" t="s">
        <v>481</v>
      </c>
      <c r="O6">
        <v>67</v>
      </c>
      <c r="P6">
        <v>20</v>
      </c>
      <c r="Q6" s="7"/>
      <c r="R6" s="27" t="str">
        <f t="shared" si="0"/>
        <v/>
      </c>
      <c r="S6" s="27" t="str">
        <f>IF(SUM(COUNTIFS('11_18_11_24'!E:E,'11_18_11_24 Acc Rate'!C6,'11_18_11_24'!O:O,"*M*"),COUNTIFS('11_18_11_24'!E:E,'11_18_11_24 Acc Rate'!C6,'11_18_11_24'!R:R,"*M*"))=0,"",SUM(COUNTIFS('11_18_11_24'!E:E,'11_18_11_24 Acc Rate'!C6,'11_18_11_24'!O:O,"*M*"),COUNTIFS('11_18_11_24'!E:E,'11_18_11_24 Acc Rate'!C6,'11_18_11_24'!R:R,"*M*")))</f>
        <v/>
      </c>
      <c r="T6" s="1" t="str">
        <f>IF(SUM(COUNTIFS('11_18_11_24'!E:E,'11_18_11_24 Acc Rate'!C6,'11_18_11_24'!P:P,"*E*"),COUNTIFS('11_18_11_24'!E:E,'11_18_11_24 Acc Rate'!C6,'11_18_11_24'!S:S,"*E*"))=0,"",SUM(COUNTIFS('11_18_11_24'!E:E,'11_18_11_24 Acc Rate'!C6,'11_18_11_24'!P:P,"*E*"),COUNTIFS('11_18_11_24'!E:E,'11_18_11_24 Acc Rate'!C6,'11_18_11_24'!S:S,"*E*")))</f>
        <v/>
      </c>
      <c r="U6" s="8" t="str">
        <f t="shared" si="1"/>
        <v/>
      </c>
      <c r="V6" s="2"/>
      <c r="W6" s="40" t="s">
        <v>490</v>
      </c>
      <c r="X6" s="41" t="s">
        <v>491</v>
      </c>
    </row>
    <row r="7" spans="2:24" s="1" customFormat="1" ht="15" customHeight="1" x14ac:dyDescent="0.25">
      <c r="B7" s="1" t="s">
        <v>542</v>
      </c>
      <c r="C7" s="1" t="s">
        <v>245</v>
      </c>
      <c r="D7" s="1" t="s">
        <v>246</v>
      </c>
      <c r="E7" t="s">
        <v>543</v>
      </c>
      <c r="F7" t="s">
        <v>21</v>
      </c>
      <c r="G7" t="s">
        <v>544</v>
      </c>
      <c r="H7" t="s">
        <v>460</v>
      </c>
      <c r="I7" t="s">
        <v>545</v>
      </c>
      <c r="J7" t="s">
        <v>2033</v>
      </c>
      <c r="K7" t="s">
        <v>509</v>
      </c>
      <c r="L7" t="s">
        <v>546</v>
      </c>
      <c r="M7">
        <v>15</v>
      </c>
      <c r="N7" t="s">
        <v>547</v>
      </c>
      <c r="O7">
        <v>209</v>
      </c>
      <c r="P7">
        <v>40</v>
      </c>
      <c r="Q7" s="7"/>
      <c r="R7" s="27" t="str">
        <f t="shared" si="0"/>
        <v/>
      </c>
      <c r="S7" s="27" t="str">
        <f>IF(SUM(COUNTIFS('11_18_11_24'!E:E,'11_18_11_24 Acc Rate'!C7,'11_18_11_24'!O:O,"*M*"),COUNTIFS('11_18_11_24'!E:E,'11_18_11_24 Acc Rate'!C7,'11_18_11_24'!R:R,"*M*"))=0,"",SUM(COUNTIFS('11_18_11_24'!E:E,'11_18_11_24 Acc Rate'!C7,'11_18_11_24'!O:O,"*M*"),COUNTIFS('11_18_11_24'!E:E,'11_18_11_24 Acc Rate'!C7,'11_18_11_24'!R:R,"*M*")))</f>
        <v/>
      </c>
      <c r="T7" s="1" t="str">
        <f>IF(SUM(COUNTIFS('11_18_11_24'!E:E,'11_18_11_24 Acc Rate'!C7,'11_18_11_24'!P:P,"*E*"),COUNTIFS('11_18_11_24'!E:E,'11_18_11_24 Acc Rate'!C7,'11_18_11_24'!S:S,"*E*"))=0,"",SUM(COUNTIFS('11_18_11_24'!E:E,'11_18_11_24 Acc Rate'!C7,'11_18_11_24'!P:P,"*E*"),COUNTIFS('11_18_11_24'!E:E,'11_18_11_24 Acc Rate'!C7,'11_18_11_24'!S:S,"*E*")))</f>
        <v/>
      </c>
      <c r="U7" s="8" t="str">
        <f t="shared" si="1"/>
        <v/>
      </c>
      <c r="V7" s="2"/>
      <c r="W7" s="84" t="s">
        <v>499</v>
      </c>
      <c r="X7" s="84"/>
    </row>
    <row r="8" spans="2:24" s="1" customFormat="1" ht="15" customHeight="1" x14ac:dyDescent="0.25">
      <c r="B8" s="1" t="s">
        <v>492</v>
      </c>
      <c r="C8" s="1" t="s">
        <v>107</v>
      </c>
      <c r="D8" s="1" t="s">
        <v>108</v>
      </c>
      <c r="E8" t="s">
        <v>493</v>
      </c>
      <c r="F8" t="s">
        <v>494</v>
      </c>
      <c r="G8" t="s">
        <v>495</v>
      </c>
      <c r="H8" t="s">
        <v>460</v>
      </c>
      <c r="I8" t="s">
        <v>496</v>
      </c>
      <c r="J8" t="s">
        <v>2033</v>
      </c>
      <c r="K8" t="s">
        <v>509</v>
      </c>
      <c r="L8"/>
      <c r="M8">
        <v>15</v>
      </c>
      <c r="N8" t="s">
        <v>497</v>
      </c>
      <c r="O8" t="s">
        <v>498</v>
      </c>
      <c r="P8">
        <v>40</v>
      </c>
      <c r="Q8" s="7"/>
      <c r="R8" s="27">
        <f t="shared" si="0"/>
        <v>-5</v>
      </c>
      <c r="S8" s="27">
        <f>IF(SUM(COUNTIFS('11_18_11_24'!E:E,'11_18_11_24 Acc Rate'!C8,'11_18_11_24'!O:O,"*M*"),COUNTIFS('11_18_11_24'!E:E,'11_18_11_24 Acc Rate'!C8,'11_18_11_24'!R:R,"*M*"))=0,"",SUM(COUNTIFS('11_18_11_24'!E:E,'11_18_11_24 Acc Rate'!C8,'11_18_11_24'!O:O,"*M*"),COUNTIFS('11_18_11_24'!E:E,'11_18_11_24 Acc Rate'!C8,'11_18_11_24'!R:R,"*M*")))</f>
        <v>2</v>
      </c>
      <c r="T8" s="1">
        <f>IF(SUM(COUNTIFS('11_18_11_24'!E:E,'11_18_11_24 Acc Rate'!C8,'11_18_11_24'!P:P,"*E*"),COUNTIFS('11_18_11_24'!E:E,'11_18_11_24 Acc Rate'!C8,'11_18_11_24'!S:S,"*E*"))=0,"",SUM(COUNTIFS('11_18_11_24'!E:E,'11_18_11_24 Acc Rate'!C8,'11_18_11_24'!P:P,"*E*"),COUNTIFS('11_18_11_24'!E:E,'11_18_11_24 Acc Rate'!C8,'11_18_11_24'!S:S,"*E*")))</f>
        <v>3</v>
      </c>
      <c r="U8" s="8" t="str">
        <f t="shared" si="1"/>
        <v/>
      </c>
      <c r="V8" s="2"/>
      <c r="W8" s="85" t="s">
        <v>505</v>
      </c>
      <c r="X8" s="85"/>
    </row>
    <row r="9" spans="2:24" s="1" customFormat="1" ht="15" customHeight="1" x14ac:dyDescent="0.25">
      <c r="B9" s="1" t="s">
        <v>512</v>
      </c>
      <c r="C9" s="1" t="s">
        <v>371</v>
      </c>
      <c r="D9" s="1" t="s">
        <v>372</v>
      </c>
      <c r="E9" t="s">
        <v>513</v>
      </c>
      <c r="F9" t="s">
        <v>34</v>
      </c>
      <c r="G9" t="s">
        <v>514</v>
      </c>
      <c r="H9" t="s">
        <v>460</v>
      </c>
      <c r="I9" t="s">
        <v>515</v>
      </c>
      <c r="J9" t="s">
        <v>470</v>
      </c>
      <c r="K9"/>
      <c r="L9" t="s">
        <v>516</v>
      </c>
      <c r="M9">
        <v>15</v>
      </c>
      <c r="N9" t="s">
        <v>517</v>
      </c>
      <c r="O9">
        <v>132</v>
      </c>
      <c r="P9">
        <v>40</v>
      </c>
      <c r="Q9" s="7"/>
      <c r="R9" s="27" t="str">
        <f t="shared" si="0"/>
        <v/>
      </c>
      <c r="S9" s="27" t="str">
        <f>IF(SUM(COUNTIFS('11_18_11_24'!E:E,'11_18_11_24 Acc Rate'!C9,'11_18_11_24'!O:O,"*M*"),COUNTIFS('11_18_11_24'!E:E,'11_18_11_24 Acc Rate'!C9,'11_18_11_24'!R:R,"*M*"))=0,"",SUM(COUNTIFS('11_18_11_24'!E:E,'11_18_11_24 Acc Rate'!C9,'11_18_11_24'!O:O,"*M*"),COUNTIFS('11_18_11_24'!E:E,'11_18_11_24 Acc Rate'!C9,'11_18_11_24'!R:R,"*M*")))</f>
        <v/>
      </c>
      <c r="T9" s="1" t="str">
        <f>IF(SUM(COUNTIFS('11_18_11_24'!E:E,'11_18_11_24 Acc Rate'!C9,'11_18_11_24'!P:P,"*E*"),COUNTIFS('11_18_11_24'!E:E,'11_18_11_24 Acc Rate'!C9,'11_18_11_24'!S:S,"*E*"))=0,"",SUM(COUNTIFS('11_18_11_24'!E:E,'11_18_11_24 Acc Rate'!C9,'11_18_11_24'!P:P,"*E*"),COUNTIFS('11_18_11_24'!E:E,'11_18_11_24 Acc Rate'!C9,'11_18_11_24'!S:S,"*E*")))</f>
        <v/>
      </c>
      <c r="U9" s="8" t="str">
        <f t="shared" si="1"/>
        <v/>
      </c>
      <c r="V9" s="2"/>
    </row>
    <row r="10" spans="2:24" s="1" customFormat="1" ht="15" customHeight="1" x14ac:dyDescent="0.25">
      <c r="B10" s="1" t="s">
        <v>518</v>
      </c>
      <c r="C10" s="1" t="s">
        <v>296</v>
      </c>
      <c r="D10" s="1" t="s">
        <v>297</v>
      </c>
      <c r="E10" t="s">
        <v>519</v>
      </c>
      <c r="F10" t="s">
        <v>520</v>
      </c>
      <c r="G10" t="s">
        <v>521</v>
      </c>
      <c r="H10" t="s">
        <v>460</v>
      </c>
      <c r="I10" t="s">
        <v>522</v>
      </c>
      <c r="J10" t="s">
        <v>523</v>
      </c>
      <c r="K10" t="s">
        <v>515</v>
      </c>
      <c r="L10"/>
      <c r="M10">
        <v>15</v>
      </c>
      <c r="N10" t="s">
        <v>524</v>
      </c>
      <c r="O10">
        <v>719</v>
      </c>
      <c r="P10">
        <v>40</v>
      </c>
      <c r="Q10" s="7"/>
      <c r="R10" s="27" t="str">
        <f t="shared" si="0"/>
        <v/>
      </c>
      <c r="S10" s="27" t="str">
        <f>IF(SUM(COUNTIFS('11_18_11_24'!E:E,'11_18_11_24 Acc Rate'!C10,'11_18_11_24'!O:O,"*M*"),COUNTIFS('11_18_11_24'!E:E,'11_18_11_24 Acc Rate'!C10,'11_18_11_24'!R:R,"*M*"))=0,"",SUM(COUNTIFS('11_18_11_24'!E:E,'11_18_11_24 Acc Rate'!C10,'11_18_11_24'!O:O,"*M*"),COUNTIFS('11_18_11_24'!E:E,'11_18_11_24 Acc Rate'!C10,'11_18_11_24'!R:R,"*M*")))</f>
        <v/>
      </c>
      <c r="T10" s="1" t="str">
        <f>IF(SUM(COUNTIFS('11_18_11_24'!E:E,'11_18_11_24 Acc Rate'!C10,'11_18_11_24'!P:P,"*E*"),COUNTIFS('11_18_11_24'!E:E,'11_18_11_24 Acc Rate'!C10,'11_18_11_24'!S:S,"*E*"))=0,"",SUM(COUNTIFS('11_18_11_24'!E:E,'11_18_11_24 Acc Rate'!C10,'11_18_11_24'!P:P,"*E*"),COUNTIFS('11_18_11_24'!E:E,'11_18_11_24 Acc Rate'!C10,'11_18_11_24'!S:S,"*E*")))</f>
        <v/>
      </c>
      <c r="U10" s="8" t="str">
        <f t="shared" si="1"/>
        <v/>
      </c>
      <c r="V10" s="2"/>
    </row>
    <row r="11" spans="2:24" s="1" customFormat="1" ht="15" customHeight="1" x14ac:dyDescent="0.25">
      <c r="B11" s="1" t="s">
        <v>531</v>
      </c>
      <c r="C11" s="1" t="s">
        <v>325</v>
      </c>
      <c r="D11" s="1" t="s">
        <v>278</v>
      </c>
      <c r="E11" t="s">
        <v>532</v>
      </c>
      <c r="F11" t="s">
        <v>244</v>
      </c>
      <c r="G11" t="s">
        <v>533</v>
      </c>
      <c r="H11" t="s">
        <v>460</v>
      </c>
      <c r="I11" t="s">
        <v>534</v>
      </c>
      <c r="J11" t="s">
        <v>523</v>
      </c>
      <c r="K11" t="s">
        <v>515</v>
      </c>
      <c r="L11" t="s">
        <v>535</v>
      </c>
      <c r="M11">
        <v>15</v>
      </c>
      <c r="N11" t="s">
        <v>536</v>
      </c>
      <c r="O11">
        <v>142</v>
      </c>
      <c r="P11">
        <v>25</v>
      </c>
      <c r="Q11" s="7"/>
      <c r="R11" s="27" t="str">
        <f t="shared" si="0"/>
        <v/>
      </c>
      <c r="S11" s="27" t="str">
        <f>IF(SUM(COUNTIFS('11_18_11_24'!E:E,'11_18_11_24 Acc Rate'!C11,'11_18_11_24'!O:O,"*M*"),COUNTIFS('11_18_11_24'!E:E,'11_18_11_24 Acc Rate'!C11,'11_18_11_24'!R:R,"*M*"))=0,"",SUM(COUNTIFS('11_18_11_24'!E:E,'11_18_11_24 Acc Rate'!C11,'11_18_11_24'!O:O,"*M*"),COUNTIFS('11_18_11_24'!E:E,'11_18_11_24 Acc Rate'!C11,'11_18_11_24'!R:R,"*M*")))</f>
        <v/>
      </c>
      <c r="T11" s="1" t="str">
        <f>IF(SUM(COUNTIFS('11_18_11_24'!E:E,'11_18_11_24 Acc Rate'!C11,'11_18_11_24'!P:P,"*E*"),COUNTIFS('11_18_11_24'!E:E,'11_18_11_24 Acc Rate'!C11,'11_18_11_24'!S:S,"*E*"))=0,"",SUM(COUNTIFS('11_18_11_24'!E:E,'11_18_11_24 Acc Rate'!C11,'11_18_11_24'!P:P,"*E*"),COUNTIFS('11_18_11_24'!E:E,'11_18_11_24 Acc Rate'!C11,'11_18_11_24'!S:S,"*E*")))</f>
        <v/>
      </c>
      <c r="U11" s="8" t="str">
        <f t="shared" si="1"/>
        <v/>
      </c>
      <c r="V11" s="2"/>
    </row>
    <row r="12" spans="2:24" s="1" customFormat="1" ht="15" customHeight="1" x14ac:dyDescent="0.25">
      <c r="B12" s="1" t="s">
        <v>537</v>
      </c>
      <c r="C12" s="1" t="s">
        <v>64</v>
      </c>
      <c r="D12" s="1" t="s">
        <v>65</v>
      </c>
      <c r="E12" t="s">
        <v>538</v>
      </c>
      <c r="F12" t="s">
        <v>114</v>
      </c>
      <c r="G12" t="s">
        <v>539</v>
      </c>
      <c r="H12" t="s">
        <v>460</v>
      </c>
      <c r="I12" t="s">
        <v>540</v>
      </c>
      <c r="J12" t="s">
        <v>523</v>
      </c>
      <c r="K12" t="s">
        <v>515</v>
      </c>
      <c r="L12"/>
      <c r="M12">
        <v>15</v>
      </c>
      <c r="N12" t="s">
        <v>541</v>
      </c>
      <c r="O12">
        <v>716</v>
      </c>
      <c r="P12">
        <v>25</v>
      </c>
      <c r="Q12" s="7"/>
      <c r="R12" s="27" t="str">
        <f t="shared" si="0"/>
        <v/>
      </c>
      <c r="S12" s="27" t="str">
        <f>IF(SUM(COUNTIFS('11_18_11_24'!E:E,'11_18_11_24 Acc Rate'!C12,'11_18_11_24'!O:O,"*M*"),COUNTIFS('11_18_11_24'!E:E,'11_18_11_24 Acc Rate'!C12,'11_18_11_24'!R:R,"*M*"))=0,"",SUM(COUNTIFS('11_18_11_24'!E:E,'11_18_11_24 Acc Rate'!C12,'11_18_11_24'!O:O,"*M*"),COUNTIFS('11_18_11_24'!E:E,'11_18_11_24 Acc Rate'!C12,'11_18_11_24'!R:R,"*M*")))</f>
        <v/>
      </c>
      <c r="T12" s="1" t="str">
        <f>IF(SUM(COUNTIFS('11_18_11_24'!E:E,'11_18_11_24 Acc Rate'!C12,'11_18_11_24'!P:P,"*E*"),COUNTIFS('11_18_11_24'!E:E,'11_18_11_24 Acc Rate'!C12,'11_18_11_24'!S:S,"*E*"))=0,"",SUM(COUNTIFS('11_18_11_24'!E:E,'11_18_11_24 Acc Rate'!C12,'11_18_11_24'!P:P,"*E*"),COUNTIFS('11_18_11_24'!E:E,'11_18_11_24 Acc Rate'!C12,'11_18_11_24'!S:S,"*E*")))</f>
        <v/>
      </c>
      <c r="U12" s="8" t="str">
        <f t="shared" si="1"/>
        <v/>
      </c>
      <c r="V12" s="2"/>
    </row>
    <row r="13" spans="2:24" s="1" customFormat="1" ht="15" customHeight="1" x14ac:dyDescent="0.25">
      <c r="B13" s="1" t="s">
        <v>484</v>
      </c>
      <c r="C13" s="1" t="s">
        <v>22</v>
      </c>
      <c r="D13" s="1" t="s">
        <v>23</v>
      </c>
      <c r="E13" t="s">
        <v>485</v>
      </c>
      <c r="F13" t="s">
        <v>486</v>
      </c>
      <c r="G13" t="s">
        <v>487</v>
      </c>
      <c r="H13" t="s">
        <v>460</v>
      </c>
      <c r="I13" t="s">
        <v>488</v>
      </c>
      <c r="J13" t="s">
        <v>523</v>
      </c>
      <c r="K13" t="s">
        <v>515</v>
      </c>
      <c r="L13"/>
      <c r="M13">
        <v>15</v>
      </c>
      <c r="N13" t="s">
        <v>489</v>
      </c>
      <c r="O13">
        <v>2117</v>
      </c>
      <c r="P13">
        <v>40</v>
      </c>
      <c r="Q13" s="7"/>
      <c r="R13" s="27">
        <f t="shared" si="0"/>
        <v>-1</v>
      </c>
      <c r="S13" s="27">
        <f>IF(SUM(COUNTIFS('11_18_11_24'!E:E,'11_18_11_24 Acc Rate'!C13,'11_18_11_24'!O:O,"*M*"),COUNTIFS('11_18_11_24'!E:E,'11_18_11_24 Acc Rate'!C13,'11_18_11_24'!R:R,"*M*"))=0,"",SUM(COUNTIFS('11_18_11_24'!E:E,'11_18_11_24 Acc Rate'!C13,'11_18_11_24'!O:O,"*M*"),COUNTIFS('11_18_11_24'!E:E,'11_18_11_24 Acc Rate'!C13,'11_18_11_24'!R:R,"*M*")))</f>
        <v>1</v>
      </c>
      <c r="T13" s="1" t="str">
        <f>IF(SUM(COUNTIFS('11_18_11_24'!E:E,'11_18_11_24 Acc Rate'!C13,'11_18_11_24'!P:P,"*E*"),COUNTIFS('11_18_11_24'!E:E,'11_18_11_24 Acc Rate'!C13,'11_18_11_24'!S:S,"*E*"))=0,"",SUM(COUNTIFS('11_18_11_24'!E:E,'11_18_11_24 Acc Rate'!C13,'11_18_11_24'!P:P,"*E*"),COUNTIFS('11_18_11_24'!E:E,'11_18_11_24 Acc Rate'!C13,'11_18_11_24'!S:S,"*E*")))</f>
        <v/>
      </c>
      <c r="U13" s="8" t="str">
        <f t="shared" si="1"/>
        <v/>
      </c>
      <c r="V13" s="2"/>
    </row>
    <row r="14" spans="2:24" s="1" customFormat="1" ht="15" customHeight="1" x14ac:dyDescent="0.25">
      <c r="B14" s="1" t="s">
        <v>500</v>
      </c>
      <c r="C14" s="1" t="s">
        <v>176</v>
      </c>
      <c r="D14" s="1" t="s">
        <v>177</v>
      </c>
      <c r="E14" t="s">
        <v>501</v>
      </c>
      <c r="F14" t="s">
        <v>168</v>
      </c>
      <c r="G14" t="s">
        <v>502</v>
      </c>
      <c r="H14" t="s">
        <v>460</v>
      </c>
      <c r="I14" t="s">
        <v>503</v>
      </c>
      <c r="J14" t="s">
        <v>523</v>
      </c>
      <c r="K14" t="s">
        <v>515</v>
      </c>
      <c r="L14"/>
      <c r="M14">
        <v>15</v>
      </c>
      <c r="N14" t="s">
        <v>504</v>
      </c>
      <c r="O14">
        <v>182</v>
      </c>
      <c r="P14">
        <v>40</v>
      </c>
      <c r="Q14" s="7"/>
      <c r="R14" s="27" t="str">
        <f t="shared" si="0"/>
        <v/>
      </c>
      <c r="S14" s="27" t="str">
        <f>IF(SUM(COUNTIFS('11_18_11_24'!E:E,'11_18_11_24 Acc Rate'!C14,'11_18_11_24'!O:O,"*M*"),COUNTIFS('11_18_11_24'!E:E,'11_18_11_24 Acc Rate'!C14,'11_18_11_24'!R:R,"*M*"))=0,"",SUM(COUNTIFS('11_18_11_24'!E:E,'11_18_11_24 Acc Rate'!C14,'11_18_11_24'!O:O,"*M*"),COUNTIFS('11_18_11_24'!E:E,'11_18_11_24 Acc Rate'!C14,'11_18_11_24'!R:R,"*M*")))</f>
        <v/>
      </c>
      <c r="T14" s="1" t="str">
        <f>IF(SUM(COUNTIFS('11_18_11_24'!E:E,'11_18_11_24 Acc Rate'!C14,'11_18_11_24'!P:P,"*E*"),COUNTIFS('11_18_11_24'!E:E,'11_18_11_24 Acc Rate'!C14,'11_18_11_24'!S:S,"*E*"))=0,"",SUM(COUNTIFS('11_18_11_24'!E:E,'11_18_11_24 Acc Rate'!C14,'11_18_11_24'!P:P,"*E*"),COUNTIFS('11_18_11_24'!E:E,'11_18_11_24 Acc Rate'!C14,'11_18_11_24'!S:S,"*E*")))</f>
        <v/>
      </c>
      <c r="U14" s="8" t="str">
        <f t="shared" si="1"/>
        <v/>
      </c>
      <c r="V14" s="2"/>
    </row>
    <row r="15" spans="2:24" ht="15" customHeight="1" x14ac:dyDescent="0.25">
      <c r="B15" s="1" t="s">
        <v>548</v>
      </c>
      <c r="C15" s="1" t="s">
        <v>396</v>
      </c>
      <c r="D15" s="1" t="s">
        <v>549</v>
      </c>
      <c r="E15"/>
      <c r="F15" t="s">
        <v>550</v>
      </c>
      <c r="G15" t="s">
        <v>551</v>
      </c>
      <c r="H15" t="s">
        <v>552</v>
      </c>
      <c r="I15" t="s">
        <v>553</v>
      </c>
      <c r="J15" t="s">
        <v>554</v>
      </c>
      <c r="K15"/>
      <c r="L15"/>
      <c r="M15">
        <v>6</v>
      </c>
      <c r="N15"/>
      <c r="O15"/>
      <c r="P15"/>
      <c r="Q15" s="7"/>
      <c r="R15" s="27" t="str">
        <f t="shared" si="0"/>
        <v/>
      </c>
      <c r="S15" s="27" t="str">
        <f>IF(SUM(COUNTIFS('11_18_11_24'!E:E,'11_18_11_24 Acc Rate'!C15,'11_18_11_24'!O:O,"*M*"),COUNTIFS('11_18_11_24'!E:E,'11_18_11_24 Acc Rate'!C15,'11_18_11_24'!R:R,"*M*"))=0,"",SUM(COUNTIFS('11_18_11_24'!E:E,'11_18_11_24 Acc Rate'!C15,'11_18_11_24'!O:O,"*M*"),COUNTIFS('11_18_11_24'!E:E,'11_18_11_24 Acc Rate'!C15,'11_18_11_24'!R:R,"*M*")))</f>
        <v/>
      </c>
      <c r="T15" s="1" t="str">
        <f>IF(SUM(COUNTIFS('11_18_11_24'!E:E,'11_18_11_24 Acc Rate'!C15,'11_18_11_24'!P:P,"*E*"),COUNTIFS('11_18_11_24'!E:E,'11_18_11_24 Acc Rate'!C15,'11_18_11_24'!S:S,"*E*"))=0,"",SUM(COUNTIFS('11_18_11_24'!E:E,'11_18_11_24 Acc Rate'!C15,'11_18_11_24'!P:P,"*E*"),COUNTIFS('11_18_11_24'!E:E,'11_18_11_24 Acc Rate'!C15,'11_18_11_24'!S:S,"*E*")))</f>
        <v/>
      </c>
      <c r="U15" s="8" t="str">
        <f t="shared" si="1"/>
        <v/>
      </c>
    </row>
    <row r="16" spans="2:24" ht="15" customHeight="1" x14ac:dyDescent="0.25">
      <c r="B16" s="1" t="s">
        <v>555</v>
      </c>
      <c r="C16" s="1" t="s">
        <v>556</v>
      </c>
      <c r="D16" s="1" t="s">
        <v>557</v>
      </c>
      <c r="E16"/>
      <c r="F16" t="s">
        <v>558</v>
      </c>
      <c r="G16" t="s">
        <v>559</v>
      </c>
      <c r="H16" t="s">
        <v>552</v>
      </c>
      <c r="I16" t="s">
        <v>560</v>
      </c>
      <c r="J16" t="s">
        <v>561</v>
      </c>
      <c r="K16" t="s">
        <v>553</v>
      </c>
      <c r="L16"/>
      <c r="M16">
        <v>6</v>
      </c>
      <c r="N16"/>
      <c r="O16"/>
      <c r="P16"/>
      <c r="Q16" s="7"/>
      <c r="R16" s="27" t="str">
        <f t="shared" si="0"/>
        <v/>
      </c>
      <c r="S16" s="27" t="str">
        <f>IF(SUM(COUNTIFS('11_18_11_24'!E:E,'11_18_11_24 Acc Rate'!C16,'11_18_11_24'!O:O,"*M*"),COUNTIFS('11_18_11_24'!E:E,'11_18_11_24 Acc Rate'!C16,'11_18_11_24'!R:R,"*M*"))=0,"",SUM(COUNTIFS('11_18_11_24'!E:E,'11_18_11_24 Acc Rate'!C16,'11_18_11_24'!O:O,"*M*"),COUNTIFS('11_18_11_24'!E:E,'11_18_11_24 Acc Rate'!C16,'11_18_11_24'!R:R,"*M*")))</f>
        <v/>
      </c>
      <c r="T16" s="1" t="str">
        <f>IF(SUM(COUNTIFS('11_18_11_24'!E:E,'11_18_11_24 Acc Rate'!C16,'11_18_11_24'!P:P,"*E*"),COUNTIFS('11_18_11_24'!E:E,'11_18_11_24 Acc Rate'!C16,'11_18_11_24'!S:S,"*E*"))=0,"",SUM(COUNTIFS('11_18_11_24'!E:E,'11_18_11_24 Acc Rate'!C16,'11_18_11_24'!P:P,"*E*"),COUNTIFS('11_18_11_24'!E:E,'11_18_11_24 Acc Rate'!C16,'11_18_11_24'!S:S,"*E*")))</f>
        <v/>
      </c>
      <c r="U16" s="8" t="str">
        <f t="shared" si="1"/>
        <v/>
      </c>
    </row>
    <row r="17" spans="2:21" ht="15" customHeight="1" x14ac:dyDescent="0.25">
      <c r="B17" s="1" t="s">
        <v>562</v>
      </c>
      <c r="C17" s="1" t="s">
        <v>563</v>
      </c>
      <c r="D17" s="1" t="s">
        <v>564</v>
      </c>
      <c r="E17"/>
      <c r="F17" t="s">
        <v>565</v>
      </c>
      <c r="G17" t="s">
        <v>566</v>
      </c>
      <c r="H17" t="s">
        <v>552</v>
      </c>
      <c r="I17" t="s">
        <v>567</v>
      </c>
      <c r="J17" t="s">
        <v>561</v>
      </c>
      <c r="K17" t="s">
        <v>553</v>
      </c>
      <c r="L17"/>
      <c r="M17">
        <v>6</v>
      </c>
      <c r="N17"/>
      <c r="O17"/>
      <c r="P17"/>
      <c r="Q17" s="7"/>
      <c r="R17" s="27" t="str">
        <f t="shared" si="0"/>
        <v/>
      </c>
      <c r="S17" s="27" t="str">
        <f>IF(SUM(COUNTIFS('11_18_11_24'!E:E,'11_18_11_24 Acc Rate'!C17,'11_18_11_24'!O:O,"*M*"),COUNTIFS('11_18_11_24'!E:E,'11_18_11_24 Acc Rate'!C17,'11_18_11_24'!R:R,"*M*"))=0,"",SUM(COUNTIFS('11_18_11_24'!E:E,'11_18_11_24 Acc Rate'!C17,'11_18_11_24'!O:O,"*M*"),COUNTIFS('11_18_11_24'!E:E,'11_18_11_24 Acc Rate'!C17,'11_18_11_24'!R:R,"*M*")))</f>
        <v/>
      </c>
      <c r="T17" s="1" t="str">
        <f>IF(SUM(COUNTIFS('11_18_11_24'!E:E,'11_18_11_24 Acc Rate'!C17,'11_18_11_24'!P:P,"*E*"),COUNTIFS('11_18_11_24'!E:E,'11_18_11_24 Acc Rate'!C17,'11_18_11_24'!S:S,"*E*"))=0,"",SUM(COUNTIFS('11_18_11_24'!E:E,'11_18_11_24 Acc Rate'!C17,'11_18_11_24'!P:P,"*E*"),COUNTIFS('11_18_11_24'!E:E,'11_18_11_24 Acc Rate'!C17,'11_18_11_24'!S:S,"*E*")))</f>
        <v/>
      </c>
      <c r="U17" s="8" t="str">
        <f t="shared" si="1"/>
        <v/>
      </c>
    </row>
    <row r="18" spans="2:21" ht="15" customHeight="1" x14ac:dyDescent="0.25">
      <c r="B18" s="1" t="s">
        <v>568</v>
      </c>
      <c r="C18" s="1" t="s">
        <v>569</v>
      </c>
      <c r="D18" s="1" t="s">
        <v>570</v>
      </c>
      <c r="E18"/>
      <c r="F18" t="s">
        <v>571</v>
      </c>
      <c r="G18" t="s">
        <v>572</v>
      </c>
      <c r="H18" t="s">
        <v>552</v>
      </c>
      <c r="I18" t="s">
        <v>573</v>
      </c>
      <c r="J18" t="s">
        <v>561</v>
      </c>
      <c r="K18" t="s">
        <v>553</v>
      </c>
      <c r="L18"/>
      <c r="M18">
        <v>6</v>
      </c>
      <c r="N18"/>
      <c r="O18"/>
      <c r="P18"/>
      <c r="Q18" s="7"/>
      <c r="R18" s="27" t="str">
        <f t="shared" si="0"/>
        <v/>
      </c>
      <c r="S18" s="27" t="str">
        <f>IF(SUM(COUNTIFS('11_18_11_24'!E:E,'11_18_11_24 Acc Rate'!C18,'11_18_11_24'!O:O,"*M*"),COUNTIFS('11_18_11_24'!E:E,'11_18_11_24 Acc Rate'!C18,'11_18_11_24'!R:R,"*M*"))=0,"",SUM(COUNTIFS('11_18_11_24'!E:E,'11_18_11_24 Acc Rate'!C18,'11_18_11_24'!O:O,"*M*"),COUNTIFS('11_18_11_24'!E:E,'11_18_11_24 Acc Rate'!C18,'11_18_11_24'!R:R,"*M*")))</f>
        <v/>
      </c>
      <c r="T18" s="1" t="str">
        <f>IF(SUM(COUNTIFS('11_18_11_24'!E:E,'11_18_11_24 Acc Rate'!C18,'11_18_11_24'!P:P,"*E*"),COUNTIFS('11_18_11_24'!E:E,'11_18_11_24 Acc Rate'!C18,'11_18_11_24'!S:S,"*E*"))=0,"",SUM(COUNTIFS('11_18_11_24'!E:E,'11_18_11_24 Acc Rate'!C18,'11_18_11_24'!P:P,"*E*"),COUNTIFS('11_18_11_24'!E:E,'11_18_11_24 Acc Rate'!C18,'11_18_11_24'!S:S,"*E*")))</f>
        <v/>
      </c>
      <c r="U18" s="8" t="str">
        <f t="shared" si="1"/>
        <v/>
      </c>
    </row>
    <row r="19" spans="2:21" ht="15" customHeight="1" x14ac:dyDescent="0.25">
      <c r="B19" s="1" t="s">
        <v>574</v>
      </c>
      <c r="C19" s="1" t="s">
        <v>575</v>
      </c>
      <c r="D19" s="1" t="s">
        <v>576</v>
      </c>
      <c r="E19"/>
      <c r="F19" t="s">
        <v>577</v>
      </c>
      <c r="G19" t="s">
        <v>578</v>
      </c>
      <c r="H19" t="s">
        <v>552</v>
      </c>
      <c r="I19" t="s">
        <v>579</v>
      </c>
      <c r="J19" t="s">
        <v>561</v>
      </c>
      <c r="K19" t="s">
        <v>553</v>
      </c>
      <c r="L19"/>
      <c r="M19">
        <v>6</v>
      </c>
      <c r="N19"/>
      <c r="O19"/>
      <c r="P19"/>
      <c r="Q19" s="7"/>
      <c r="R19" s="27" t="str">
        <f t="shared" si="0"/>
        <v/>
      </c>
      <c r="S19" s="27" t="str">
        <f>IF(SUM(COUNTIFS('11_18_11_24'!E:E,'11_18_11_24 Acc Rate'!C19,'11_18_11_24'!O:O,"*M*"),COUNTIFS('11_18_11_24'!E:E,'11_18_11_24 Acc Rate'!C19,'11_18_11_24'!R:R,"*M*"))=0,"",SUM(COUNTIFS('11_18_11_24'!E:E,'11_18_11_24 Acc Rate'!C19,'11_18_11_24'!O:O,"*M*"),COUNTIFS('11_18_11_24'!E:E,'11_18_11_24 Acc Rate'!C19,'11_18_11_24'!R:R,"*M*")))</f>
        <v/>
      </c>
      <c r="T19" s="1" t="str">
        <f>IF(SUM(COUNTIFS('11_18_11_24'!E:E,'11_18_11_24 Acc Rate'!C19,'11_18_11_24'!P:P,"*E*"),COUNTIFS('11_18_11_24'!E:E,'11_18_11_24 Acc Rate'!C19,'11_18_11_24'!S:S,"*E*"))=0,"",SUM(COUNTIFS('11_18_11_24'!E:E,'11_18_11_24 Acc Rate'!C19,'11_18_11_24'!P:P,"*E*"),COUNTIFS('11_18_11_24'!E:E,'11_18_11_24 Acc Rate'!C19,'11_18_11_24'!S:S,"*E*")))</f>
        <v/>
      </c>
      <c r="U19" s="8" t="str">
        <f t="shared" si="1"/>
        <v/>
      </c>
    </row>
    <row r="20" spans="2:21" ht="15" customHeight="1" x14ac:dyDescent="0.25">
      <c r="B20" s="1" t="s">
        <v>580</v>
      </c>
      <c r="C20" s="1" t="s">
        <v>316</v>
      </c>
      <c r="D20" s="1" t="s">
        <v>581</v>
      </c>
      <c r="E20"/>
      <c r="F20" t="s">
        <v>565</v>
      </c>
      <c r="G20" t="s">
        <v>582</v>
      </c>
      <c r="H20" t="s">
        <v>583</v>
      </c>
      <c r="I20" t="s">
        <v>584</v>
      </c>
      <c r="J20" t="s">
        <v>585</v>
      </c>
      <c r="K20"/>
      <c r="L20"/>
      <c r="M20">
        <v>1</v>
      </c>
      <c r="N20"/>
      <c r="O20"/>
      <c r="P20"/>
      <c r="Q20" s="7"/>
      <c r="R20" s="27" t="str">
        <f t="shared" si="0"/>
        <v/>
      </c>
      <c r="S20" s="27" t="str">
        <f>IF(SUM(COUNTIFS('11_18_11_24'!E:E,'11_18_11_24 Acc Rate'!C20,'11_18_11_24'!O:O,"*M*"),COUNTIFS('11_18_11_24'!E:E,'11_18_11_24 Acc Rate'!C20,'11_18_11_24'!R:R,"*M*"))=0,"",SUM(COUNTIFS('11_18_11_24'!E:E,'11_18_11_24 Acc Rate'!C20,'11_18_11_24'!O:O,"*M*"),COUNTIFS('11_18_11_24'!E:E,'11_18_11_24 Acc Rate'!C20,'11_18_11_24'!R:R,"*M*")))</f>
        <v/>
      </c>
      <c r="T20" s="1" t="str">
        <f>IF(SUM(COUNTIFS('11_18_11_24'!E:E,'11_18_11_24 Acc Rate'!C20,'11_18_11_24'!P:P,"*E*"),COUNTIFS('11_18_11_24'!E:E,'11_18_11_24 Acc Rate'!C20,'11_18_11_24'!S:S,"*E*"))=0,"",SUM(COUNTIFS('11_18_11_24'!E:E,'11_18_11_24 Acc Rate'!C20,'11_18_11_24'!P:P,"*E*"),COUNTIFS('11_18_11_24'!E:E,'11_18_11_24 Acc Rate'!C20,'11_18_11_24'!S:S,"*E*")))</f>
        <v/>
      </c>
      <c r="U20" s="8" t="str">
        <f t="shared" si="1"/>
        <v/>
      </c>
    </row>
    <row r="21" spans="2:21" ht="15" customHeight="1" x14ac:dyDescent="0.25">
      <c r="B21" s="1" t="s">
        <v>586</v>
      </c>
      <c r="C21" s="1" t="s">
        <v>587</v>
      </c>
      <c r="D21" s="1" t="s">
        <v>588</v>
      </c>
      <c r="E21"/>
      <c r="F21" t="s">
        <v>589</v>
      </c>
      <c r="G21" t="s">
        <v>590</v>
      </c>
      <c r="H21" t="s">
        <v>583</v>
      </c>
      <c r="I21" t="s">
        <v>591</v>
      </c>
      <c r="J21" t="s">
        <v>592</v>
      </c>
      <c r="K21"/>
      <c r="L21"/>
      <c r="M21">
        <v>1</v>
      </c>
      <c r="N21"/>
      <c r="O21"/>
      <c r="P21"/>
      <c r="Q21" s="7"/>
      <c r="R21" s="27" t="str">
        <f t="shared" si="0"/>
        <v/>
      </c>
      <c r="S21" s="27" t="str">
        <f>IF(SUM(COUNTIFS('11_18_11_24'!E:E,'11_18_11_24 Acc Rate'!C21,'11_18_11_24'!O:O,"*M*"),COUNTIFS('11_18_11_24'!E:E,'11_18_11_24 Acc Rate'!C21,'11_18_11_24'!R:R,"*M*"))=0,"",SUM(COUNTIFS('11_18_11_24'!E:E,'11_18_11_24 Acc Rate'!C21,'11_18_11_24'!O:O,"*M*"),COUNTIFS('11_18_11_24'!E:E,'11_18_11_24 Acc Rate'!C21,'11_18_11_24'!R:R,"*M*")))</f>
        <v/>
      </c>
      <c r="T21" s="1" t="str">
        <f>IF(SUM(COUNTIFS('11_18_11_24'!E:E,'11_18_11_24 Acc Rate'!C21,'11_18_11_24'!P:P,"*E*"),COUNTIFS('11_18_11_24'!E:E,'11_18_11_24 Acc Rate'!C21,'11_18_11_24'!S:S,"*E*"))=0,"",SUM(COUNTIFS('11_18_11_24'!E:E,'11_18_11_24 Acc Rate'!C21,'11_18_11_24'!P:P,"*E*"),COUNTIFS('11_18_11_24'!E:E,'11_18_11_24 Acc Rate'!C21,'11_18_11_24'!S:S,"*E*")))</f>
        <v/>
      </c>
      <c r="U21" s="8" t="str">
        <f t="shared" si="1"/>
        <v/>
      </c>
    </row>
    <row r="22" spans="2:21" ht="15" customHeight="1" x14ac:dyDescent="0.25">
      <c r="B22" s="1" t="s">
        <v>593</v>
      </c>
      <c r="C22" s="1" t="s">
        <v>169</v>
      </c>
      <c r="D22" s="1" t="s">
        <v>170</v>
      </c>
      <c r="E22"/>
      <c r="F22" t="s">
        <v>594</v>
      </c>
      <c r="G22" t="s">
        <v>595</v>
      </c>
      <c r="H22" t="s">
        <v>583</v>
      </c>
      <c r="I22" t="s">
        <v>596</v>
      </c>
      <c r="J22" t="s">
        <v>592</v>
      </c>
      <c r="K22"/>
      <c r="L22"/>
      <c r="M22">
        <v>1</v>
      </c>
      <c r="N22"/>
      <c r="O22"/>
      <c r="P22"/>
      <c r="Q22" s="7"/>
      <c r="R22" s="27" t="str">
        <f t="shared" si="0"/>
        <v/>
      </c>
      <c r="S22" s="27" t="str">
        <f>IF(SUM(COUNTIFS('11_18_11_24'!E:E,'11_18_11_24 Acc Rate'!C22,'11_18_11_24'!O:O,"*M*"),COUNTIFS('11_18_11_24'!E:E,'11_18_11_24 Acc Rate'!C22,'11_18_11_24'!R:R,"*M*"))=0,"",SUM(COUNTIFS('11_18_11_24'!E:E,'11_18_11_24 Acc Rate'!C22,'11_18_11_24'!O:O,"*M*"),COUNTIFS('11_18_11_24'!E:E,'11_18_11_24 Acc Rate'!C22,'11_18_11_24'!R:R,"*M*")))</f>
        <v/>
      </c>
      <c r="T22" s="1" t="str">
        <f>IF(SUM(COUNTIFS('11_18_11_24'!E:E,'11_18_11_24 Acc Rate'!C22,'11_18_11_24'!P:P,"*E*"),COUNTIFS('11_18_11_24'!E:E,'11_18_11_24 Acc Rate'!C22,'11_18_11_24'!S:S,"*E*"))=0,"",SUM(COUNTIFS('11_18_11_24'!E:E,'11_18_11_24 Acc Rate'!C22,'11_18_11_24'!P:P,"*E*"),COUNTIFS('11_18_11_24'!E:E,'11_18_11_24 Acc Rate'!C22,'11_18_11_24'!S:S,"*E*")))</f>
        <v/>
      </c>
      <c r="U22" s="8" t="str">
        <f t="shared" si="1"/>
        <v/>
      </c>
    </row>
    <row r="23" spans="2:21" s="1" customFormat="1" ht="15" customHeight="1" x14ac:dyDescent="0.25">
      <c r="B23" s="1" t="s">
        <v>602</v>
      </c>
      <c r="C23" s="1" t="s">
        <v>603</v>
      </c>
      <c r="D23" s="1" t="s">
        <v>1175</v>
      </c>
      <c r="E23"/>
      <c r="F23" t="s">
        <v>565</v>
      </c>
      <c r="G23" t="s">
        <v>1176</v>
      </c>
      <c r="H23" t="s">
        <v>583</v>
      </c>
      <c r="I23" t="s">
        <v>606</v>
      </c>
      <c r="J23" t="s">
        <v>607</v>
      </c>
      <c r="K23"/>
      <c r="L23"/>
      <c r="M23">
        <v>1</v>
      </c>
      <c r="N23"/>
      <c r="O23"/>
      <c r="P23"/>
      <c r="Q23" s="7"/>
      <c r="R23" s="27" t="str">
        <f t="shared" si="0"/>
        <v/>
      </c>
      <c r="S23" s="27" t="str">
        <f>IF(SUM(COUNTIFS('11_18_11_24'!E:E,'11_18_11_24 Acc Rate'!C23,'11_18_11_24'!O:O,"*M*"),COUNTIFS('11_18_11_24'!E:E,'11_18_11_24 Acc Rate'!C23,'11_18_11_24'!R:R,"*M*"))=0,"",SUM(COUNTIFS('11_18_11_24'!E:E,'11_18_11_24 Acc Rate'!C23,'11_18_11_24'!O:O,"*M*"),COUNTIFS('11_18_11_24'!E:E,'11_18_11_24 Acc Rate'!C23,'11_18_11_24'!R:R,"*M*")))</f>
        <v/>
      </c>
      <c r="T23" s="1" t="str">
        <f>IF(SUM(COUNTIFS('11_18_11_24'!E:E,'11_18_11_24 Acc Rate'!C23,'11_18_11_24'!P:P,"*E*"),COUNTIFS('11_18_11_24'!E:E,'11_18_11_24 Acc Rate'!C23,'11_18_11_24'!S:S,"*E*"))=0,"",SUM(COUNTIFS('11_18_11_24'!E:E,'11_18_11_24 Acc Rate'!C23,'11_18_11_24'!P:P,"*E*"),COUNTIFS('11_18_11_24'!E:E,'11_18_11_24 Acc Rate'!C23,'11_18_11_24'!S:S,"*E*")))</f>
        <v/>
      </c>
      <c r="U23" s="9" t="str">
        <f t="shared" si="1"/>
        <v/>
      </c>
    </row>
    <row r="24" spans="2:21" s="1" customFormat="1" ht="15" customHeight="1" x14ac:dyDescent="0.25">
      <c r="B24" s="1" t="s">
        <v>608</v>
      </c>
      <c r="C24" s="1" t="s">
        <v>609</v>
      </c>
      <c r="D24" s="1" t="s">
        <v>610</v>
      </c>
      <c r="E24"/>
      <c r="F24" t="s">
        <v>611</v>
      </c>
      <c r="G24" t="s">
        <v>612</v>
      </c>
      <c r="H24" t="s">
        <v>583</v>
      </c>
      <c r="I24" t="s">
        <v>613</v>
      </c>
      <c r="J24" t="s">
        <v>614</v>
      </c>
      <c r="K24" t="s">
        <v>606</v>
      </c>
      <c r="L24"/>
      <c r="M24">
        <v>1</v>
      </c>
      <c r="N24"/>
      <c r="O24"/>
      <c r="P24"/>
      <c r="Q24" s="7"/>
      <c r="R24" s="27" t="str">
        <f t="shared" si="0"/>
        <v/>
      </c>
      <c r="S24" s="27" t="str">
        <f>IF(SUM(COUNTIFS('11_18_11_24'!E:E,'11_18_11_24 Acc Rate'!C24,'11_18_11_24'!O:O,"*M*"),COUNTIFS('11_18_11_24'!E:E,'11_18_11_24 Acc Rate'!C24,'11_18_11_24'!R:R,"*M*"))=0,"",SUM(COUNTIFS('11_18_11_24'!E:E,'11_18_11_24 Acc Rate'!C24,'11_18_11_24'!O:O,"*M*"),COUNTIFS('11_18_11_24'!E:E,'11_18_11_24 Acc Rate'!C24,'11_18_11_24'!R:R,"*M*")))</f>
        <v/>
      </c>
      <c r="T24" s="1" t="str">
        <f>IF(SUM(COUNTIFS('11_18_11_24'!E:E,'11_18_11_24 Acc Rate'!C24,'11_18_11_24'!P:P,"*E*"),COUNTIFS('11_18_11_24'!E:E,'11_18_11_24 Acc Rate'!C24,'11_18_11_24'!S:S,"*E*"))=0,"",SUM(COUNTIFS('11_18_11_24'!E:E,'11_18_11_24 Acc Rate'!C24,'11_18_11_24'!P:P,"*E*"),COUNTIFS('11_18_11_24'!E:E,'11_18_11_24 Acc Rate'!C24,'11_18_11_24'!S:S,"*E*")))</f>
        <v/>
      </c>
      <c r="U24" s="9" t="str">
        <f t="shared" si="1"/>
        <v/>
      </c>
    </row>
    <row r="25" spans="2:21" s="1" customFormat="1" ht="15" customHeight="1" x14ac:dyDescent="0.25">
      <c r="B25" s="1" t="s">
        <v>615</v>
      </c>
      <c r="C25" s="1" t="s">
        <v>616</v>
      </c>
      <c r="D25" s="1" t="s">
        <v>617</v>
      </c>
      <c r="E25"/>
      <c r="F25" t="s">
        <v>618</v>
      </c>
      <c r="G25" t="s">
        <v>619</v>
      </c>
      <c r="H25" t="s">
        <v>583</v>
      </c>
      <c r="I25" t="s">
        <v>620</v>
      </c>
      <c r="J25" t="s">
        <v>614</v>
      </c>
      <c r="K25" t="s">
        <v>606</v>
      </c>
      <c r="L25"/>
      <c r="M25">
        <v>1</v>
      </c>
      <c r="N25"/>
      <c r="O25"/>
      <c r="P25"/>
      <c r="Q25" s="7"/>
      <c r="R25" s="27" t="str">
        <f t="shared" si="0"/>
        <v/>
      </c>
      <c r="S25" s="27" t="str">
        <f>IF(SUM(COUNTIFS('11_18_11_24'!E:E,'11_18_11_24 Acc Rate'!C25,'11_18_11_24'!O:O,"*M*"),COUNTIFS('11_18_11_24'!E:E,'11_18_11_24 Acc Rate'!C25,'11_18_11_24'!R:R,"*M*"))=0,"",SUM(COUNTIFS('11_18_11_24'!E:E,'11_18_11_24 Acc Rate'!C25,'11_18_11_24'!O:O,"*M*"),COUNTIFS('11_18_11_24'!E:E,'11_18_11_24 Acc Rate'!C25,'11_18_11_24'!R:R,"*M*")))</f>
        <v/>
      </c>
      <c r="T25" s="1" t="str">
        <f>IF(SUM(COUNTIFS('11_18_11_24'!E:E,'11_18_11_24 Acc Rate'!C25,'11_18_11_24'!P:P,"*E*"),COUNTIFS('11_18_11_24'!E:E,'11_18_11_24 Acc Rate'!C25,'11_18_11_24'!S:S,"*E*"))=0,"",SUM(COUNTIFS('11_18_11_24'!E:E,'11_18_11_24 Acc Rate'!C25,'11_18_11_24'!P:P,"*E*"),COUNTIFS('11_18_11_24'!E:E,'11_18_11_24 Acc Rate'!C25,'11_18_11_24'!S:S,"*E*")))</f>
        <v/>
      </c>
      <c r="U25" s="9" t="str">
        <f t="shared" si="1"/>
        <v/>
      </c>
    </row>
    <row r="26" spans="2:21" s="1" customFormat="1" ht="15" customHeight="1" x14ac:dyDescent="0.25">
      <c r="B26" s="1" t="s">
        <v>621</v>
      </c>
      <c r="C26" s="1" t="s">
        <v>622</v>
      </c>
      <c r="D26" s="1" t="s">
        <v>267</v>
      </c>
      <c r="E26"/>
      <c r="F26" t="s">
        <v>623</v>
      </c>
      <c r="G26" t="s">
        <v>624</v>
      </c>
      <c r="H26" t="s">
        <v>583</v>
      </c>
      <c r="I26" t="s">
        <v>625</v>
      </c>
      <c r="J26" t="s">
        <v>614</v>
      </c>
      <c r="K26" t="s">
        <v>606</v>
      </c>
      <c r="L26"/>
      <c r="M26">
        <v>1</v>
      </c>
      <c r="N26"/>
      <c r="O26"/>
      <c r="P26"/>
      <c r="Q26" s="7"/>
      <c r="R26" s="27" t="str">
        <f t="shared" si="0"/>
        <v/>
      </c>
      <c r="S26" s="27" t="str">
        <f>IF(SUM(COUNTIFS('11_18_11_24'!E:E,'11_18_11_24 Acc Rate'!C26,'11_18_11_24'!O:O,"*M*"),COUNTIFS('11_18_11_24'!E:E,'11_18_11_24 Acc Rate'!C26,'11_18_11_24'!R:R,"*M*"))=0,"",SUM(COUNTIFS('11_18_11_24'!E:E,'11_18_11_24 Acc Rate'!C26,'11_18_11_24'!O:O,"*M*"),COUNTIFS('11_18_11_24'!E:E,'11_18_11_24 Acc Rate'!C26,'11_18_11_24'!R:R,"*M*")))</f>
        <v/>
      </c>
      <c r="T26" s="1" t="str">
        <f>IF(SUM(COUNTIFS('11_18_11_24'!E:E,'11_18_11_24 Acc Rate'!C26,'11_18_11_24'!P:P,"*E*"),COUNTIFS('11_18_11_24'!E:E,'11_18_11_24 Acc Rate'!C26,'11_18_11_24'!S:S,"*E*"))=0,"",SUM(COUNTIFS('11_18_11_24'!E:E,'11_18_11_24 Acc Rate'!C26,'11_18_11_24'!P:P,"*E*"),COUNTIFS('11_18_11_24'!E:E,'11_18_11_24 Acc Rate'!C26,'11_18_11_24'!S:S,"*E*")))</f>
        <v/>
      </c>
      <c r="U26" s="9" t="str">
        <f t="shared" si="1"/>
        <v/>
      </c>
    </row>
    <row r="27" spans="2:21" s="1" customFormat="1" ht="15" customHeight="1" x14ac:dyDescent="0.25">
      <c r="B27" s="1" t="s">
        <v>626</v>
      </c>
      <c r="C27" s="1" t="s">
        <v>362</v>
      </c>
      <c r="D27" s="1" t="s">
        <v>409</v>
      </c>
      <c r="E27"/>
      <c r="F27" t="s">
        <v>627</v>
      </c>
      <c r="G27" t="s">
        <v>628</v>
      </c>
      <c r="H27" t="s">
        <v>583</v>
      </c>
      <c r="I27" t="s">
        <v>629</v>
      </c>
      <c r="J27" t="s">
        <v>614</v>
      </c>
      <c r="K27" t="s">
        <v>606</v>
      </c>
      <c r="L27"/>
      <c r="M27">
        <v>1</v>
      </c>
      <c r="N27"/>
      <c r="O27"/>
      <c r="P27"/>
      <c r="Q27" s="7"/>
      <c r="R27" s="27" t="str">
        <f t="shared" si="0"/>
        <v/>
      </c>
      <c r="S27" s="27" t="str">
        <f>IF(SUM(COUNTIFS('11_18_11_24'!E:E,'11_18_11_24 Acc Rate'!C27,'11_18_11_24'!O:O,"*M*"),COUNTIFS('11_18_11_24'!E:E,'11_18_11_24 Acc Rate'!C27,'11_18_11_24'!R:R,"*M*"))=0,"",SUM(COUNTIFS('11_18_11_24'!E:E,'11_18_11_24 Acc Rate'!C27,'11_18_11_24'!O:O,"*M*"),COUNTIFS('11_18_11_24'!E:E,'11_18_11_24 Acc Rate'!C27,'11_18_11_24'!R:R,"*M*")))</f>
        <v/>
      </c>
      <c r="T27" s="1" t="str">
        <f>IF(SUM(COUNTIFS('11_18_11_24'!E:E,'11_18_11_24 Acc Rate'!C27,'11_18_11_24'!P:P,"*E*"),COUNTIFS('11_18_11_24'!E:E,'11_18_11_24 Acc Rate'!C27,'11_18_11_24'!S:S,"*E*"))=0,"",SUM(COUNTIFS('11_18_11_24'!E:E,'11_18_11_24 Acc Rate'!C27,'11_18_11_24'!P:P,"*E*"),COUNTIFS('11_18_11_24'!E:E,'11_18_11_24 Acc Rate'!C27,'11_18_11_24'!S:S,"*E*")))</f>
        <v/>
      </c>
      <c r="U27" s="9" t="str">
        <f t="shared" si="1"/>
        <v/>
      </c>
    </row>
    <row r="28" spans="2:21" s="1" customFormat="1" ht="15" customHeight="1" x14ac:dyDescent="0.25">
      <c r="B28" s="1" t="s">
        <v>630</v>
      </c>
      <c r="C28" s="1" t="s">
        <v>425</v>
      </c>
      <c r="D28" s="1" t="s">
        <v>426</v>
      </c>
      <c r="E28"/>
      <c r="F28" t="s">
        <v>631</v>
      </c>
      <c r="G28" t="s">
        <v>632</v>
      </c>
      <c r="H28" t="s">
        <v>583</v>
      </c>
      <c r="I28" t="s">
        <v>633</v>
      </c>
      <c r="J28" t="s">
        <v>614</v>
      </c>
      <c r="K28" t="s">
        <v>606</v>
      </c>
      <c r="L28"/>
      <c r="M28">
        <v>15</v>
      </c>
      <c r="N28"/>
      <c r="O28"/>
      <c r="P28"/>
      <c r="Q28" s="7"/>
      <c r="R28" s="27" t="str">
        <f t="shared" si="0"/>
        <v/>
      </c>
      <c r="S28" s="27" t="str">
        <f>IF(SUM(COUNTIFS('11_18_11_24'!E:E,'11_18_11_24 Acc Rate'!C28,'11_18_11_24'!O:O,"*M*"),COUNTIFS('11_18_11_24'!E:E,'11_18_11_24 Acc Rate'!C28,'11_18_11_24'!R:R,"*M*"))=0,"",SUM(COUNTIFS('11_18_11_24'!E:E,'11_18_11_24 Acc Rate'!C28,'11_18_11_24'!O:O,"*M*"),COUNTIFS('11_18_11_24'!E:E,'11_18_11_24 Acc Rate'!C28,'11_18_11_24'!R:R,"*M*")))</f>
        <v/>
      </c>
      <c r="T28" s="1" t="str">
        <f>IF(SUM(COUNTIFS('11_18_11_24'!E:E,'11_18_11_24 Acc Rate'!C28,'11_18_11_24'!P:P,"*E*"),COUNTIFS('11_18_11_24'!E:E,'11_18_11_24 Acc Rate'!C28,'11_18_11_24'!S:S,"*E*"))=0,"",SUM(COUNTIFS('11_18_11_24'!E:E,'11_18_11_24 Acc Rate'!C28,'11_18_11_24'!P:P,"*E*"),COUNTIFS('11_18_11_24'!E:E,'11_18_11_24 Acc Rate'!C28,'11_18_11_24'!S:S,"*E*")))</f>
        <v/>
      </c>
      <c r="U28" s="8" t="str">
        <f t="shared" si="1"/>
        <v/>
      </c>
    </row>
    <row r="29" spans="2:21" s="1" customFormat="1" ht="15" customHeight="1" x14ac:dyDescent="0.25">
      <c r="B29" s="1" t="s">
        <v>634</v>
      </c>
      <c r="C29" s="1" t="s">
        <v>635</v>
      </c>
      <c r="D29" s="1" t="s">
        <v>636</v>
      </c>
      <c r="E29"/>
      <c r="F29" t="s">
        <v>21</v>
      </c>
      <c r="G29" t="s">
        <v>637</v>
      </c>
      <c r="H29" t="s">
        <v>583</v>
      </c>
      <c r="I29" t="s">
        <v>638</v>
      </c>
      <c r="J29" t="s">
        <v>607</v>
      </c>
      <c r="K29"/>
      <c r="L29"/>
      <c r="M29">
        <v>1</v>
      </c>
      <c r="N29"/>
      <c r="O29"/>
      <c r="P29"/>
      <c r="Q29" s="7"/>
      <c r="R29" s="27" t="str">
        <f t="shared" si="0"/>
        <v/>
      </c>
      <c r="S29" s="27" t="str">
        <f>IF(SUM(COUNTIFS('11_18_11_24'!E:E,'11_18_11_24 Acc Rate'!C29,'11_18_11_24'!O:O,"*M*"),COUNTIFS('11_18_11_24'!E:E,'11_18_11_24 Acc Rate'!C29,'11_18_11_24'!R:R,"*M*"))=0,"",SUM(COUNTIFS('11_18_11_24'!E:E,'11_18_11_24 Acc Rate'!C29,'11_18_11_24'!O:O,"*M*"),COUNTIFS('11_18_11_24'!E:E,'11_18_11_24 Acc Rate'!C29,'11_18_11_24'!R:R,"*M*")))</f>
        <v/>
      </c>
      <c r="T29" s="1" t="str">
        <f>IF(SUM(COUNTIFS('11_18_11_24'!E:E,'11_18_11_24 Acc Rate'!C29,'11_18_11_24'!P:P,"*E*"),COUNTIFS('11_18_11_24'!E:E,'11_18_11_24 Acc Rate'!C29,'11_18_11_24'!S:S,"*E*"))=0,"",SUM(COUNTIFS('11_18_11_24'!E:E,'11_18_11_24 Acc Rate'!C29,'11_18_11_24'!P:P,"*E*"),COUNTIFS('11_18_11_24'!E:E,'11_18_11_24 Acc Rate'!C29,'11_18_11_24'!S:S,"*E*")))</f>
        <v/>
      </c>
      <c r="U29" s="9" t="str">
        <f t="shared" si="1"/>
        <v/>
      </c>
    </row>
    <row r="30" spans="2:21" s="1" customFormat="1" ht="15" customHeight="1" x14ac:dyDescent="0.25">
      <c r="B30" s="1" t="s">
        <v>1630</v>
      </c>
      <c r="C30" s="1" t="s">
        <v>1631</v>
      </c>
      <c r="D30" s="1" t="s">
        <v>1122</v>
      </c>
      <c r="E30"/>
      <c r="F30" t="s">
        <v>21</v>
      </c>
      <c r="G30" t="s">
        <v>1632</v>
      </c>
      <c r="H30" t="s">
        <v>583</v>
      </c>
      <c r="I30" t="s">
        <v>1633</v>
      </c>
      <c r="J30" t="s">
        <v>1634</v>
      </c>
      <c r="K30" t="s">
        <v>638</v>
      </c>
      <c r="L30"/>
      <c r="M30">
        <v>15</v>
      </c>
      <c r="N30"/>
      <c r="O30"/>
      <c r="P30"/>
      <c r="Q30" s="7"/>
      <c r="R30" s="27" t="str">
        <f t="shared" si="0"/>
        <v/>
      </c>
      <c r="S30" s="27" t="str">
        <f>IF(SUM(COUNTIFS('11_18_11_24'!E:E,'11_18_11_24 Acc Rate'!C30,'11_18_11_24'!O:O,"*M*"),COUNTIFS('11_18_11_24'!E:E,'11_18_11_24 Acc Rate'!C30,'11_18_11_24'!R:R,"*M*"))=0,"",SUM(COUNTIFS('11_18_11_24'!E:E,'11_18_11_24 Acc Rate'!C30,'11_18_11_24'!O:O,"*M*"),COUNTIFS('11_18_11_24'!E:E,'11_18_11_24 Acc Rate'!C30,'11_18_11_24'!R:R,"*M*")))</f>
        <v/>
      </c>
      <c r="T30" s="1" t="str">
        <f>IF(SUM(COUNTIFS('11_18_11_24'!E:E,'11_18_11_24 Acc Rate'!C30,'11_18_11_24'!P:P,"*E*"),COUNTIFS('11_18_11_24'!E:E,'11_18_11_24 Acc Rate'!C30,'11_18_11_24'!S:S,"*E*"))=0,"",SUM(COUNTIFS('11_18_11_24'!E:E,'11_18_11_24 Acc Rate'!C30,'11_18_11_24'!P:P,"*E*"),COUNTIFS('11_18_11_24'!E:E,'11_18_11_24 Acc Rate'!C30,'11_18_11_24'!S:S,"*E*")))</f>
        <v/>
      </c>
      <c r="U30" s="9" t="str">
        <f t="shared" si="1"/>
        <v/>
      </c>
    </row>
    <row r="31" spans="2:21" s="1" customFormat="1" ht="15" customHeight="1" x14ac:dyDescent="0.25">
      <c r="B31" s="1" t="s">
        <v>639</v>
      </c>
      <c r="C31" s="1" t="s">
        <v>635</v>
      </c>
      <c r="D31" s="1" t="s">
        <v>640</v>
      </c>
      <c r="E31"/>
      <c r="F31" t="s">
        <v>641</v>
      </c>
      <c r="G31" t="s">
        <v>642</v>
      </c>
      <c r="H31" t="s">
        <v>583</v>
      </c>
      <c r="I31" t="s">
        <v>643</v>
      </c>
      <c r="J31" t="s">
        <v>607</v>
      </c>
      <c r="K31"/>
      <c r="L31"/>
      <c r="M31">
        <v>1</v>
      </c>
      <c r="N31"/>
      <c r="O31"/>
      <c r="P31"/>
      <c r="Q31" s="7"/>
      <c r="R31" s="27" t="str">
        <f t="shared" si="0"/>
        <v/>
      </c>
      <c r="S31" s="27" t="str">
        <f>IF(SUM(COUNTIFS('11_18_11_24'!E:E,'11_18_11_24 Acc Rate'!C31,'11_18_11_24'!O:O,"*M*"),COUNTIFS('11_18_11_24'!E:E,'11_18_11_24 Acc Rate'!C31,'11_18_11_24'!R:R,"*M*"))=0,"",SUM(COUNTIFS('11_18_11_24'!E:E,'11_18_11_24 Acc Rate'!C31,'11_18_11_24'!O:O,"*M*"),COUNTIFS('11_18_11_24'!E:E,'11_18_11_24 Acc Rate'!C31,'11_18_11_24'!R:R,"*M*")))</f>
        <v/>
      </c>
      <c r="T31" s="1" t="str">
        <f>IF(SUM(COUNTIFS('11_18_11_24'!E:E,'11_18_11_24 Acc Rate'!C31,'11_18_11_24'!P:P,"*E*"),COUNTIFS('11_18_11_24'!E:E,'11_18_11_24 Acc Rate'!C31,'11_18_11_24'!S:S,"*E*"))=0,"",SUM(COUNTIFS('11_18_11_24'!E:E,'11_18_11_24 Acc Rate'!C31,'11_18_11_24'!P:P,"*E*"),COUNTIFS('11_18_11_24'!E:E,'11_18_11_24 Acc Rate'!C31,'11_18_11_24'!S:S,"*E*")))</f>
        <v/>
      </c>
      <c r="U31" s="9" t="str">
        <f t="shared" si="1"/>
        <v/>
      </c>
    </row>
    <row r="32" spans="2:21" ht="15" customHeight="1" x14ac:dyDescent="0.25">
      <c r="B32" s="1" t="s">
        <v>644</v>
      </c>
      <c r="C32" s="1" t="s">
        <v>162</v>
      </c>
      <c r="D32" s="1" t="s">
        <v>163</v>
      </c>
      <c r="E32"/>
      <c r="F32" t="s">
        <v>645</v>
      </c>
      <c r="G32" t="s">
        <v>646</v>
      </c>
      <c r="H32" t="s">
        <v>583</v>
      </c>
      <c r="I32" t="s">
        <v>647</v>
      </c>
      <c r="J32" t="s">
        <v>648</v>
      </c>
      <c r="K32" t="s">
        <v>643</v>
      </c>
      <c r="L32"/>
      <c r="M32">
        <v>1</v>
      </c>
      <c r="N32"/>
      <c r="O32"/>
      <c r="P32"/>
      <c r="Q32" s="7"/>
      <c r="R32" s="27" t="str">
        <f t="shared" si="0"/>
        <v/>
      </c>
      <c r="S32" s="27" t="str">
        <f>IF(SUM(COUNTIFS('11_18_11_24'!E:E,'11_18_11_24 Acc Rate'!C32,'11_18_11_24'!O:O,"*M*"),COUNTIFS('11_18_11_24'!E:E,'11_18_11_24 Acc Rate'!C32,'11_18_11_24'!R:R,"*M*"))=0,"",SUM(COUNTIFS('11_18_11_24'!E:E,'11_18_11_24 Acc Rate'!C32,'11_18_11_24'!O:O,"*M*"),COUNTIFS('11_18_11_24'!E:E,'11_18_11_24 Acc Rate'!C32,'11_18_11_24'!R:R,"*M*")))</f>
        <v/>
      </c>
      <c r="T32" s="1" t="str">
        <f>IF(SUM(COUNTIFS('11_18_11_24'!E:E,'11_18_11_24 Acc Rate'!C32,'11_18_11_24'!P:P,"*E*"),COUNTIFS('11_18_11_24'!E:E,'11_18_11_24 Acc Rate'!C32,'11_18_11_24'!S:S,"*E*"))=0,"",SUM(COUNTIFS('11_18_11_24'!E:E,'11_18_11_24 Acc Rate'!C32,'11_18_11_24'!P:P,"*E*"),COUNTIFS('11_18_11_24'!E:E,'11_18_11_24 Acc Rate'!C32,'11_18_11_24'!S:S,"*E*")))</f>
        <v/>
      </c>
      <c r="U32" s="8" t="str">
        <f t="shared" si="1"/>
        <v/>
      </c>
    </row>
    <row r="33" spans="2:21" ht="15" customHeight="1" x14ac:dyDescent="0.25">
      <c r="B33" s="1" t="s">
        <v>649</v>
      </c>
      <c r="C33" s="1" t="s">
        <v>264</v>
      </c>
      <c r="D33" s="1" t="s">
        <v>650</v>
      </c>
      <c r="E33"/>
      <c r="F33" t="s">
        <v>651</v>
      </c>
      <c r="G33" t="s">
        <v>652</v>
      </c>
      <c r="H33" t="s">
        <v>583</v>
      </c>
      <c r="I33" t="s">
        <v>653</v>
      </c>
      <c r="J33" t="s">
        <v>648</v>
      </c>
      <c r="K33" t="s">
        <v>643</v>
      </c>
      <c r="L33"/>
      <c r="M33">
        <v>1</v>
      </c>
      <c r="N33"/>
      <c r="O33"/>
      <c r="P33"/>
      <c r="Q33" s="7"/>
      <c r="R33" s="27" t="str">
        <f t="shared" si="0"/>
        <v/>
      </c>
      <c r="S33" s="27" t="str">
        <f>IF(SUM(COUNTIFS('11_18_11_24'!E:E,'11_18_11_24 Acc Rate'!C33,'11_18_11_24'!O:O,"*M*"),COUNTIFS('11_18_11_24'!E:E,'11_18_11_24 Acc Rate'!C33,'11_18_11_24'!R:R,"*M*"))=0,"",SUM(COUNTIFS('11_18_11_24'!E:E,'11_18_11_24 Acc Rate'!C33,'11_18_11_24'!O:O,"*M*"),COUNTIFS('11_18_11_24'!E:E,'11_18_11_24 Acc Rate'!C33,'11_18_11_24'!R:R,"*M*")))</f>
        <v/>
      </c>
      <c r="T33" s="1" t="str">
        <f>IF(SUM(COUNTIFS('11_18_11_24'!E:E,'11_18_11_24 Acc Rate'!C33,'11_18_11_24'!P:P,"*E*"),COUNTIFS('11_18_11_24'!E:E,'11_18_11_24 Acc Rate'!C33,'11_18_11_24'!S:S,"*E*"))=0,"",SUM(COUNTIFS('11_18_11_24'!E:E,'11_18_11_24 Acc Rate'!C33,'11_18_11_24'!P:P,"*E*"),COUNTIFS('11_18_11_24'!E:E,'11_18_11_24 Acc Rate'!C33,'11_18_11_24'!S:S,"*E*")))</f>
        <v/>
      </c>
      <c r="U33" s="8" t="str">
        <f t="shared" si="1"/>
        <v/>
      </c>
    </row>
    <row r="34" spans="2:21" ht="15" customHeight="1" x14ac:dyDescent="0.25">
      <c r="B34" s="1" t="s">
        <v>654</v>
      </c>
      <c r="C34" s="1" t="s">
        <v>417</v>
      </c>
      <c r="D34" s="1" t="s">
        <v>418</v>
      </c>
      <c r="E34"/>
      <c r="F34" t="s">
        <v>655</v>
      </c>
      <c r="G34" t="s">
        <v>656</v>
      </c>
      <c r="H34" t="s">
        <v>583</v>
      </c>
      <c r="I34" t="s">
        <v>657</v>
      </c>
      <c r="J34" t="s">
        <v>648</v>
      </c>
      <c r="K34" t="s">
        <v>643</v>
      </c>
      <c r="L34"/>
      <c r="M34">
        <v>1</v>
      </c>
      <c r="N34"/>
      <c r="O34"/>
      <c r="P34"/>
      <c r="Q34" s="7"/>
      <c r="R34" s="27" t="str">
        <f t="shared" si="0"/>
        <v/>
      </c>
      <c r="S34" s="27" t="str">
        <f>IF(SUM(COUNTIFS('11_18_11_24'!E:E,'11_18_11_24 Acc Rate'!C34,'11_18_11_24'!O:O,"*M*"),COUNTIFS('11_18_11_24'!E:E,'11_18_11_24 Acc Rate'!C34,'11_18_11_24'!R:R,"*M*"))=0,"",SUM(COUNTIFS('11_18_11_24'!E:E,'11_18_11_24 Acc Rate'!C34,'11_18_11_24'!O:O,"*M*"),COUNTIFS('11_18_11_24'!E:E,'11_18_11_24 Acc Rate'!C34,'11_18_11_24'!R:R,"*M*")))</f>
        <v/>
      </c>
      <c r="T34" s="1" t="str">
        <f>IF(SUM(COUNTIFS('11_18_11_24'!E:E,'11_18_11_24 Acc Rate'!C34,'11_18_11_24'!P:P,"*E*"),COUNTIFS('11_18_11_24'!E:E,'11_18_11_24 Acc Rate'!C34,'11_18_11_24'!S:S,"*E*"))=0,"",SUM(COUNTIFS('11_18_11_24'!E:E,'11_18_11_24 Acc Rate'!C34,'11_18_11_24'!P:P,"*E*"),COUNTIFS('11_18_11_24'!E:E,'11_18_11_24 Acc Rate'!C34,'11_18_11_24'!S:S,"*E*")))</f>
        <v/>
      </c>
      <c r="U34" s="8" t="str">
        <f t="shared" si="1"/>
        <v/>
      </c>
    </row>
    <row r="35" spans="2:21" ht="15" customHeight="1" x14ac:dyDescent="0.25">
      <c r="B35" s="1" t="s">
        <v>1641</v>
      </c>
      <c r="C35" s="1" t="s">
        <v>345</v>
      </c>
      <c r="D35" s="1" t="s">
        <v>1642</v>
      </c>
      <c r="E35"/>
      <c r="F35" t="s">
        <v>1643</v>
      </c>
      <c r="G35" t="s">
        <v>1644</v>
      </c>
      <c r="H35" t="s">
        <v>583</v>
      </c>
      <c r="I35" t="s">
        <v>1645</v>
      </c>
      <c r="J35" t="s">
        <v>648</v>
      </c>
      <c r="K35" t="s">
        <v>643</v>
      </c>
      <c r="L35"/>
      <c r="M35">
        <v>15</v>
      </c>
      <c r="N35"/>
      <c r="O35"/>
      <c r="P35"/>
      <c r="Q35" s="7"/>
      <c r="R35" s="27" t="str">
        <f t="shared" si="0"/>
        <v/>
      </c>
      <c r="S35" s="27" t="str">
        <f>IF(SUM(COUNTIFS('11_18_11_24'!E:E,'11_18_11_24 Acc Rate'!C35,'11_18_11_24'!O:O,"*M*"),COUNTIFS('11_18_11_24'!E:E,'11_18_11_24 Acc Rate'!C35,'11_18_11_24'!R:R,"*M*"))=0,"",SUM(COUNTIFS('11_18_11_24'!E:E,'11_18_11_24 Acc Rate'!C35,'11_18_11_24'!O:O,"*M*"),COUNTIFS('11_18_11_24'!E:E,'11_18_11_24 Acc Rate'!C35,'11_18_11_24'!R:R,"*M*")))</f>
        <v/>
      </c>
      <c r="T35" s="1" t="str">
        <f>IF(SUM(COUNTIFS('11_18_11_24'!E:E,'11_18_11_24 Acc Rate'!C35,'11_18_11_24'!P:P,"*E*"),COUNTIFS('11_18_11_24'!E:E,'11_18_11_24 Acc Rate'!C35,'11_18_11_24'!S:S,"*E*"))=0,"",SUM(COUNTIFS('11_18_11_24'!E:E,'11_18_11_24 Acc Rate'!C35,'11_18_11_24'!P:P,"*E*"),COUNTIFS('11_18_11_24'!E:E,'11_18_11_24 Acc Rate'!C35,'11_18_11_24'!S:S,"*E*")))</f>
        <v/>
      </c>
      <c r="U35" s="8" t="str">
        <f t="shared" si="1"/>
        <v/>
      </c>
    </row>
    <row r="36" spans="2:21" ht="15" customHeight="1" x14ac:dyDescent="0.25">
      <c r="B36" s="1" t="s">
        <v>658</v>
      </c>
      <c r="C36" s="1" t="s">
        <v>659</v>
      </c>
      <c r="D36" s="1" t="s">
        <v>660</v>
      </c>
      <c r="E36"/>
      <c r="F36" t="s">
        <v>661</v>
      </c>
      <c r="G36" t="s">
        <v>662</v>
      </c>
      <c r="H36" t="s">
        <v>583</v>
      </c>
      <c r="I36" t="s">
        <v>663</v>
      </c>
      <c r="J36" t="s">
        <v>607</v>
      </c>
      <c r="K36"/>
      <c r="L36"/>
      <c r="M36">
        <v>1</v>
      </c>
      <c r="N36"/>
      <c r="O36"/>
      <c r="P36"/>
      <c r="Q36" s="7"/>
      <c r="R36" s="27" t="str">
        <f t="shared" si="0"/>
        <v/>
      </c>
      <c r="S36" s="27" t="str">
        <f>IF(SUM(COUNTIFS('11_18_11_24'!E:E,'11_18_11_24 Acc Rate'!C36,'11_18_11_24'!O:O,"*M*"),COUNTIFS('11_18_11_24'!E:E,'11_18_11_24 Acc Rate'!C36,'11_18_11_24'!R:R,"*M*"))=0,"",SUM(COUNTIFS('11_18_11_24'!E:E,'11_18_11_24 Acc Rate'!C36,'11_18_11_24'!O:O,"*M*"),COUNTIFS('11_18_11_24'!E:E,'11_18_11_24 Acc Rate'!C36,'11_18_11_24'!R:R,"*M*")))</f>
        <v/>
      </c>
      <c r="T36" s="1" t="str">
        <f>IF(SUM(COUNTIFS('11_18_11_24'!E:E,'11_18_11_24 Acc Rate'!C36,'11_18_11_24'!P:P,"*E*"),COUNTIFS('11_18_11_24'!E:E,'11_18_11_24 Acc Rate'!C36,'11_18_11_24'!S:S,"*E*"))=0,"",SUM(COUNTIFS('11_18_11_24'!E:E,'11_18_11_24 Acc Rate'!C36,'11_18_11_24'!P:P,"*E*"),COUNTIFS('11_18_11_24'!E:E,'11_18_11_24 Acc Rate'!C36,'11_18_11_24'!S:S,"*E*")))</f>
        <v/>
      </c>
      <c r="U36" s="8" t="str">
        <f t="shared" si="1"/>
        <v/>
      </c>
    </row>
    <row r="37" spans="2:21" ht="15" customHeight="1" x14ac:dyDescent="0.25">
      <c r="B37" s="1" t="s">
        <v>664</v>
      </c>
      <c r="C37" s="1" t="s">
        <v>155</v>
      </c>
      <c r="D37" s="1" t="s">
        <v>156</v>
      </c>
      <c r="E37"/>
      <c r="F37" t="s">
        <v>550</v>
      </c>
      <c r="G37" t="s">
        <v>665</v>
      </c>
      <c r="H37" t="s">
        <v>583</v>
      </c>
      <c r="I37" t="s">
        <v>666</v>
      </c>
      <c r="J37" t="s">
        <v>667</v>
      </c>
      <c r="K37" t="s">
        <v>663</v>
      </c>
      <c r="L37"/>
      <c r="M37">
        <v>1</v>
      </c>
      <c r="N37"/>
      <c r="O37"/>
      <c r="P37"/>
      <c r="Q37" s="7"/>
      <c r="R37" s="27" t="str">
        <f t="shared" si="0"/>
        <v/>
      </c>
      <c r="S37" s="27" t="str">
        <f>IF(SUM(COUNTIFS('11_18_11_24'!E:E,'11_18_11_24 Acc Rate'!C37,'11_18_11_24'!O:O,"*M*"),COUNTIFS('11_18_11_24'!E:E,'11_18_11_24 Acc Rate'!C37,'11_18_11_24'!R:R,"*M*"))=0,"",SUM(COUNTIFS('11_18_11_24'!E:E,'11_18_11_24 Acc Rate'!C37,'11_18_11_24'!O:O,"*M*"),COUNTIFS('11_18_11_24'!E:E,'11_18_11_24 Acc Rate'!C37,'11_18_11_24'!R:R,"*M*")))</f>
        <v/>
      </c>
      <c r="T37" s="1" t="str">
        <f>IF(SUM(COUNTIFS('11_18_11_24'!E:E,'11_18_11_24 Acc Rate'!C37,'11_18_11_24'!P:P,"*E*"),COUNTIFS('11_18_11_24'!E:E,'11_18_11_24 Acc Rate'!C37,'11_18_11_24'!S:S,"*E*"))=0,"",SUM(COUNTIFS('11_18_11_24'!E:E,'11_18_11_24 Acc Rate'!C37,'11_18_11_24'!P:P,"*E*"),COUNTIFS('11_18_11_24'!E:E,'11_18_11_24 Acc Rate'!C37,'11_18_11_24'!S:S,"*E*")))</f>
        <v/>
      </c>
      <c r="U37" s="8" t="str">
        <f t="shared" si="1"/>
        <v/>
      </c>
    </row>
    <row r="38" spans="2:21" ht="15" customHeight="1" x14ac:dyDescent="0.25">
      <c r="B38" s="1" t="s">
        <v>668</v>
      </c>
      <c r="C38" s="1" t="s">
        <v>669</v>
      </c>
      <c r="D38" s="1" t="s">
        <v>670</v>
      </c>
      <c r="E38"/>
      <c r="F38" t="s">
        <v>671</v>
      </c>
      <c r="G38" t="s">
        <v>672</v>
      </c>
      <c r="H38" t="s">
        <v>583</v>
      </c>
      <c r="I38" t="s">
        <v>673</v>
      </c>
      <c r="J38" t="s">
        <v>667</v>
      </c>
      <c r="K38" t="s">
        <v>663</v>
      </c>
      <c r="L38"/>
      <c r="M38">
        <v>1</v>
      </c>
      <c r="N38"/>
      <c r="O38"/>
      <c r="P38"/>
      <c r="Q38" s="7"/>
      <c r="R38" s="27" t="str">
        <f t="shared" si="0"/>
        <v/>
      </c>
      <c r="S38" s="27" t="str">
        <f>IF(SUM(COUNTIFS('11_18_11_24'!E:E,'11_18_11_24 Acc Rate'!C38,'11_18_11_24'!O:O,"*M*"),COUNTIFS('11_18_11_24'!E:E,'11_18_11_24 Acc Rate'!C38,'11_18_11_24'!R:R,"*M*"))=0,"",SUM(COUNTIFS('11_18_11_24'!E:E,'11_18_11_24 Acc Rate'!C38,'11_18_11_24'!O:O,"*M*"),COUNTIFS('11_18_11_24'!E:E,'11_18_11_24 Acc Rate'!C38,'11_18_11_24'!R:R,"*M*")))</f>
        <v/>
      </c>
      <c r="T38" s="1" t="str">
        <f>IF(SUM(COUNTIFS('11_18_11_24'!E:E,'11_18_11_24 Acc Rate'!C38,'11_18_11_24'!P:P,"*E*"),COUNTIFS('11_18_11_24'!E:E,'11_18_11_24 Acc Rate'!C38,'11_18_11_24'!S:S,"*E*"))=0,"",SUM(COUNTIFS('11_18_11_24'!E:E,'11_18_11_24 Acc Rate'!C38,'11_18_11_24'!P:P,"*E*"),COUNTIFS('11_18_11_24'!E:E,'11_18_11_24 Acc Rate'!C38,'11_18_11_24'!S:S,"*E*")))</f>
        <v/>
      </c>
      <c r="U38" s="8" t="str">
        <f t="shared" si="1"/>
        <v/>
      </c>
    </row>
    <row r="39" spans="2:21" ht="15" customHeight="1" x14ac:dyDescent="0.25">
      <c r="B39" s="1" t="s">
        <v>701</v>
      </c>
      <c r="C39" s="1" t="s">
        <v>696</v>
      </c>
      <c r="D39" s="1" t="s">
        <v>702</v>
      </c>
      <c r="E39"/>
      <c r="F39" t="s">
        <v>703</v>
      </c>
      <c r="G39" t="s">
        <v>704</v>
      </c>
      <c r="H39" t="s">
        <v>583</v>
      </c>
      <c r="I39" t="s">
        <v>705</v>
      </c>
      <c r="J39" t="s">
        <v>667</v>
      </c>
      <c r="K39" t="s">
        <v>663</v>
      </c>
      <c r="L39"/>
      <c r="M39">
        <v>1</v>
      </c>
      <c r="N39"/>
      <c r="O39"/>
      <c r="P39"/>
      <c r="Q39" s="7"/>
      <c r="R39" s="27" t="str">
        <f t="shared" si="0"/>
        <v/>
      </c>
      <c r="S39" s="27" t="str">
        <f>IF(SUM(COUNTIFS('11_18_11_24'!E:E,'11_18_11_24 Acc Rate'!C39,'11_18_11_24'!O:O,"*M*"),COUNTIFS('11_18_11_24'!E:E,'11_18_11_24 Acc Rate'!C39,'11_18_11_24'!R:R,"*M*"))=0,"",SUM(COUNTIFS('11_18_11_24'!E:E,'11_18_11_24 Acc Rate'!C39,'11_18_11_24'!O:O,"*M*"),COUNTIFS('11_18_11_24'!E:E,'11_18_11_24 Acc Rate'!C39,'11_18_11_24'!R:R,"*M*")))</f>
        <v/>
      </c>
      <c r="T39" s="1" t="str">
        <f>IF(SUM(COUNTIFS('11_18_11_24'!E:E,'11_18_11_24 Acc Rate'!C39,'11_18_11_24'!P:P,"*E*"),COUNTIFS('11_18_11_24'!E:E,'11_18_11_24 Acc Rate'!C39,'11_18_11_24'!S:S,"*E*"))=0,"",SUM(COUNTIFS('11_18_11_24'!E:E,'11_18_11_24 Acc Rate'!C39,'11_18_11_24'!P:P,"*E*"),COUNTIFS('11_18_11_24'!E:E,'11_18_11_24 Acc Rate'!C39,'11_18_11_24'!S:S,"*E*")))</f>
        <v/>
      </c>
      <c r="U39" s="8" t="str">
        <f t="shared" si="1"/>
        <v/>
      </c>
    </row>
    <row r="40" spans="2:21" ht="15" customHeight="1" x14ac:dyDescent="0.25">
      <c r="B40" s="1" t="s">
        <v>674</v>
      </c>
      <c r="C40" s="1" t="s">
        <v>411</v>
      </c>
      <c r="D40" s="1" t="s">
        <v>412</v>
      </c>
      <c r="E40"/>
      <c r="F40" t="s">
        <v>675</v>
      </c>
      <c r="G40" t="s">
        <v>676</v>
      </c>
      <c r="H40" t="s">
        <v>583</v>
      </c>
      <c r="I40" t="s">
        <v>677</v>
      </c>
      <c r="J40" t="s">
        <v>667</v>
      </c>
      <c r="K40" t="s">
        <v>663</v>
      </c>
      <c r="L40"/>
      <c r="M40">
        <v>1</v>
      </c>
      <c r="N40"/>
      <c r="O40"/>
      <c r="P40"/>
      <c r="Q40" s="7"/>
      <c r="R40" s="27" t="str">
        <f t="shared" si="0"/>
        <v/>
      </c>
      <c r="S40" s="27" t="str">
        <f>IF(SUM(COUNTIFS('11_18_11_24'!E:E,'11_18_11_24 Acc Rate'!C40,'11_18_11_24'!O:O,"*M*"),COUNTIFS('11_18_11_24'!E:E,'11_18_11_24 Acc Rate'!C40,'11_18_11_24'!R:R,"*M*"))=0,"",SUM(COUNTIFS('11_18_11_24'!E:E,'11_18_11_24 Acc Rate'!C40,'11_18_11_24'!O:O,"*M*"),COUNTIFS('11_18_11_24'!E:E,'11_18_11_24 Acc Rate'!C40,'11_18_11_24'!R:R,"*M*")))</f>
        <v/>
      </c>
      <c r="T40" s="1" t="str">
        <f>IF(SUM(COUNTIFS('11_18_11_24'!E:E,'11_18_11_24 Acc Rate'!C40,'11_18_11_24'!P:P,"*E*"),COUNTIFS('11_18_11_24'!E:E,'11_18_11_24 Acc Rate'!C40,'11_18_11_24'!S:S,"*E*"))=0,"",SUM(COUNTIFS('11_18_11_24'!E:E,'11_18_11_24 Acc Rate'!C40,'11_18_11_24'!P:P,"*E*"),COUNTIFS('11_18_11_24'!E:E,'11_18_11_24 Acc Rate'!C40,'11_18_11_24'!S:S,"*E*")))</f>
        <v/>
      </c>
      <c r="U40" s="8" t="str">
        <f t="shared" si="1"/>
        <v/>
      </c>
    </row>
    <row r="41" spans="2:21" ht="15" customHeight="1" x14ac:dyDescent="0.25">
      <c r="B41" s="1" t="s">
        <v>678</v>
      </c>
      <c r="C41" s="1" t="s">
        <v>679</v>
      </c>
      <c r="D41" s="1" t="s">
        <v>680</v>
      </c>
      <c r="E41"/>
      <c r="F41" t="s">
        <v>681</v>
      </c>
      <c r="G41" t="s">
        <v>682</v>
      </c>
      <c r="H41" t="s">
        <v>583</v>
      </c>
      <c r="I41" t="s">
        <v>683</v>
      </c>
      <c r="J41" t="s">
        <v>607</v>
      </c>
      <c r="K41"/>
      <c r="L41"/>
      <c r="M41">
        <v>1</v>
      </c>
      <c r="N41"/>
      <c r="O41"/>
      <c r="P41"/>
      <c r="Q41" s="7"/>
      <c r="R41" s="27" t="str">
        <f t="shared" si="0"/>
        <v/>
      </c>
      <c r="S41" s="27" t="str">
        <f>IF(SUM(COUNTIFS('11_18_11_24'!E:E,'11_18_11_24 Acc Rate'!C41,'11_18_11_24'!O:O,"*M*"),COUNTIFS('11_18_11_24'!E:E,'11_18_11_24 Acc Rate'!C41,'11_18_11_24'!R:R,"*M*"))=0,"",SUM(COUNTIFS('11_18_11_24'!E:E,'11_18_11_24 Acc Rate'!C41,'11_18_11_24'!O:O,"*M*"),COUNTIFS('11_18_11_24'!E:E,'11_18_11_24 Acc Rate'!C41,'11_18_11_24'!R:R,"*M*")))</f>
        <v/>
      </c>
      <c r="T41" s="1" t="str">
        <f>IF(SUM(COUNTIFS('11_18_11_24'!E:E,'11_18_11_24 Acc Rate'!C41,'11_18_11_24'!P:P,"*E*"),COUNTIFS('11_18_11_24'!E:E,'11_18_11_24 Acc Rate'!C41,'11_18_11_24'!S:S,"*E*"))=0,"",SUM(COUNTIFS('11_18_11_24'!E:E,'11_18_11_24 Acc Rate'!C41,'11_18_11_24'!P:P,"*E*"),COUNTIFS('11_18_11_24'!E:E,'11_18_11_24 Acc Rate'!C41,'11_18_11_24'!S:S,"*E*")))</f>
        <v/>
      </c>
      <c r="U41" s="8" t="str">
        <f t="shared" si="1"/>
        <v/>
      </c>
    </row>
    <row r="42" spans="2:21" ht="15" customHeight="1" x14ac:dyDescent="0.25">
      <c r="B42" s="1" t="s">
        <v>684</v>
      </c>
      <c r="C42" s="1" t="s">
        <v>84</v>
      </c>
      <c r="D42" s="1" t="s">
        <v>273</v>
      </c>
      <c r="E42"/>
      <c r="F42" t="s">
        <v>685</v>
      </c>
      <c r="G42" t="s">
        <v>686</v>
      </c>
      <c r="H42" t="s">
        <v>583</v>
      </c>
      <c r="I42" t="s">
        <v>687</v>
      </c>
      <c r="J42" t="s">
        <v>688</v>
      </c>
      <c r="K42" t="s">
        <v>683</v>
      </c>
      <c r="L42"/>
      <c r="M42">
        <v>1</v>
      </c>
      <c r="N42"/>
      <c r="O42"/>
      <c r="P42"/>
      <c r="Q42" s="7"/>
      <c r="R42" s="27" t="str">
        <f t="shared" si="0"/>
        <v/>
      </c>
      <c r="S42" s="27" t="str">
        <f>IF(SUM(COUNTIFS('11_18_11_24'!E:E,'11_18_11_24 Acc Rate'!C42,'11_18_11_24'!O:O,"*M*"),COUNTIFS('11_18_11_24'!E:E,'11_18_11_24 Acc Rate'!C42,'11_18_11_24'!R:R,"*M*"))=0,"",SUM(COUNTIFS('11_18_11_24'!E:E,'11_18_11_24 Acc Rate'!C42,'11_18_11_24'!O:O,"*M*"),COUNTIFS('11_18_11_24'!E:E,'11_18_11_24 Acc Rate'!C42,'11_18_11_24'!R:R,"*M*")))</f>
        <v/>
      </c>
      <c r="T42" s="1" t="str">
        <f>IF(SUM(COUNTIFS('11_18_11_24'!E:E,'11_18_11_24 Acc Rate'!C42,'11_18_11_24'!P:P,"*E*"),COUNTIFS('11_18_11_24'!E:E,'11_18_11_24 Acc Rate'!C42,'11_18_11_24'!S:S,"*E*"))=0,"",SUM(COUNTIFS('11_18_11_24'!E:E,'11_18_11_24 Acc Rate'!C42,'11_18_11_24'!P:P,"*E*"),COUNTIFS('11_18_11_24'!E:E,'11_18_11_24 Acc Rate'!C42,'11_18_11_24'!S:S,"*E*")))</f>
        <v/>
      </c>
      <c r="U42" s="8" t="str">
        <f t="shared" si="1"/>
        <v/>
      </c>
    </row>
    <row r="43" spans="2:21" ht="15" customHeight="1" x14ac:dyDescent="0.25">
      <c r="B43" s="1" t="s">
        <v>689</v>
      </c>
      <c r="C43" s="1" t="s">
        <v>690</v>
      </c>
      <c r="D43" s="1" t="s">
        <v>691</v>
      </c>
      <c r="E43"/>
      <c r="F43" t="s">
        <v>692</v>
      </c>
      <c r="G43" t="s">
        <v>693</v>
      </c>
      <c r="H43" t="s">
        <v>583</v>
      </c>
      <c r="I43" t="s">
        <v>694</v>
      </c>
      <c r="J43" t="s">
        <v>688</v>
      </c>
      <c r="K43" t="s">
        <v>683</v>
      </c>
      <c r="L43"/>
      <c r="M43">
        <v>1</v>
      </c>
      <c r="N43"/>
      <c r="O43"/>
      <c r="P43"/>
      <c r="Q43" s="7"/>
      <c r="R43" s="27" t="str">
        <f t="shared" si="0"/>
        <v/>
      </c>
      <c r="S43" s="27" t="str">
        <f>IF(SUM(COUNTIFS('11_18_11_24'!E:E,'11_18_11_24 Acc Rate'!C43,'11_18_11_24'!O:O,"*M*"),COUNTIFS('11_18_11_24'!E:E,'11_18_11_24 Acc Rate'!C43,'11_18_11_24'!R:R,"*M*"))=0,"",SUM(COUNTIFS('11_18_11_24'!E:E,'11_18_11_24 Acc Rate'!C43,'11_18_11_24'!O:O,"*M*"),COUNTIFS('11_18_11_24'!E:E,'11_18_11_24 Acc Rate'!C43,'11_18_11_24'!R:R,"*M*")))</f>
        <v/>
      </c>
      <c r="T43" s="1" t="str">
        <f>IF(SUM(COUNTIFS('11_18_11_24'!E:E,'11_18_11_24 Acc Rate'!C43,'11_18_11_24'!P:P,"*E*"),COUNTIFS('11_18_11_24'!E:E,'11_18_11_24 Acc Rate'!C43,'11_18_11_24'!S:S,"*E*"))=0,"",SUM(COUNTIFS('11_18_11_24'!E:E,'11_18_11_24 Acc Rate'!C43,'11_18_11_24'!P:P,"*E*"),COUNTIFS('11_18_11_24'!E:E,'11_18_11_24 Acc Rate'!C43,'11_18_11_24'!S:S,"*E*")))</f>
        <v/>
      </c>
      <c r="U43" s="8" t="str">
        <f t="shared" si="1"/>
        <v/>
      </c>
    </row>
    <row r="44" spans="2:21" ht="15" customHeight="1" x14ac:dyDescent="0.25">
      <c r="B44" s="1" t="s">
        <v>695</v>
      </c>
      <c r="C44" s="1" t="s">
        <v>696</v>
      </c>
      <c r="D44" s="1" t="s">
        <v>697</v>
      </c>
      <c r="E44"/>
      <c r="F44" t="s">
        <v>698</v>
      </c>
      <c r="G44" t="s">
        <v>699</v>
      </c>
      <c r="H44" t="s">
        <v>583</v>
      </c>
      <c r="I44" t="s">
        <v>700</v>
      </c>
      <c r="J44" t="s">
        <v>607</v>
      </c>
      <c r="K44"/>
      <c r="L44"/>
      <c r="M44">
        <v>1</v>
      </c>
      <c r="N44"/>
      <c r="O44"/>
      <c r="P44"/>
      <c r="Q44" s="7"/>
      <c r="R44" s="27" t="str">
        <f t="shared" si="0"/>
        <v/>
      </c>
      <c r="S44" s="27" t="str">
        <f>IF(SUM(COUNTIFS('11_18_11_24'!E:E,'11_18_11_24 Acc Rate'!C44,'11_18_11_24'!O:O,"*M*"),COUNTIFS('11_18_11_24'!E:E,'11_18_11_24 Acc Rate'!C44,'11_18_11_24'!R:R,"*M*"))=0,"",SUM(COUNTIFS('11_18_11_24'!E:E,'11_18_11_24 Acc Rate'!C44,'11_18_11_24'!O:O,"*M*"),COUNTIFS('11_18_11_24'!E:E,'11_18_11_24 Acc Rate'!C44,'11_18_11_24'!R:R,"*M*")))</f>
        <v/>
      </c>
      <c r="T44" s="1" t="str">
        <f>IF(SUM(COUNTIFS('11_18_11_24'!E:E,'11_18_11_24 Acc Rate'!C44,'11_18_11_24'!P:P,"*E*"),COUNTIFS('11_18_11_24'!E:E,'11_18_11_24 Acc Rate'!C44,'11_18_11_24'!S:S,"*E*"))=0,"",SUM(COUNTIFS('11_18_11_24'!E:E,'11_18_11_24 Acc Rate'!C44,'11_18_11_24'!P:P,"*E*"),COUNTIFS('11_18_11_24'!E:E,'11_18_11_24 Acc Rate'!C44,'11_18_11_24'!S:S,"*E*")))</f>
        <v/>
      </c>
      <c r="U44" s="8" t="str">
        <f t="shared" si="1"/>
        <v/>
      </c>
    </row>
    <row r="45" spans="2:21" ht="15" customHeight="1" x14ac:dyDescent="0.25">
      <c r="B45" s="1" t="s">
        <v>707</v>
      </c>
      <c r="C45" s="1" t="s">
        <v>708</v>
      </c>
      <c r="D45" s="1" t="s">
        <v>709</v>
      </c>
      <c r="E45"/>
      <c r="F45" t="s">
        <v>710</v>
      </c>
      <c r="G45" t="s">
        <v>711</v>
      </c>
      <c r="H45" t="s">
        <v>583</v>
      </c>
      <c r="I45" t="s">
        <v>712</v>
      </c>
      <c r="J45" t="s">
        <v>706</v>
      </c>
      <c r="K45" t="s">
        <v>700</v>
      </c>
      <c r="L45"/>
      <c r="M45">
        <v>1</v>
      </c>
      <c r="N45"/>
      <c r="O45"/>
      <c r="P45"/>
      <c r="Q45" s="7"/>
      <c r="R45" s="27" t="str">
        <f t="shared" si="0"/>
        <v/>
      </c>
      <c r="S45" s="27" t="str">
        <f>IF(SUM(COUNTIFS('11_18_11_24'!E:E,'11_18_11_24 Acc Rate'!C45,'11_18_11_24'!O:O,"*M*"),COUNTIFS('11_18_11_24'!E:E,'11_18_11_24 Acc Rate'!C45,'11_18_11_24'!R:R,"*M*"))=0,"",SUM(COUNTIFS('11_18_11_24'!E:E,'11_18_11_24 Acc Rate'!C45,'11_18_11_24'!O:O,"*M*"),COUNTIFS('11_18_11_24'!E:E,'11_18_11_24 Acc Rate'!C45,'11_18_11_24'!R:R,"*M*")))</f>
        <v/>
      </c>
      <c r="T45" s="1" t="str">
        <f>IF(SUM(COUNTIFS('11_18_11_24'!E:E,'11_18_11_24 Acc Rate'!C45,'11_18_11_24'!P:P,"*E*"),COUNTIFS('11_18_11_24'!E:E,'11_18_11_24 Acc Rate'!C45,'11_18_11_24'!S:S,"*E*"))=0,"",SUM(COUNTIFS('11_18_11_24'!E:E,'11_18_11_24 Acc Rate'!C45,'11_18_11_24'!P:P,"*E*"),COUNTIFS('11_18_11_24'!E:E,'11_18_11_24 Acc Rate'!C45,'11_18_11_24'!S:S,"*E*")))</f>
        <v/>
      </c>
      <c r="U45" s="8" t="str">
        <f t="shared" si="1"/>
        <v/>
      </c>
    </row>
    <row r="46" spans="2:21" ht="15" customHeight="1" x14ac:dyDescent="0.25">
      <c r="B46" s="1" t="s">
        <v>713</v>
      </c>
      <c r="C46" s="1" t="s">
        <v>714</v>
      </c>
      <c r="D46" s="1" t="s">
        <v>715</v>
      </c>
      <c r="E46"/>
      <c r="F46" t="s">
        <v>716</v>
      </c>
      <c r="G46" t="s">
        <v>717</v>
      </c>
      <c r="H46" t="s">
        <v>583</v>
      </c>
      <c r="I46" t="s">
        <v>718</v>
      </c>
      <c r="J46" t="s">
        <v>706</v>
      </c>
      <c r="K46" t="s">
        <v>700</v>
      </c>
      <c r="L46"/>
      <c r="M46">
        <v>1</v>
      </c>
      <c r="N46"/>
      <c r="O46"/>
      <c r="P46"/>
      <c r="Q46" s="7"/>
      <c r="R46" s="27" t="str">
        <f t="shared" si="0"/>
        <v/>
      </c>
      <c r="S46" s="27" t="str">
        <f>IF(SUM(COUNTIFS('11_18_11_24'!E:E,'11_18_11_24 Acc Rate'!C46,'11_18_11_24'!O:O,"*M*"),COUNTIFS('11_18_11_24'!E:E,'11_18_11_24 Acc Rate'!C46,'11_18_11_24'!R:R,"*M*"))=0,"",SUM(COUNTIFS('11_18_11_24'!E:E,'11_18_11_24 Acc Rate'!C46,'11_18_11_24'!O:O,"*M*"),COUNTIFS('11_18_11_24'!E:E,'11_18_11_24 Acc Rate'!C46,'11_18_11_24'!R:R,"*M*")))</f>
        <v/>
      </c>
      <c r="T46" s="1" t="str">
        <f>IF(SUM(COUNTIFS('11_18_11_24'!E:E,'11_18_11_24 Acc Rate'!C46,'11_18_11_24'!P:P,"*E*"),COUNTIFS('11_18_11_24'!E:E,'11_18_11_24 Acc Rate'!C46,'11_18_11_24'!S:S,"*E*"))=0,"",SUM(COUNTIFS('11_18_11_24'!E:E,'11_18_11_24 Acc Rate'!C46,'11_18_11_24'!P:P,"*E*"),COUNTIFS('11_18_11_24'!E:E,'11_18_11_24 Acc Rate'!C46,'11_18_11_24'!S:S,"*E*")))</f>
        <v/>
      </c>
      <c r="U46" s="8" t="str">
        <f t="shared" si="1"/>
        <v/>
      </c>
    </row>
    <row r="47" spans="2:21" ht="15" customHeight="1" x14ac:dyDescent="0.25">
      <c r="B47" s="1" t="s">
        <v>2034</v>
      </c>
      <c r="C47" s="1" t="s">
        <v>848</v>
      </c>
      <c r="D47" s="1" t="s">
        <v>2035</v>
      </c>
      <c r="E47"/>
      <c r="F47" t="s">
        <v>2036</v>
      </c>
      <c r="G47" t="s">
        <v>2037</v>
      </c>
      <c r="H47" t="s">
        <v>583</v>
      </c>
      <c r="I47" t="s">
        <v>2038</v>
      </c>
      <c r="J47" t="s">
        <v>706</v>
      </c>
      <c r="K47" t="s">
        <v>700</v>
      </c>
      <c r="L47"/>
      <c r="M47">
        <v>1</v>
      </c>
      <c r="N47"/>
      <c r="O47"/>
      <c r="P47"/>
      <c r="Q47" s="7"/>
      <c r="R47" s="27" t="str">
        <f t="shared" si="0"/>
        <v/>
      </c>
      <c r="S47" s="27" t="str">
        <f>IF(SUM(COUNTIFS('11_18_11_24'!E:E,'11_18_11_24 Acc Rate'!C47,'11_18_11_24'!O:O,"*M*"),COUNTIFS('11_18_11_24'!E:E,'11_18_11_24 Acc Rate'!C47,'11_18_11_24'!R:R,"*M*"))=0,"",SUM(COUNTIFS('11_18_11_24'!E:E,'11_18_11_24 Acc Rate'!C47,'11_18_11_24'!O:O,"*M*"),COUNTIFS('11_18_11_24'!E:E,'11_18_11_24 Acc Rate'!C47,'11_18_11_24'!R:R,"*M*")))</f>
        <v/>
      </c>
      <c r="T47" s="1" t="str">
        <f>IF(SUM(COUNTIFS('11_18_11_24'!E:E,'11_18_11_24 Acc Rate'!C47,'11_18_11_24'!P:P,"*E*"),COUNTIFS('11_18_11_24'!E:E,'11_18_11_24 Acc Rate'!C47,'11_18_11_24'!S:S,"*E*"))=0,"",SUM(COUNTIFS('11_18_11_24'!E:E,'11_18_11_24 Acc Rate'!C47,'11_18_11_24'!P:P,"*E*"),COUNTIFS('11_18_11_24'!E:E,'11_18_11_24 Acc Rate'!C47,'11_18_11_24'!S:S,"*E*")))</f>
        <v/>
      </c>
      <c r="U47" s="8" t="str">
        <f t="shared" si="1"/>
        <v/>
      </c>
    </row>
    <row r="48" spans="2:21" ht="15" customHeight="1" x14ac:dyDescent="0.25">
      <c r="B48" s="1" t="s">
        <v>719</v>
      </c>
      <c r="C48" s="1" t="s">
        <v>556</v>
      </c>
      <c r="D48" s="1" t="s">
        <v>720</v>
      </c>
      <c r="E48"/>
      <c r="F48" t="s">
        <v>721</v>
      </c>
      <c r="G48" t="s">
        <v>722</v>
      </c>
      <c r="H48" t="s">
        <v>583</v>
      </c>
      <c r="I48" t="s">
        <v>723</v>
      </c>
      <c r="J48" t="s">
        <v>706</v>
      </c>
      <c r="K48" t="s">
        <v>700</v>
      </c>
      <c r="L48"/>
      <c r="M48">
        <v>1</v>
      </c>
      <c r="N48"/>
      <c r="O48"/>
      <c r="P48"/>
      <c r="Q48" s="7"/>
      <c r="R48" s="27" t="str">
        <f t="shared" si="0"/>
        <v/>
      </c>
      <c r="S48" s="27" t="str">
        <f>IF(SUM(COUNTIFS('11_18_11_24'!E:E,'11_18_11_24 Acc Rate'!C48,'11_18_11_24'!O:O,"*M*"),COUNTIFS('11_18_11_24'!E:E,'11_18_11_24 Acc Rate'!C48,'11_18_11_24'!R:R,"*M*"))=0,"",SUM(COUNTIFS('11_18_11_24'!E:E,'11_18_11_24 Acc Rate'!C48,'11_18_11_24'!O:O,"*M*"),COUNTIFS('11_18_11_24'!E:E,'11_18_11_24 Acc Rate'!C48,'11_18_11_24'!R:R,"*M*")))</f>
        <v/>
      </c>
      <c r="T48" s="1" t="str">
        <f>IF(SUM(COUNTIFS('11_18_11_24'!E:E,'11_18_11_24 Acc Rate'!C48,'11_18_11_24'!P:P,"*E*"),COUNTIFS('11_18_11_24'!E:E,'11_18_11_24 Acc Rate'!C48,'11_18_11_24'!S:S,"*E*"))=0,"",SUM(COUNTIFS('11_18_11_24'!E:E,'11_18_11_24 Acc Rate'!C48,'11_18_11_24'!P:P,"*E*"),COUNTIFS('11_18_11_24'!E:E,'11_18_11_24 Acc Rate'!C48,'11_18_11_24'!S:S,"*E*")))</f>
        <v/>
      </c>
      <c r="U48" s="8"/>
    </row>
    <row r="49" spans="5:21" ht="15" customHeight="1" x14ac:dyDescent="0.25">
      <c r="E49"/>
      <c r="F49"/>
      <c r="G49"/>
      <c r="H49"/>
      <c r="I49"/>
      <c r="J49"/>
      <c r="K49"/>
      <c r="L49"/>
      <c r="M49" t="s">
        <v>724</v>
      </c>
      <c r="N49"/>
      <c r="O49"/>
      <c r="P49"/>
      <c r="Q49" s="1">
        <f>SUM(Q3:Q47)</f>
        <v>0</v>
      </c>
      <c r="R49" s="27">
        <f>SUM(R3:R47)</f>
        <v>-7</v>
      </c>
      <c r="S49" s="27">
        <f>SUM(S3:S47)</f>
        <v>3</v>
      </c>
      <c r="T49" s="1">
        <f>SUM(T3:T47)</f>
        <v>4</v>
      </c>
      <c r="U49" s="2">
        <f>IFERROR(SUM(S48*8+T48*2)/Q48,0)</f>
        <v>0</v>
      </c>
    </row>
    <row r="50" spans="5:21" ht="15" customHeight="1" x14ac:dyDescent="0.25">
      <c r="E50"/>
      <c r="F50"/>
      <c r="G50"/>
      <c r="H50"/>
      <c r="I50"/>
      <c r="J50"/>
      <c r="K50"/>
      <c r="L50"/>
      <c r="M50"/>
      <c r="N50"/>
      <c r="O50"/>
      <c r="P50"/>
    </row>
  </sheetData>
  <mergeCells count="3">
    <mergeCell ref="W3:X3"/>
    <mergeCell ref="W7:X7"/>
    <mergeCell ref="W8:X8"/>
  </mergeCells>
  <conditionalFormatting sqref="B1:P1048576">
    <cfRule type="expression" dxfId="115" priority="6">
      <formula>$H1="Service Center"</formula>
    </cfRule>
    <cfRule type="expression" dxfId="114" priority="7">
      <formula>$H1="COBRA"</formula>
    </cfRule>
    <cfRule type="expression" dxfId="113" priority="8">
      <formula>$H1="Claims"</formula>
    </cfRule>
  </conditionalFormatting>
  <conditionalFormatting sqref="B1:U1048576">
    <cfRule type="expression" dxfId="112" priority="4">
      <formula>NOT(ISBLANK($B1))</formula>
    </cfRule>
    <cfRule type="expression" dxfId="111" priority="5">
      <formula>AND($H1="Service Center",$M1=15)</formula>
    </cfRule>
    <cfRule type="expression" dxfId="110" priority="9">
      <formula>$B1="Full Name"</formula>
    </cfRule>
    <cfRule type="expression" dxfId="109" priority="10">
      <formula>$M1="Totals"</formula>
    </cfRule>
  </conditionalFormatting>
  <conditionalFormatting sqref="Q2">
    <cfRule type="expression" dxfId="108" priority="1">
      <formula>$H2="Service Center"</formula>
    </cfRule>
    <cfRule type="expression" dxfId="107" priority="2">
      <formula>$H2="COBRA"</formula>
    </cfRule>
    <cfRule type="expression" dxfId="106" priority="3">
      <formula>$H2="Claims"</formula>
    </cfRule>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644B03-E820-44B9-A034-FC2C0081532F}">
  <dimension ref="A1:U162"/>
  <sheetViews>
    <sheetView topLeftCell="M27" workbookViewId="0">
      <selection activeCell="M132" sqref="M132"/>
    </sheetView>
  </sheetViews>
  <sheetFormatPr defaultRowHeight="15" x14ac:dyDescent="0.25"/>
  <cols>
    <col min="1" max="1" width="6.85546875" customWidth="1"/>
    <col min="2" max="2" width="9.7109375" customWidth="1"/>
    <col min="3" max="4" width="6.85546875" customWidth="1"/>
    <col min="5" max="6" width="15.7109375" customWidth="1"/>
    <col min="7" max="7" width="32.7109375" customWidth="1"/>
    <col min="8" max="9" width="15.7109375" customWidth="1"/>
    <col min="10" max="12" width="10.7109375" customWidth="1"/>
    <col min="13" max="13" width="13.7109375" style="21" customWidth="1"/>
    <col min="14" max="14" width="12.7109375" customWidth="1"/>
    <col min="15" max="16" width="10.7109375" customWidth="1"/>
    <col min="17" max="17" width="30.7109375" customWidth="1"/>
    <col min="18" max="19" width="17.7109375" customWidth="1"/>
    <col min="20" max="20" width="30.7109375" customWidth="1"/>
    <col min="21" max="21" width="8.7109375" customWidth="1"/>
  </cols>
  <sheetData>
    <row r="1" spans="1:21" ht="51" x14ac:dyDescent="0.25">
      <c r="A1" s="42" t="s">
        <v>0</v>
      </c>
      <c r="B1" s="42" t="s">
        <v>1</v>
      </c>
      <c r="C1" s="42" t="s">
        <v>2</v>
      </c>
      <c r="D1" s="42" t="s">
        <v>3</v>
      </c>
      <c r="E1" s="42" t="s">
        <v>4</v>
      </c>
      <c r="F1" s="42" t="s">
        <v>5</v>
      </c>
      <c r="G1" s="42" t="s">
        <v>6</v>
      </c>
      <c r="H1" s="42" t="s">
        <v>7</v>
      </c>
      <c r="I1" s="42" t="s">
        <v>8</v>
      </c>
      <c r="J1" s="42" t="s">
        <v>9</v>
      </c>
      <c r="K1" s="42" t="s">
        <v>10</v>
      </c>
      <c r="L1" s="42" t="s">
        <v>11</v>
      </c>
      <c r="M1" s="43" t="s">
        <v>12</v>
      </c>
      <c r="N1" s="42" t="s">
        <v>13</v>
      </c>
      <c r="O1" s="42" t="s">
        <v>14</v>
      </c>
      <c r="P1" s="42" t="s">
        <v>15</v>
      </c>
      <c r="Q1" s="42" t="s">
        <v>16</v>
      </c>
      <c r="R1" s="42" t="s">
        <v>17</v>
      </c>
      <c r="S1" s="42" t="s">
        <v>18</v>
      </c>
      <c r="T1" s="42" t="s">
        <v>16</v>
      </c>
      <c r="U1" s="44" t="s">
        <v>19</v>
      </c>
    </row>
    <row r="2" spans="1:21" ht="30" x14ac:dyDescent="0.25">
      <c r="A2" s="45" t="s">
        <v>20</v>
      </c>
      <c r="B2" s="46">
        <v>45758</v>
      </c>
      <c r="C2" s="45" t="s">
        <v>21</v>
      </c>
      <c r="D2" s="47"/>
      <c r="E2" s="45" t="s">
        <v>22</v>
      </c>
      <c r="F2" s="45" t="s">
        <v>23</v>
      </c>
      <c r="G2" s="45" t="s">
        <v>210</v>
      </c>
      <c r="H2" s="45" t="s">
        <v>2237</v>
      </c>
      <c r="I2" s="45" t="s">
        <v>2238</v>
      </c>
      <c r="J2" s="45">
        <v>518809747</v>
      </c>
      <c r="K2" s="45" t="s">
        <v>2239</v>
      </c>
      <c r="L2" s="48">
        <v>26.39</v>
      </c>
      <c r="M2" s="49">
        <v>20241127634</v>
      </c>
      <c r="N2" s="50"/>
      <c r="O2" s="50" t="s">
        <v>124</v>
      </c>
      <c r="P2" s="50"/>
      <c r="Q2" s="51" t="s">
        <v>2240</v>
      </c>
      <c r="R2" s="50"/>
      <c r="S2" s="50"/>
      <c r="T2" s="51"/>
      <c r="U2" s="50"/>
    </row>
    <row r="3" spans="1:21" ht="30" x14ac:dyDescent="0.25">
      <c r="A3" s="45" t="s">
        <v>20</v>
      </c>
      <c r="B3" s="46">
        <v>45758</v>
      </c>
      <c r="C3" s="45" t="s">
        <v>21</v>
      </c>
      <c r="D3" s="47"/>
      <c r="E3" s="45" t="s">
        <v>22</v>
      </c>
      <c r="F3" s="45" t="s">
        <v>23</v>
      </c>
      <c r="G3" s="45" t="s">
        <v>210</v>
      </c>
      <c r="H3" s="45" t="s">
        <v>2237</v>
      </c>
      <c r="I3" s="45" t="s">
        <v>2238</v>
      </c>
      <c r="J3" s="45">
        <v>518809747</v>
      </c>
      <c r="K3" s="45" t="s">
        <v>2098</v>
      </c>
      <c r="L3" s="48">
        <v>11.42</v>
      </c>
      <c r="M3" s="49">
        <v>20241127633</v>
      </c>
      <c r="N3" s="50" t="s">
        <v>28</v>
      </c>
      <c r="O3" s="50"/>
      <c r="P3" s="50"/>
      <c r="Q3" s="51" t="s">
        <v>2241</v>
      </c>
      <c r="R3" s="50"/>
      <c r="S3" s="50"/>
      <c r="T3" s="51"/>
      <c r="U3" s="50"/>
    </row>
    <row r="4" spans="1:21" ht="90" x14ac:dyDescent="0.25">
      <c r="A4" s="45" t="s">
        <v>20</v>
      </c>
      <c r="B4" s="46">
        <v>45758</v>
      </c>
      <c r="C4" s="45" t="s">
        <v>21</v>
      </c>
      <c r="D4" s="47"/>
      <c r="E4" s="45" t="s">
        <v>22</v>
      </c>
      <c r="F4" s="45" t="s">
        <v>23</v>
      </c>
      <c r="G4" s="45" t="s">
        <v>210</v>
      </c>
      <c r="H4" s="45" t="s">
        <v>2237</v>
      </c>
      <c r="I4" s="45" t="s">
        <v>2238</v>
      </c>
      <c r="J4" s="45">
        <v>518809747</v>
      </c>
      <c r="K4" s="45" t="s">
        <v>392</v>
      </c>
      <c r="L4" s="48">
        <v>658.6</v>
      </c>
      <c r="M4" s="49">
        <v>20241127628</v>
      </c>
      <c r="N4" s="50"/>
      <c r="O4" s="50" t="s">
        <v>124</v>
      </c>
      <c r="P4" s="50"/>
      <c r="Q4" s="51" t="s">
        <v>2242</v>
      </c>
      <c r="R4" s="50"/>
      <c r="S4" s="50"/>
      <c r="T4" s="51"/>
      <c r="U4" s="50"/>
    </row>
    <row r="5" spans="1:21" ht="30" x14ac:dyDescent="0.25">
      <c r="A5" s="45" t="s">
        <v>20</v>
      </c>
      <c r="B5" s="46">
        <v>45758</v>
      </c>
      <c r="C5" s="45" t="s">
        <v>21</v>
      </c>
      <c r="D5" s="47"/>
      <c r="E5" s="45" t="s">
        <v>22</v>
      </c>
      <c r="F5" s="45" t="s">
        <v>23</v>
      </c>
      <c r="G5" s="45" t="s">
        <v>210</v>
      </c>
      <c r="H5" s="45" t="s">
        <v>2237</v>
      </c>
      <c r="I5" s="45" t="s">
        <v>2238</v>
      </c>
      <c r="J5" s="45">
        <v>518809747</v>
      </c>
      <c r="K5" s="45" t="s">
        <v>2125</v>
      </c>
      <c r="L5" s="48">
        <v>32.17</v>
      </c>
      <c r="M5" s="49">
        <v>20241127629</v>
      </c>
      <c r="N5" s="50" t="s">
        <v>28</v>
      </c>
      <c r="O5" s="50"/>
      <c r="P5" s="50"/>
      <c r="Q5" s="51" t="s">
        <v>2243</v>
      </c>
      <c r="R5" s="50"/>
      <c r="S5" s="50"/>
      <c r="T5" s="51"/>
      <c r="U5" s="50"/>
    </row>
    <row r="6" spans="1:21" x14ac:dyDescent="0.25">
      <c r="A6" s="45" t="s">
        <v>20</v>
      </c>
      <c r="B6" s="46">
        <v>45758</v>
      </c>
      <c r="C6" s="45" t="s">
        <v>21</v>
      </c>
      <c r="D6" s="47"/>
      <c r="E6" s="45" t="s">
        <v>22</v>
      </c>
      <c r="F6" s="45" t="s">
        <v>23</v>
      </c>
      <c r="G6" s="45" t="s">
        <v>210</v>
      </c>
      <c r="H6" s="45" t="s">
        <v>2237</v>
      </c>
      <c r="I6" s="45" t="s">
        <v>2238</v>
      </c>
      <c r="J6" s="45">
        <v>518809747</v>
      </c>
      <c r="K6" s="45" t="s">
        <v>370</v>
      </c>
      <c r="L6" s="48">
        <v>50</v>
      </c>
      <c r="M6" s="49">
        <v>20241127630</v>
      </c>
      <c r="N6" s="50" t="s">
        <v>28</v>
      </c>
      <c r="O6" s="50"/>
      <c r="P6" s="50"/>
      <c r="Q6" s="51"/>
      <c r="R6" s="50"/>
      <c r="S6" s="50"/>
      <c r="T6" s="51"/>
      <c r="U6" s="50"/>
    </row>
    <row r="7" spans="1:21" x14ac:dyDescent="0.25">
      <c r="A7" s="45" t="s">
        <v>20</v>
      </c>
      <c r="B7" s="46">
        <v>45758</v>
      </c>
      <c r="C7" s="45" t="s">
        <v>21</v>
      </c>
      <c r="D7" s="47"/>
      <c r="E7" s="45" t="s">
        <v>22</v>
      </c>
      <c r="F7" s="45" t="s">
        <v>23</v>
      </c>
      <c r="G7" s="45" t="s">
        <v>210</v>
      </c>
      <c r="H7" s="45" t="s">
        <v>2237</v>
      </c>
      <c r="I7" s="45" t="s">
        <v>2238</v>
      </c>
      <c r="J7" s="45">
        <v>518809747</v>
      </c>
      <c r="K7" s="45" t="s">
        <v>83</v>
      </c>
      <c r="L7" s="48">
        <v>225</v>
      </c>
      <c r="M7" s="49">
        <v>20241127632</v>
      </c>
      <c r="N7" s="50" t="s">
        <v>28</v>
      </c>
      <c r="O7" s="50"/>
      <c r="P7" s="50"/>
      <c r="Q7" s="51"/>
      <c r="R7" s="50"/>
      <c r="S7" s="50"/>
      <c r="T7" s="51"/>
      <c r="U7" s="50"/>
    </row>
    <row r="8" spans="1:21" x14ac:dyDescent="0.25">
      <c r="A8" s="45" t="s">
        <v>20</v>
      </c>
      <c r="B8" s="46">
        <v>45762</v>
      </c>
      <c r="C8" s="45" t="s">
        <v>244</v>
      </c>
      <c r="D8" s="47" t="s">
        <v>175</v>
      </c>
      <c r="E8" s="45" t="s">
        <v>22</v>
      </c>
      <c r="F8" s="45" t="s">
        <v>23</v>
      </c>
      <c r="G8" s="45" t="s">
        <v>210</v>
      </c>
      <c r="H8" s="45" t="s">
        <v>2237</v>
      </c>
      <c r="I8" s="45" t="s">
        <v>2238</v>
      </c>
      <c r="J8" s="45">
        <v>518809747</v>
      </c>
      <c r="K8" s="45" t="s">
        <v>1750</v>
      </c>
      <c r="L8" s="48">
        <v>40</v>
      </c>
      <c r="M8" s="49">
        <v>20241127665</v>
      </c>
      <c r="N8" s="50" t="s">
        <v>13</v>
      </c>
      <c r="O8" s="50"/>
      <c r="P8" s="50"/>
      <c r="Q8" s="51"/>
      <c r="R8" s="50"/>
      <c r="S8" s="50"/>
      <c r="T8" s="51"/>
      <c r="U8" s="50"/>
    </row>
    <row r="9" spans="1:21" x14ac:dyDescent="0.25">
      <c r="A9" s="45" t="s">
        <v>20</v>
      </c>
      <c r="B9" s="46">
        <v>45762</v>
      </c>
      <c r="C9" s="45" t="s">
        <v>244</v>
      </c>
      <c r="D9" s="47" t="s">
        <v>175</v>
      </c>
      <c r="E9" s="45" t="s">
        <v>22</v>
      </c>
      <c r="F9" s="45" t="s">
        <v>23</v>
      </c>
      <c r="G9" s="45" t="s">
        <v>210</v>
      </c>
      <c r="H9" s="45" t="s">
        <v>2237</v>
      </c>
      <c r="I9" s="45" t="s">
        <v>2238</v>
      </c>
      <c r="J9" s="45">
        <v>518809747</v>
      </c>
      <c r="K9" s="45" t="s">
        <v>1930</v>
      </c>
      <c r="L9" s="48">
        <v>40</v>
      </c>
      <c r="M9" s="49">
        <v>20241127666</v>
      </c>
      <c r="N9" s="50" t="s">
        <v>13</v>
      </c>
      <c r="O9" s="50"/>
      <c r="P9" s="50"/>
      <c r="Q9" s="51"/>
      <c r="R9" s="50"/>
      <c r="S9" s="50"/>
      <c r="T9" s="51"/>
      <c r="U9" s="50"/>
    </row>
    <row r="10" spans="1:21" ht="45" x14ac:dyDescent="0.25">
      <c r="A10" s="45" t="s">
        <v>20</v>
      </c>
      <c r="B10" s="46">
        <v>45762</v>
      </c>
      <c r="C10" s="45" t="s">
        <v>244</v>
      </c>
      <c r="D10" s="47" t="s">
        <v>175</v>
      </c>
      <c r="E10" s="45" t="s">
        <v>22</v>
      </c>
      <c r="F10" s="45" t="s">
        <v>23</v>
      </c>
      <c r="G10" s="45" t="s">
        <v>210</v>
      </c>
      <c r="H10" s="45" t="s">
        <v>2237</v>
      </c>
      <c r="I10" s="45" t="s">
        <v>2238</v>
      </c>
      <c r="J10" s="45">
        <v>518809747</v>
      </c>
      <c r="K10" s="45" t="s">
        <v>2244</v>
      </c>
      <c r="L10" s="48">
        <v>13.57</v>
      </c>
      <c r="M10" s="49">
        <v>20241127668</v>
      </c>
      <c r="N10" s="50" t="s">
        <v>13</v>
      </c>
      <c r="O10" s="50"/>
      <c r="P10" s="50"/>
      <c r="Q10" s="51" t="s">
        <v>2245</v>
      </c>
      <c r="R10" s="50"/>
      <c r="S10" s="50"/>
      <c r="T10" s="51"/>
      <c r="U10" s="50"/>
    </row>
    <row r="11" spans="1:21" x14ac:dyDescent="0.25">
      <c r="A11" s="45" t="s">
        <v>20</v>
      </c>
      <c r="B11" s="46">
        <v>45762</v>
      </c>
      <c r="C11" s="45" t="s">
        <v>244</v>
      </c>
      <c r="D11" s="47" t="s">
        <v>175</v>
      </c>
      <c r="E11" s="45" t="s">
        <v>22</v>
      </c>
      <c r="F11" s="45" t="s">
        <v>23</v>
      </c>
      <c r="G11" s="45" t="s">
        <v>210</v>
      </c>
      <c r="H11" s="45" t="s">
        <v>2237</v>
      </c>
      <c r="I11" s="45" t="s">
        <v>2238</v>
      </c>
      <c r="J11" s="45">
        <v>518809747</v>
      </c>
      <c r="K11" s="45" t="s">
        <v>392</v>
      </c>
      <c r="L11" s="48">
        <v>226.4</v>
      </c>
      <c r="M11" s="49">
        <v>20241127627</v>
      </c>
      <c r="N11" s="50" t="s">
        <v>13</v>
      </c>
      <c r="O11" s="50"/>
      <c r="P11" s="50"/>
      <c r="Q11" s="51"/>
      <c r="R11" s="50"/>
      <c r="S11" s="50"/>
      <c r="T11" s="51"/>
      <c r="U11" s="50"/>
    </row>
    <row r="12" spans="1:21" x14ac:dyDescent="0.25">
      <c r="A12" s="45" t="s">
        <v>20</v>
      </c>
      <c r="B12" s="46">
        <v>45762</v>
      </c>
      <c r="C12" s="45" t="s">
        <v>244</v>
      </c>
      <c r="D12" s="47" t="s">
        <v>175</v>
      </c>
      <c r="E12" s="45" t="s">
        <v>22</v>
      </c>
      <c r="F12" s="45" t="s">
        <v>23</v>
      </c>
      <c r="G12" s="45" t="s">
        <v>210</v>
      </c>
      <c r="H12" s="45" t="s">
        <v>2237</v>
      </c>
      <c r="I12" s="45" t="s">
        <v>2238</v>
      </c>
      <c r="J12" s="45">
        <v>518809747</v>
      </c>
      <c r="K12" s="45" t="s">
        <v>59</v>
      </c>
      <c r="L12" s="48">
        <v>247</v>
      </c>
      <c r="M12" s="49">
        <v>20241127631</v>
      </c>
      <c r="N12" s="50" t="s">
        <v>13</v>
      </c>
      <c r="O12" s="50"/>
      <c r="P12" s="50"/>
      <c r="Q12" s="51"/>
      <c r="R12" s="50"/>
      <c r="S12" s="50"/>
      <c r="T12" s="51"/>
      <c r="U12" s="50"/>
    </row>
    <row r="13" spans="1:21" x14ac:dyDescent="0.25">
      <c r="A13" s="45" t="s">
        <v>20</v>
      </c>
      <c r="B13" s="46">
        <v>45762</v>
      </c>
      <c r="C13" s="45" t="s">
        <v>244</v>
      </c>
      <c r="D13" s="47" t="s">
        <v>175</v>
      </c>
      <c r="E13" s="45" t="s">
        <v>22</v>
      </c>
      <c r="F13" s="45" t="s">
        <v>23</v>
      </c>
      <c r="G13" s="45" t="s">
        <v>210</v>
      </c>
      <c r="H13" s="45" t="s">
        <v>2237</v>
      </c>
      <c r="I13" s="45" t="s">
        <v>2238</v>
      </c>
      <c r="J13" s="45">
        <v>518809747</v>
      </c>
      <c r="K13" s="45" t="s">
        <v>270</v>
      </c>
      <c r="L13" s="48">
        <v>40</v>
      </c>
      <c r="M13" s="49">
        <v>20241127667</v>
      </c>
      <c r="N13" s="50" t="s">
        <v>13</v>
      </c>
      <c r="O13" s="50"/>
      <c r="P13" s="50"/>
      <c r="Q13" s="51"/>
      <c r="R13" s="50"/>
      <c r="S13" s="50"/>
      <c r="T13" s="51"/>
      <c r="U13" s="50"/>
    </row>
    <row r="14" spans="1:21" x14ac:dyDescent="0.25">
      <c r="A14" s="45" t="s">
        <v>20</v>
      </c>
      <c r="B14" s="46">
        <v>45762</v>
      </c>
      <c r="C14" s="45" t="s">
        <v>244</v>
      </c>
      <c r="D14" s="47" t="s">
        <v>175</v>
      </c>
      <c r="E14" s="45" t="s">
        <v>22</v>
      </c>
      <c r="F14" s="45" t="s">
        <v>23</v>
      </c>
      <c r="G14" s="45" t="s">
        <v>30</v>
      </c>
      <c r="H14" s="45" t="s">
        <v>2246</v>
      </c>
      <c r="I14" s="45" t="s">
        <v>2247</v>
      </c>
      <c r="J14" s="45">
        <v>523279903</v>
      </c>
      <c r="K14" s="45" t="s">
        <v>1265</v>
      </c>
      <c r="L14" s="48">
        <v>102.67</v>
      </c>
      <c r="M14" s="49">
        <v>20241125946</v>
      </c>
      <c r="N14" s="50" t="s">
        <v>13</v>
      </c>
      <c r="O14" s="50"/>
      <c r="P14" s="50"/>
      <c r="Q14" s="51"/>
      <c r="R14" s="50"/>
      <c r="S14" s="50"/>
      <c r="T14" s="51"/>
      <c r="U14" s="50"/>
    </row>
    <row r="15" spans="1:21" x14ac:dyDescent="0.25">
      <c r="A15" s="45" t="s">
        <v>20</v>
      </c>
      <c r="B15" s="46">
        <v>45762</v>
      </c>
      <c r="C15" s="45" t="s">
        <v>244</v>
      </c>
      <c r="D15" s="47" t="s">
        <v>175</v>
      </c>
      <c r="E15" s="45" t="s">
        <v>22</v>
      </c>
      <c r="F15" s="45" t="s">
        <v>23</v>
      </c>
      <c r="G15" s="45" t="s">
        <v>2248</v>
      </c>
      <c r="H15" s="45" t="s">
        <v>1250</v>
      </c>
      <c r="I15" s="45" t="s">
        <v>2249</v>
      </c>
      <c r="J15" s="45">
        <v>528706836</v>
      </c>
      <c r="K15" s="45" t="s">
        <v>195</v>
      </c>
      <c r="L15" s="48">
        <v>315</v>
      </c>
      <c r="M15" s="49">
        <v>20241126642</v>
      </c>
      <c r="N15" s="50" t="s">
        <v>13</v>
      </c>
      <c r="O15" s="50"/>
      <c r="P15" s="50"/>
      <c r="Q15" s="51"/>
      <c r="R15" s="50"/>
      <c r="S15" s="50"/>
      <c r="T15" s="51"/>
      <c r="U15" s="50"/>
    </row>
    <row r="16" spans="1:21" x14ac:dyDescent="0.25">
      <c r="A16" s="45" t="s">
        <v>20</v>
      </c>
      <c r="B16" s="46">
        <v>45762</v>
      </c>
      <c r="C16" s="45" t="s">
        <v>244</v>
      </c>
      <c r="D16" s="47" t="s">
        <v>175</v>
      </c>
      <c r="E16" s="45" t="s">
        <v>22</v>
      </c>
      <c r="F16" s="45" t="s">
        <v>23</v>
      </c>
      <c r="G16" s="45" t="s">
        <v>2248</v>
      </c>
      <c r="H16" s="45" t="s">
        <v>1250</v>
      </c>
      <c r="I16" s="45" t="s">
        <v>2249</v>
      </c>
      <c r="J16" s="45">
        <v>528706836</v>
      </c>
      <c r="K16" s="45" t="s">
        <v>1806</v>
      </c>
      <c r="L16" s="48">
        <v>315</v>
      </c>
      <c r="M16" s="49">
        <v>20241126643</v>
      </c>
      <c r="N16" s="50" t="s">
        <v>13</v>
      </c>
      <c r="O16" s="50"/>
      <c r="P16" s="50"/>
      <c r="Q16" s="51"/>
      <c r="R16" s="50"/>
      <c r="S16" s="50"/>
      <c r="T16" s="51"/>
      <c r="U16" s="50"/>
    </row>
    <row r="17" spans="1:21" x14ac:dyDescent="0.25">
      <c r="A17" s="45" t="s">
        <v>20</v>
      </c>
      <c r="B17" s="46">
        <v>45762</v>
      </c>
      <c r="C17" s="45" t="s">
        <v>244</v>
      </c>
      <c r="D17" s="47" t="s">
        <v>168</v>
      </c>
      <c r="E17" s="45" t="s">
        <v>64</v>
      </c>
      <c r="F17" s="45" t="s">
        <v>65</v>
      </c>
      <c r="G17" s="45" t="s">
        <v>98</v>
      </c>
      <c r="H17" s="45" t="s">
        <v>919</v>
      </c>
      <c r="I17" s="45" t="s">
        <v>2250</v>
      </c>
      <c r="J17" s="45">
        <v>575177221</v>
      </c>
      <c r="K17" s="45" t="s">
        <v>1187</v>
      </c>
      <c r="L17" s="48">
        <v>412.57</v>
      </c>
      <c r="M17" s="49">
        <v>20241125743</v>
      </c>
      <c r="N17" s="50" t="s">
        <v>28</v>
      </c>
      <c r="O17" s="50"/>
      <c r="P17" s="50"/>
      <c r="Q17" s="51"/>
      <c r="R17" s="50"/>
      <c r="S17" s="50"/>
      <c r="T17" s="51"/>
      <c r="U17" s="50"/>
    </row>
    <row r="18" spans="1:21" x14ac:dyDescent="0.25">
      <c r="A18" s="45" t="s">
        <v>20</v>
      </c>
      <c r="B18" s="46">
        <v>45762</v>
      </c>
      <c r="C18" s="45" t="s">
        <v>244</v>
      </c>
      <c r="D18" s="47" t="s">
        <v>168</v>
      </c>
      <c r="E18" s="45" t="s">
        <v>64</v>
      </c>
      <c r="F18" s="45" t="s">
        <v>65</v>
      </c>
      <c r="G18" s="45" t="s">
        <v>77</v>
      </c>
      <c r="H18" s="45" t="s">
        <v>78</v>
      </c>
      <c r="I18" s="45" t="s">
        <v>79</v>
      </c>
      <c r="J18" s="45">
        <v>575390441</v>
      </c>
      <c r="K18" s="45" t="s">
        <v>2125</v>
      </c>
      <c r="L18" s="48">
        <v>270.83999999999997</v>
      </c>
      <c r="M18" s="49">
        <v>20241125894</v>
      </c>
      <c r="N18" s="50" t="s">
        <v>28</v>
      </c>
      <c r="O18" s="50"/>
      <c r="P18" s="50"/>
      <c r="Q18" s="51"/>
      <c r="R18" s="50"/>
      <c r="S18" s="50"/>
      <c r="T18" s="51"/>
      <c r="U18" s="50"/>
    </row>
    <row r="19" spans="1:21" x14ac:dyDescent="0.25">
      <c r="A19" s="45" t="s">
        <v>29</v>
      </c>
      <c r="B19" s="46">
        <v>45762</v>
      </c>
      <c r="C19" s="45" t="s">
        <v>244</v>
      </c>
      <c r="D19" s="47" t="s">
        <v>168</v>
      </c>
      <c r="E19" s="45" t="s">
        <v>64</v>
      </c>
      <c r="F19" s="45" t="s">
        <v>65</v>
      </c>
      <c r="G19" s="45" t="s">
        <v>1339</v>
      </c>
      <c r="H19" s="45" t="s">
        <v>2251</v>
      </c>
      <c r="I19" s="45" t="s">
        <v>2252</v>
      </c>
      <c r="J19" s="45">
        <v>575659274</v>
      </c>
      <c r="K19" s="45" t="s">
        <v>184</v>
      </c>
      <c r="L19" s="48">
        <v>1529.58</v>
      </c>
      <c r="M19" s="49">
        <v>20241125565</v>
      </c>
      <c r="N19" s="50" t="s">
        <v>28</v>
      </c>
      <c r="O19" s="50"/>
      <c r="P19" s="50"/>
      <c r="Q19" s="51"/>
      <c r="R19" s="50"/>
      <c r="S19" s="50"/>
      <c r="T19" s="51"/>
      <c r="U19" s="50"/>
    </row>
    <row r="20" spans="1:21" ht="60" x14ac:dyDescent="0.25">
      <c r="A20" s="45" t="s">
        <v>70</v>
      </c>
      <c r="B20" s="46">
        <v>45762</v>
      </c>
      <c r="C20" s="45" t="s">
        <v>244</v>
      </c>
      <c r="D20" s="47" t="s">
        <v>168</v>
      </c>
      <c r="E20" s="45" t="s">
        <v>64</v>
      </c>
      <c r="F20" s="45" t="s">
        <v>65</v>
      </c>
      <c r="G20" s="45" t="s">
        <v>98</v>
      </c>
      <c r="H20" s="45" t="s">
        <v>345</v>
      </c>
      <c r="I20" s="45" t="s">
        <v>2253</v>
      </c>
      <c r="J20" s="45">
        <v>575705117</v>
      </c>
      <c r="K20" s="45" t="s">
        <v>1219</v>
      </c>
      <c r="L20" s="48">
        <v>50</v>
      </c>
      <c r="M20" s="49">
        <v>20241126422</v>
      </c>
      <c r="N20" s="50"/>
      <c r="O20" s="50"/>
      <c r="P20" s="50" t="s">
        <v>304</v>
      </c>
      <c r="Q20" s="51" t="s">
        <v>2254</v>
      </c>
      <c r="R20" s="50"/>
      <c r="S20" s="50"/>
      <c r="T20" s="51"/>
      <c r="U20" s="50"/>
    </row>
    <row r="21" spans="1:21" ht="60" x14ac:dyDescent="0.25">
      <c r="A21" s="45" t="s">
        <v>70</v>
      </c>
      <c r="B21" s="46">
        <v>45762</v>
      </c>
      <c r="C21" s="45" t="s">
        <v>244</v>
      </c>
      <c r="D21" s="47" t="s">
        <v>168</v>
      </c>
      <c r="E21" s="45" t="s">
        <v>64</v>
      </c>
      <c r="F21" s="45" t="s">
        <v>65</v>
      </c>
      <c r="G21" s="45" t="s">
        <v>98</v>
      </c>
      <c r="H21" s="45" t="s">
        <v>345</v>
      </c>
      <c r="I21" s="45" t="s">
        <v>2253</v>
      </c>
      <c r="J21" s="45">
        <v>575705117</v>
      </c>
      <c r="K21" s="45" t="s">
        <v>2255</v>
      </c>
      <c r="L21" s="48">
        <v>50</v>
      </c>
      <c r="M21" s="49">
        <v>20241125735</v>
      </c>
      <c r="N21" s="50" t="s">
        <v>28</v>
      </c>
      <c r="O21" s="50"/>
      <c r="P21" s="50"/>
      <c r="Q21" s="51" t="s">
        <v>2256</v>
      </c>
      <c r="R21" s="50"/>
      <c r="S21" s="50"/>
      <c r="T21" s="51"/>
      <c r="U21" s="50"/>
    </row>
    <row r="22" spans="1:21" x14ac:dyDescent="0.25">
      <c r="A22" s="45" t="s">
        <v>20</v>
      </c>
      <c r="B22" s="46">
        <v>45762</v>
      </c>
      <c r="C22" s="45" t="s">
        <v>34</v>
      </c>
      <c r="D22" s="47"/>
      <c r="E22" s="45" t="s">
        <v>64</v>
      </c>
      <c r="F22" s="45" t="s">
        <v>65</v>
      </c>
      <c r="G22" s="45" t="s">
        <v>98</v>
      </c>
      <c r="H22" s="45" t="s">
        <v>2257</v>
      </c>
      <c r="I22" s="45" t="s">
        <v>2258</v>
      </c>
      <c r="J22" s="45">
        <v>575768750</v>
      </c>
      <c r="K22" s="45" t="s">
        <v>918</v>
      </c>
      <c r="L22" s="48">
        <v>2.87</v>
      </c>
      <c r="M22" s="49">
        <v>20241125728</v>
      </c>
      <c r="N22" s="50" t="s">
        <v>28</v>
      </c>
      <c r="O22" s="50"/>
      <c r="P22" s="50"/>
      <c r="Q22" s="51"/>
      <c r="R22" s="50"/>
      <c r="S22" s="50"/>
      <c r="T22" s="51"/>
      <c r="U22" s="50"/>
    </row>
    <row r="23" spans="1:21" x14ac:dyDescent="0.25">
      <c r="A23" s="45" t="s">
        <v>20</v>
      </c>
      <c r="B23" s="46">
        <v>45762</v>
      </c>
      <c r="C23" s="45" t="s">
        <v>34</v>
      </c>
      <c r="D23" s="47"/>
      <c r="E23" s="45" t="s">
        <v>64</v>
      </c>
      <c r="F23" s="45" t="s">
        <v>65</v>
      </c>
      <c r="G23" s="45" t="s">
        <v>98</v>
      </c>
      <c r="H23" s="45" t="s">
        <v>2257</v>
      </c>
      <c r="I23" s="45" t="s">
        <v>2258</v>
      </c>
      <c r="J23" s="45">
        <v>575768750</v>
      </c>
      <c r="K23" s="45" t="s">
        <v>2142</v>
      </c>
      <c r="L23" s="48">
        <v>75</v>
      </c>
      <c r="M23" s="49">
        <v>20241125732</v>
      </c>
      <c r="N23" s="50" t="s">
        <v>28</v>
      </c>
      <c r="O23" s="50"/>
      <c r="P23" s="50"/>
      <c r="Q23" s="51"/>
      <c r="R23" s="50"/>
      <c r="S23" s="50"/>
      <c r="T23" s="51"/>
      <c r="U23" s="50"/>
    </row>
    <row r="24" spans="1:21" x14ac:dyDescent="0.25">
      <c r="A24" s="45" t="s">
        <v>20</v>
      </c>
      <c r="B24" s="46">
        <v>45762</v>
      </c>
      <c r="C24" s="45" t="s">
        <v>34</v>
      </c>
      <c r="D24" s="47"/>
      <c r="E24" s="45" t="s">
        <v>64</v>
      </c>
      <c r="F24" s="45" t="s">
        <v>65</v>
      </c>
      <c r="G24" s="45" t="s">
        <v>98</v>
      </c>
      <c r="H24" s="45" t="s">
        <v>2257</v>
      </c>
      <c r="I24" s="45" t="s">
        <v>2258</v>
      </c>
      <c r="J24" s="45">
        <v>575768750</v>
      </c>
      <c r="K24" s="45" t="s">
        <v>2142</v>
      </c>
      <c r="L24" s="48">
        <v>200.5</v>
      </c>
      <c r="M24" s="49">
        <v>20241125742</v>
      </c>
      <c r="N24" s="50" t="s">
        <v>28</v>
      </c>
      <c r="O24" s="50"/>
      <c r="P24" s="50"/>
      <c r="Q24" s="51"/>
      <c r="R24" s="50"/>
      <c r="S24" s="50"/>
      <c r="T24" s="51"/>
      <c r="U24" s="50"/>
    </row>
    <row r="25" spans="1:21" x14ac:dyDescent="0.25">
      <c r="A25" s="45" t="s">
        <v>20</v>
      </c>
      <c r="B25" s="46">
        <v>45762</v>
      </c>
      <c r="C25" s="45" t="s">
        <v>34</v>
      </c>
      <c r="D25" s="47"/>
      <c r="E25" s="45" t="s">
        <v>64</v>
      </c>
      <c r="F25" s="45" t="s">
        <v>65</v>
      </c>
      <c r="G25" s="45" t="s">
        <v>98</v>
      </c>
      <c r="H25" s="45" t="s">
        <v>2257</v>
      </c>
      <c r="I25" s="45" t="s">
        <v>2258</v>
      </c>
      <c r="J25" s="45">
        <v>575768750</v>
      </c>
      <c r="K25" s="45" t="s">
        <v>2142</v>
      </c>
      <c r="L25" s="48">
        <v>169.21</v>
      </c>
      <c r="M25" s="49">
        <v>20241125725</v>
      </c>
      <c r="N25" s="50" t="s">
        <v>28</v>
      </c>
      <c r="O25" s="50"/>
      <c r="P25" s="50"/>
      <c r="Q25" s="51"/>
      <c r="R25" s="50"/>
      <c r="S25" s="50"/>
      <c r="T25" s="51"/>
      <c r="U25" s="50"/>
    </row>
    <row r="26" spans="1:21" x14ac:dyDescent="0.25">
      <c r="A26" s="45" t="s">
        <v>29</v>
      </c>
      <c r="B26" s="46">
        <v>45762</v>
      </c>
      <c r="C26" s="45" t="s">
        <v>34</v>
      </c>
      <c r="D26" s="47"/>
      <c r="E26" s="45" t="s">
        <v>64</v>
      </c>
      <c r="F26" s="45" t="s">
        <v>65</v>
      </c>
      <c r="G26" s="45" t="s">
        <v>2259</v>
      </c>
      <c r="H26" s="45" t="s">
        <v>2260</v>
      </c>
      <c r="I26" s="45" t="s">
        <v>2261</v>
      </c>
      <c r="J26" s="45">
        <v>575782917</v>
      </c>
      <c r="K26" s="45" t="s">
        <v>56</v>
      </c>
      <c r="L26" s="48">
        <v>868</v>
      </c>
      <c r="M26" s="49">
        <v>20241125842</v>
      </c>
      <c r="N26" s="50" t="s">
        <v>28</v>
      </c>
      <c r="O26" s="50"/>
      <c r="P26" s="50"/>
      <c r="Q26" s="51"/>
      <c r="R26" s="50"/>
      <c r="S26" s="50"/>
      <c r="T26" s="51"/>
      <c r="U26" s="50"/>
    </row>
    <row r="27" spans="1:21" x14ac:dyDescent="0.25">
      <c r="A27" s="45" t="s">
        <v>70</v>
      </c>
      <c r="B27" s="46">
        <v>45762</v>
      </c>
      <c r="C27" s="45" t="s">
        <v>34</v>
      </c>
      <c r="D27" s="47"/>
      <c r="E27" s="45" t="s">
        <v>64</v>
      </c>
      <c r="F27" s="45" t="s">
        <v>65</v>
      </c>
      <c r="G27" s="45" t="s">
        <v>71</v>
      </c>
      <c r="H27" s="45" t="s">
        <v>2262</v>
      </c>
      <c r="I27" s="45" t="s">
        <v>2263</v>
      </c>
      <c r="J27" s="45">
        <v>575865147</v>
      </c>
      <c r="K27" s="45" t="s">
        <v>1358</v>
      </c>
      <c r="L27" s="48">
        <v>108.25</v>
      </c>
      <c r="M27" s="49">
        <v>20241125450</v>
      </c>
      <c r="N27" s="50" t="s">
        <v>28</v>
      </c>
      <c r="O27" s="50"/>
      <c r="P27" s="50"/>
      <c r="Q27" s="51"/>
      <c r="R27" s="50"/>
      <c r="S27" s="50"/>
      <c r="T27" s="51"/>
      <c r="U27" s="50"/>
    </row>
    <row r="28" spans="1:21" x14ac:dyDescent="0.25">
      <c r="A28" s="45" t="s">
        <v>70</v>
      </c>
      <c r="B28" s="46">
        <v>45762</v>
      </c>
      <c r="C28" s="45" t="s">
        <v>34</v>
      </c>
      <c r="D28" s="47"/>
      <c r="E28" s="45" t="s">
        <v>64</v>
      </c>
      <c r="F28" s="45" t="s">
        <v>65</v>
      </c>
      <c r="G28" s="45" t="s">
        <v>71</v>
      </c>
      <c r="H28" s="45" t="s">
        <v>616</v>
      </c>
      <c r="I28" s="45" t="s">
        <v>2264</v>
      </c>
      <c r="J28" s="45">
        <v>576045271</v>
      </c>
      <c r="K28" s="45" t="s">
        <v>1358</v>
      </c>
      <c r="L28" s="48">
        <v>98</v>
      </c>
      <c r="M28" s="49">
        <v>20241125457</v>
      </c>
      <c r="N28" s="50" t="s">
        <v>28</v>
      </c>
      <c r="O28" s="50"/>
      <c r="P28" s="50"/>
      <c r="Q28" s="51"/>
      <c r="R28" s="50"/>
      <c r="S28" s="50"/>
      <c r="T28" s="51"/>
      <c r="U28" s="50"/>
    </row>
    <row r="29" spans="1:21" ht="25.5" x14ac:dyDescent="0.25">
      <c r="A29" s="45" t="s">
        <v>20</v>
      </c>
      <c r="B29" s="46">
        <v>45762</v>
      </c>
      <c r="C29" s="45" t="s">
        <v>34</v>
      </c>
      <c r="D29" s="47"/>
      <c r="E29" s="45" t="s">
        <v>64</v>
      </c>
      <c r="F29" s="45" t="s">
        <v>65</v>
      </c>
      <c r="G29" s="45" t="s">
        <v>2265</v>
      </c>
      <c r="H29" s="45" t="s">
        <v>2266</v>
      </c>
      <c r="I29" s="45" t="s">
        <v>2267</v>
      </c>
      <c r="J29" s="45">
        <v>576259853</v>
      </c>
      <c r="K29" s="45" t="s">
        <v>1115</v>
      </c>
      <c r="L29" s="48">
        <v>11.61</v>
      </c>
      <c r="M29" s="49">
        <v>20241126600</v>
      </c>
      <c r="N29" s="50" t="s">
        <v>28</v>
      </c>
      <c r="O29" s="50"/>
      <c r="P29" s="50"/>
      <c r="Q29" s="51"/>
      <c r="R29" s="50"/>
      <c r="S29" s="50"/>
      <c r="T29" s="51"/>
      <c r="U29" s="50"/>
    </row>
    <row r="30" spans="1:21" ht="25.5" x14ac:dyDescent="0.25">
      <c r="A30" s="45" t="s">
        <v>20</v>
      </c>
      <c r="B30" s="46">
        <v>45762</v>
      </c>
      <c r="C30" s="45" t="s">
        <v>34</v>
      </c>
      <c r="D30" s="47"/>
      <c r="E30" s="45" t="s">
        <v>64</v>
      </c>
      <c r="F30" s="45" t="s">
        <v>65</v>
      </c>
      <c r="G30" s="45" t="s">
        <v>2265</v>
      </c>
      <c r="H30" s="45" t="s">
        <v>2266</v>
      </c>
      <c r="I30" s="45" t="s">
        <v>2267</v>
      </c>
      <c r="J30" s="45">
        <v>576259853</v>
      </c>
      <c r="K30" s="45" t="s">
        <v>370</v>
      </c>
      <c r="L30" s="48">
        <v>9.77</v>
      </c>
      <c r="M30" s="49">
        <v>20241126603</v>
      </c>
      <c r="N30" s="50" t="s">
        <v>28</v>
      </c>
      <c r="O30" s="50"/>
      <c r="P30" s="50"/>
      <c r="Q30" s="51"/>
      <c r="R30" s="50"/>
      <c r="S30" s="50"/>
      <c r="T30" s="51"/>
      <c r="U30" s="50"/>
    </row>
    <row r="31" spans="1:21" x14ac:dyDescent="0.25">
      <c r="A31" s="45" t="s">
        <v>20</v>
      </c>
      <c r="B31" s="46">
        <v>45762</v>
      </c>
      <c r="C31" s="45" t="s">
        <v>34</v>
      </c>
      <c r="D31" s="47"/>
      <c r="E31" s="45" t="s">
        <v>64</v>
      </c>
      <c r="F31" s="45" t="s">
        <v>65</v>
      </c>
      <c r="G31" s="45" t="s">
        <v>2268</v>
      </c>
      <c r="H31" s="45" t="s">
        <v>341</v>
      </c>
      <c r="I31" s="45" t="s">
        <v>2261</v>
      </c>
      <c r="J31" s="45">
        <v>576279580</v>
      </c>
      <c r="K31" s="45" t="s">
        <v>2125</v>
      </c>
      <c r="L31" s="48">
        <v>70</v>
      </c>
      <c r="M31" s="49">
        <v>20241125852</v>
      </c>
      <c r="N31" s="50" t="s">
        <v>28</v>
      </c>
      <c r="O31" s="50"/>
      <c r="P31" s="50"/>
      <c r="Q31" s="51"/>
      <c r="R31" s="50"/>
      <c r="S31" s="50"/>
      <c r="T31" s="51"/>
      <c r="U31" s="50"/>
    </row>
    <row r="32" spans="1:21" x14ac:dyDescent="0.25">
      <c r="A32" s="45" t="s">
        <v>20</v>
      </c>
      <c r="B32" s="46">
        <v>45762</v>
      </c>
      <c r="C32" s="45" t="s">
        <v>34</v>
      </c>
      <c r="D32" s="47"/>
      <c r="E32" s="45" t="s">
        <v>107</v>
      </c>
      <c r="F32" s="45" t="s">
        <v>108</v>
      </c>
      <c r="G32" s="45" t="s">
        <v>202</v>
      </c>
      <c r="H32" s="45" t="s">
        <v>2269</v>
      </c>
      <c r="I32" s="45" t="s">
        <v>2270</v>
      </c>
      <c r="J32" s="45">
        <v>279526754</v>
      </c>
      <c r="K32" s="45" t="s">
        <v>311</v>
      </c>
      <c r="L32" s="48">
        <v>450</v>
      </c>
      <c r="M32" s="49">
        <v>20241125543</v>
      </c>
      <c r="N32" s="50" t="s">
        <v>28</v>
      </c>
      <c r="O32" s="50"/>
      <c r="P32" s="50"/>
      <c r="Q32" s="51"/>
      <c r="R32" s="50"/>
      <c r="S32" s="50"/>
      <c r="T32" s="51"/>
      <c r="U32" s="50"/>
    </row>
    <row r="33" spans="1:21" x14ac:dyDescent="0.25">
      <c r="A33" s="45" t="s">
        <v>20</v>
      </c>
      <c r="B33" s="46">
        <v>45762</v>
      </c>
      <c r="C33" s="45" t="s">
        <v>34</v>
      </c>
      <c r="D33" s="47"/>
      <c r="E33" s="45" t="s">
        <v>107</v>
      </c>
      <c r="F33" s="45" t="s">
        <v>108</v>
      </c>
      <c r="G33" s="45" t="s">
        <v>202</v>
      </c>
      <c r="H33" s="45" t="s">
        <v>2269</v>
      </c>
      <c r="I33" s="45" t="s">
        <v>2270</v>
      </c>
      <c r="J33" s="45">
        <v>279526754</v>
      </c>
      <c r="K33" s="45" t="s">
        <v>154</v>
      </c>
      <c r="L33" s="48">
        <v>500</v>
      </c>
      <c r="M33" s="49">
        <v>20241125551</v>
      </c>
      <c r="N33" s="50" t="s">
        <v>28</v>
      </c>
      <c r="O33" s="50"/>
      <c r="P33" s="50"/>
      <c r="Q33" s="51"/>
      <c r="R33" s="50"/>
      <c r="S33" s="50"/>
      <c r="T33" s="51"/>
      <c r="U33" s="50"/>
    </row>
    <row r="34" spans="1:21" x14ac:dyDescent="0.25">
      <c r="A34" s="45" t="s">
        <v>20</v>
      </c>
      <c r="B34" s="46">
        <v>45762</v>
      </c>
      <c r="C34" s="45" t="s">
        <v>34</v>
      </c>
      <c r="D34" s="47"/>
      <c r="E34" s="45" t="s">
        <v>107</v>
      </c>
      <c r="F34" s="45" t="s">
        <v>108</v>
      </c>
      <c r="G34" s="45" t="s">
        <v>202</v>
      </c>
      <c r="H34" s="45" t="s">
        <v>2269</v>
      </c>
      <c r="I34" s="45" t="s">
        <v>2270</v>
      </c>
      <c r="J34" s="45">
        <v>279526754</v>
      </c>
      <c r="K34" s="45" t="s">
        <v>891</v>
      </c>
      <c r="L34" s="48">
        <v>371</v>
      </c>
      <c r="M34" s="49">
        <v>20241125541</v>
      </c>
      <c r="N34" s="50" t="s">
        <v>28</v>
      </c>
      <c r="O34" s="50"/>
      <c r="P34" s="50"/>
      <c r="Q34" s="51"/>
      <c r="R34" s="50"/>
      <c r="S34" s="50"/>
      <c r="T34" s="51"/>
      <c r="U34" s="50"/>
    </row>
    <row r="35" spans="1:21" x14ac:dyDescent="0.25">
      <c r="A35" s="45" t="s">
        <v>20</v>
      </c>
      <c r="B35" s="46">
        <v>45762</v>
      </c>
      <c r="C35" s="45" t="s">
        <v>34</v>
      </c>
      <c r="D35" s="47"/>
      <c r="E35" s="45" t="s">
        <v>107</v>
      </c>
      <c r="F35" s="45" t="s">
        <v>108</v>
      </c>
      <c r="G35" s="45" t="s">
        <v>202</v>
      </c>
      <c r="H35" s="45" t="s">
        <v>2271</v>
      </c>
      <c r="I35" s="45" t="s">
        <v>2272</v>
      </c>
      <c r="J35" s="45">
        <v>281881835</v>
      </c>
      <c r="K35" s="45" t="s">
        <v>2244</v>
      </c>
      <c r="L35" s="48">
        <v>10</v>
      </c>
      <c r="M35" s="49">
        <v>20241127192</v>
      </c>
      <c r="N35" s="50" t="s">
        <v>28</v>
      </c>
      <c r="O35" s="50"/>
      <c r="P35" s="50"/>
      <c r="Q35" s="51"/>
      <c r="R35" s="50"/>
      <c r="S35" s="50"/>
      <c r="T35" s="51"/>
      <c r="U35" s="50"/>
    </row>
    <row r="36" spans="1:21" x14ac:dyDescent="0.25">
      <c r="A36" s="45" t="s">
        <v>20</v>
      </c>
      <c r="B36" s="46">
        <v>45762</v>
      </c>
      <c r="C36" s="45" t="s">
        <v>34</v>
      </c>
      <c r="D36" s="47"/>
      <c r="E36" s="45" t="s">
        <v>107</v>
      </c>
      <c r="F36" s="45" t="s">
        <v>108</v>
      </c>
      <c r="G36" s="45" t="s">
        <v>178</v>
      </c>
      <c r="H36" s="45" t="s">
        <v>110</v>
      </c>
      <c r="I36" s="45" t="s">
        <v>2273</v>
      </c>
      <c r="J36" s="45">
        <v>283627182</v>
      </c>
      <c r="K36" s="45" t="s">
        <v>2079</v>
      </c>
      <c r="L36" s="48">
        <v>600</v>
      </c>
      <c r="M36" s="49">
        <v>20241126529</v>
      </c>
      <c r="N36" s="50" t="s">
        <v>28</v>
      </c>
      <c r="O36" s="50"/>
      <c r="P36" s="50"/>
      <c r="Q36" s="51"/>
      <c r="R36" s="50"/>
      <c r="S36" s="50"/>
      <c r="T36" s="51"/>
      <c r="U36" s="50"/>
    </row>
    <row r="37" spans="1:21" x14ac:dyDescent="0.25">
      <c r="A37" s="45" t="s">
        <v>20</v>
      </c>
      <c r="B37" s="46">
        <v>45762</v>
      </c>
      <c r="C37" s="45" t="s">
        <v>34</v>
      </c>
      <c r="D37" s="47"/>
      <c r="E37" s="45" t="s">
        <v>107</v>
      </c>
      <c r="F37" s="45" t="s">
        <v>108</v>
      </c>
      <c r="G37" s="45" t="s">
        <v>202</v>
      </c>
      <c r="H37" s="45" t="s">
        <v>2274</v>
      </c>
      <c r="I37" s="45" t="s">
        <v>2275</v>
      </c>
      <c r="J37" s="45">
        <v>288703538</v>
      </c>
      <c r="K37" s="45" t="s">
        <v>1702</v>
      </c>
      <c r="L37" s="48">
        <v>163</v>
      </c>
      <c r="M37" s="49">
        <v>20241125542</v>
      </c>
      <c r="N37" s="50" t="s">
        <v>28</v>
      </c>
      <c r="O37" s="50"/>
      <c r="P37" s="50"/>
      <c r="Q37" s="51"/>
      <c r="R37" s="50"/>
      <c r="S37" s="50"/>
      <c r="T37" s="51"/>
      <c r="U37" s="50"/>
    </row>
    <row r="38" spans="1:21" x14ac:dyDescent="0.25">
      <c r="A38" s="45" t="s">
        <v>20</v>
      </c>
      <c r="B38" s="46">
        <v>45762</v>
      </c>
      <c r="C38" s="45" t="s">
        <v>34</v>
      </c>
      <c r="D38" s="47"/>
      <c r="E38" s="45" t="s">
        <v>107</v>
      </c>
      <c r="F38" s="45" t="s">
        <v>108</v>
      </c>
      <c r="G38" s="45" t="s">
        <v>202</v>
      </c>
      <c r="H38" s="45" t="s">
        <v>2274</v>
      </c>
      <c r="I38" s="45" t="s">
        <v>2275</v>
      </c>
      <c r="J38" s="45">
        <v>288703538</v>
      </c>
      <c r="K38" s="45" t="s">
        <v>781</v>
      </c>
      <c r="L38" s="48">
        <v>591.91</v>
      </c>
      <c r="M38" s="49">
        <v>20241125550</v>
      </c>
      <c r="N38" s="50" t="s">
        <v>28</v>
      </c>
      <c r="O38" s="50"/>
      <c r="P38" s="50"/>
      <c r="Q38" s="51"/>
      <c r="R38" s="50"/>
      <c r="S38" s="50"/>
      <c r="T38" s="51"/>
      <c r="U38" s="50"/>
    </row>
    <row r="39" spans="1:21" x14ac:dyDescent="0.25">
      <c r="A39" s="45" t="s">
        <v>20</v>
      </c>
      <c r="B39" s="46">
        <v>45762</v>
      </c>
      <c r="C39" s="45" t="s">
        <v>34</v>
      </c>
      <c r="D39" s="47"/>
      <c r="E39" s="45" t="s">
        <v>107</v>
      </c>
      <c r="F39" s="45" t="s">
        <v>108</v>
      </c>
      <c r="G39" s="45" t="s">
        <v>2276</v>
      </c>
      <c r="H39" s="45" t="s">
        <v>214</v>
      </c>
      <c r="I39" s="45" t="s">
        <v>2277</v>
      </c>
      <c r="J39" s="45">
        <v>291823169</v>
      </c>
      <c r="K39" s="45" t="s">
        <v>1990</v>
      </c>
      <c r="L39" s="48">
        <v>215.5</v>
      </c>
      <c r="M39" s="49">
        <v>20241126264</v>
      </c>
      <c r="N39" s="50" t="s">
        <v>28</v>
      </c>
      <c r="O39" s="50"/>
      <c r="P39" s="50"/>
      <c r="Q39" s="51"/>
      <c r="R39" s="50"/>
      <c r="S39" s="50"/>
      <c r="T39" s="51"/>
      <c r="U39" s="50"/>
    </row>
    <row r="40" spans="1:21" x14ac:dyDescent="0.25">
      <c r="A40" s="45" t="s">
        <v>29</v>
      </c>
      <c r="B40" s="46">
        <v>45762</v>
      </c>
      <c r="C40" s="45" t="s">
        <v>34</v>
      </c>
      <c r="D40" s="47"/>
      <c r="E40" s="45" t="s">
        <v>107</v>
      </c>
      <c r="F40" s="45" t="s">
        <v>108</v>
      </c>
      <c r="G40" s="45" t="s">
        <v>2276</v>
      </c>
      <c r="H40" s="45" t="s">
        <v>214</v>
      </c>
      <c r="I40" s="45" t="s">
        <v>2277</v>
      </c>
      <c r="J40" s="45">
        <v>291823169</v>
      </c>
      <c r="K40" s="45" t="s">
        <v>1806</v>
      </c>
      <c r="L40" s="48">
        <v>710.33</v>
      </c>
      <c r="M40" s="49">
        <v>20241126270</v>
      </c>
      <c r="N40" s="50" t="s">
        <v>28</v>
      </c>
      <c r="O40" s="50"/>
      <c r="P40" s="50"/>
      <c r="Q40" s="51"/>
      <c r="R40" s="50"/>
      <c r="S40" s="50"/>
      <c r="T40" s="51"/>
      <c r="U40" s="50"/>
    </row>
    <row r="41" spans="1:21" x14ac:dyDescent="0.25">
      <c r="A41" s="45" t="s">
        <v>20</v>
      </c>
      <c r="B41" s="46">
        <v>45762</v>
      </c>
      <c r="C41" s="45" t="s">
        <v>34</v>
      </c>
      <c r="D41" s="47"/>
      <c r="E41" s="45" t="s">
        <v>107</v>
      </c>
      <c r="F41" s="45" t="s">
        <v>108</v>
      </c>
      <c r="G41" s="45" t="s">
        <v>2278</v>
      </c>
      <c r="H41" s="45" t="s">
        <v>2279</v>
      </c>
      <c r="I41" s="45" t="s">
        <v>2280</v>
      </c>
      <c r="J41" s="45">
        <v>292984742</v>
      </c>
      <c r="K41" s="45" t="s">
        <v>86</v>
      </c>
      <c r="L41" s="48">
        <v>149</v>
      </c>
      <c r="M41" s="49">
        <v>20241125480</v>
      </c>
      <c r="N41" s="50" t="s">
        <v>28</v>
      </c>
      <c r="O41" s="50"/>
      <c r="P41" s="50"/>
      <c r="Q41" s="51"/>
      <c r="R41" s="50"/>
      <c r="S41" s="50"/>
      <c r="T41" s="51"/>
      <c r="U41" s="50"/>
    </row>
    <row r="42" spans="1:21" x14ac:dyDescent="0.25">
      <c r="A42" s="45" t="s">
        <v>29</v>
      </c>
      <c r="B42" s="46">
        <v>45762</v>
      </c>
      <c r="C42" s="45" t="s">
        <v>34</v>
      </c>
      <c r="D42" s="47"/>
      <c r="E42" s="45" t="s">
        <v>107</v>
      </c>
      <c r="F42" s="45" t="s">
        <v>108</v>
      </c>
      <c r="G42" s="45" t="s">
        <v>430</v>
      </c>
      <c r="H42" s="45" t="s">
        <v>2281</v>
      </c>
      <c r="I42" s="45" t="s">
        <v>2282</v>
      </c>
      <c r="J42" s="45">
        <v>294863838</v>
      </c>
      <c r="K42" s="45" t="s">
        <v>288</v>
      </c>
      <c r="L42" s="48">
        <v>1153.8599999999999</v>
      </c>
      <c r="M42" s="49">
        <v>20241125179</v>
      </c>
      <c r="N42" s="50" t="s">
        <v>28</v>
      </c>
      <c r="O42" s="50"/>
      <c r="P42" s="50"/>
      <c r="Q42" s="51"/>
      <c r="R42" s="50"/>
      <c r="S42" s="50"/>
      <c r="T42" s="51"/>
      <c r="U42" s="50"/>
    </row>
    <row r="43" spans="1:21" ht="60" x14ac:dyDescent="0.25">
      <c r="A43" s="45" t="s">
        <v>20</v>
      </c>
      <c r="B43" s="46">
        <v>45762</v>
      </c>
      <c r="C43" s="45" t="s">
        <v>34</v>
      </c>
      <c r="D43" s="47"/>
      <c r="E43" s="45" t="s">
        <v>107</v>
      </c>
      <c r="F43" s="45" t="s">
        <v>108</v>
      </c>
      <c r="G43" s="45" t="s">
        <v>30</v>
      </c>
      <c r="H43" s="45" t="s">
        <v>2283</v>
      </c>
      <c r="I43" s="45" t="s">
        <v>2284</v>
      </c>
      <c r="J43" s="45">
        <v>294888955</v>
      </c>
      <c r="K43" s="45" t="s">
        <v>2239</v>
      </c>
      <c r="L43" s="48">
        <v>105</v>
      </c>
      <c r="M43" s="49">
        <v>20241129352</v>
      </c>
      <c r="N43" s="50"/>
      <c r="O43" s="50" t="s">
        <v>124</v>
      </c>
      <c r="P43" s="50"/>
      <c r="Q43" s="51" t="s">
        <v>2285</v>
      </c>
      <c r="R43" s="50"/>
      <c r="S43" s="50"/>
      <c r="T43" s="51"/>
      <c r="U43" s="50"/>
    </row>
    <row r="44" spans="1:21" x14ac:dyDescent="0.25">
      <c r="A44" s="45" t="s">
        <v>29</v>
      </c>
      <c r="B44" s="46">
        <v>45762</v>
      </c>
      <c r="C44" s="45" t="s">
        <v>34</v>
      </c>
      <c r="D44" s="47"/>
      <c r="E44" s="45" t="s">
        <v>107</v>
      </c>
      <c r="F44" s="45" t="s">
        <v>108</v>
      </c>
      <c r="G44" s="45" t="s">
        <v>202</v>
      </c>
      <c r="H44" s="45" t="s">
        <v>2286</v>
      </c>
      <c r="I44" s="45" t="s">
        <v>2287</v>
      </c>
      <c r="J44" s="45">
        <v>295769475</v>
      </c>
      <c r="K44" s="45" t="s">
        <v>1702</v>
      </c>
      <c r="L44" s="48">
        <v>170.57</v>
      </c>
      <c r="M44" s="49">
        <v>20241126137</v>
      </c>
      <c r="N44" s="50" t="s">
        <v>28</v>
      </c>
      <c r="O44" s="50"/>
      <c r="P44" s="50"/>
      <c r="Q44" s="51"/>
      <c r="R44" s="50"/>
      <c r="S44" s="50"/>
      <c r="T44" s="51"/>
      <c r="U44" s="50"/>
    </row>
    <row r="45" spans="1:21" ht="45" x14ac:dyDescent="0.25">
      <c r="A45" s="45" t="s">
        <v>20</v>
      </c>
      <c r="B45" s="46">
        <v>45762</v>
      </c>
      <c r="C45" s="45" t="s">
        <v>34</v>
      </c>
      <c r="D45" s="47"/>
      <c r="E45" s="45" t="s">
        <v>107</v>
      </c>
      <c r="F45" s="45" t="s">
        <v>108</v>
      </c>
      <c r="G45" s="45" t="s">
        <v>202</v>
      </c>
      <c r="H45" s="45" t="s">
        <v>348</v>
      </c>
      <c r="I45" s="45" t="s">
        <v>2288</v>
      </c>
      <c r="J45" s="45">
        <v>301864247</v>
      </c>
      <c r="K45" s="45" t="s">
        <v>2142</v>
      </c>
      <c r="L45" s="48">
        <v>528.76</v>
      </c>
      <c r="M45" s="49">
        <v>20241126154</v>
      </c>
      <c r="N45" s="50"/>
      <c r="O45" s="50" t="s">
        <v>124</v>
      </c>
      <c r="P45" s="50"/>
      <c r="Q45" s="51" t="s">
        <v>2289</v>
      </c>
      <c r="R45" s="50"/>
      <c r="S45" s="50"/>
      <c r="T45" s="51"/>
      <c r="U45" s="50"/>
    </row>
    <row r="46" spans="1:21" ht="60" x14ac:dyDescent="0.25">
      <c r="A46" s="45" t="s">
        <v>20</v>
      </c>
      <c r="B46" s="46">
        <v>45762</v>
      </c>
      <c r="C46" s="45" t="s">
        <v>34</v>
      </c>
      <c r="D46" s="47"/>
      <c r="E46" s="45" t="s">
        <v>107</v>
      </c>
      <c r="F46" s="45" t="s">
        <v>108</v>
      </c>
      <c r="G46" s="45" t="s">
        <v>202</v>
      </c>
      <c r="H46" s="45" t="s">
        <v>348</v>
      </c>
      <c r="I46" s="45" t="s">
        <v>2288</v>
      </c>
      <c r="J46" s="45">
        <v>301864247</v>
      </c>
      <c r="K46" s="45" t="s">
        <v>83</v>
      </c>
      <c r="L46" s="48">
        <v>429.27</v>
      </c>
      <c r="M46" s="49">
        <v>20241126190</v>
      </c>
      <c r="N46" s="50"/>
      <c r="O46" s="50"/>
      <c r="P46" s="50" t="s">
        <v>304</v>
      </c>
      <c r="Q46" s="51" t="s">
        <v>2290</v>
      </c>
      <c r="R46" s="50"/>
      <c r="S46" s="50"/>
      <c r="T46" s="51"/>
      <c r="U46" s="50"/>
    </row>
    <row r="47" spans="1:21" x14ac:dyDescent="0.25">
      <c r="A47" s="45" t="s">
        <v>20</v>
      </c>
      <c r="B47" s="46">
        <v>45762</v>
      </c>
      <c r="C47" s="45" t="s">
        <v>34</v>
      </c>
      <c r="D47" s="47"/>
      <c r="E47" s="45" t="s">
        <v>162</v>
      </c>
      <c r="F47" s="45" t="s">
        <v>163</v>
      </c>
      <c r="G47" s="45" t="s">
        <v>798</v>
      </c>
      <c r="H47" s="45" t="s">
        <v>1177</v>
      </c>
      <c r="I47" s="45" t="s">
        <v>2291</v>
      </c>
      <c r="J47" s="45">
        <v>114643894</v>
      </c>
      <c r="K47" s="45" t="s">
        <v>985</v>
      </c>
      <c r="L47" s="48">
        <v>19.989999999999998</v>
      </c>
      <c r="M47" s="49">
        <v>20241125504</v>
      </c>
      <c r="N47" s="50" t="s">
        <v>28</v>
      </c>
      <c r="O47" s="50"/>
      <c r="P47" s="50"/>
      <c r="Q47" s="51"/>
      <c r="R47" s="50"/>
      <c r="S47" s="50"/>
      <c r="T47" s="51"/>
      <c r="U47" s="50"/>
    </row>
    <row r="48" spans="1:21" x14ac:dyDescent="0.25">
      <c r="A48" s="45" t="s">
        <v>29</v>
      </c>
      <c r="B48" s="46">
        <v>45762</v>
      </c>
      <c r="C48" s="45" t="s">
        <v>34</v>
      </c>
      <c r="D48" s="47"/>
      <c r="E48" s="45" t="s">
        <v>1631</v>
      </c>
      <c r="F48" s="45" t="s">
        <v>1122</v>
      </c>
      <c r="G48" s="45" t="s">
        <v>975</v>
      </c>
      <c r="H48" s="45" t="s">
        <v>2292</v>
      </c>
      <c r="I48" s="45" t="s">
        <v>2293</v>
      </c>
      <c r="J48" s="45">
        <v>363179139</v>
      </c>
      <c r="K48" s="45" t="s">
        <v>2154</v>
      </c>
      <c r="L48" s="48">
        <v>185</v>
      </c>
      <c r="M48" s="49">
        <v>20241125532</v>
      </c>
      <c r="N48" s="50" t="s">
        <v>28</v>
      </c>
      <c r="O48" s="50"/>
      <c r="P48" s="50"/>
      <c r="Q48" s="51"/>
      <c r="R48" s="50"/>
      <c r="S48" s="50"/>
      <c r="T48" s="51"/>
      <c r="U48" s="50"/>
    </row>
    <row r="49" spans="1:21" x14ac:dyDescent="0.25">
      <c r="A49" s="45" t="s">
        <v>20</v>
      </c>
      <c r="B49" s="46">
        <v>45762</v>
      </c>
      <c r="C49" s="45" t="s">
        <v>34</v>
      </c>
      <c r="D49" s="47"/>
      <c r="E49" s="45" t="s">
        <v>1631</v>
      </c>
      <c r="F49" s="45" t="s">
        <v>1122</v>
      </c>
      <c r="G49" s="45" t="s">
        <v>229</v>
      </c>
      <c r="H49" s="45" t="s">
        <v>2294</v>
      </c>
      <c r="I49" s="45" t="s">
        <v>2295</v>
      </c>
      <c r="J49" s="45">
        <v>505154306</v>
      </c>
      <c r="K49" s="45" t="s">
        <v>1908</v>
      </c>
      <c r="L49" s="48">
        <v>177.87</v>
      </c>
      <c r="M49" s="49">
        <v>20241121386</v>
      </c>
      <c r="N49" s="50" t="s">
        <v>28</v>
      </c>
      <c r="O49" s="50"/>
      <c r="P49" s="50"/>
      <c r="Q49" s="51"/>
      <c r="R49" s="50"/>
      <c r="S49" s="50"/>
      <c r="T49" s="51"/>
      <c r="U49" s="50"/>
    </row>
    <row r="50" spans="1:21" x14ac:dyDescent="0.25">
      <c r="A50" s="45" t="s">
        <v>29</v>
      </c>
      <c r="B50" s="46">
        <v>45762</v>
      </c>
      <c r="C50" s="45" t="s">
        <v>34</v>
      </c>
      <c r="D50" s="47"/>
      <c r="E50" s="45" t="s">
        <v>1631</v>
      </c>
      <c r="F50" s="45" t="s">
        <v>1122</v>
      </c>
      <c r="G50" s="45" t="s">
        <v>1339</v>
      </c>
      <c r="H50" s="45" t="s">
        <v>2251</v>
      </c>
      <c r="I50" s="45" t="s">
        <v>2252</v>
      </c>
      <c r="J50" s="45">
        <v>575659274</v>
      </c>
      <c r="K50" s="45" t="s">
        <v>184</v>
      </c>
      <c r="L50" s="48">
        <v>1529.58</v>
      </c>
      <c r="M50" s="49">
        <v>20241125565</v>
      </c>
      <c r="N50" s="50" t="s">
        <v>28</v>
      </c>
      <c r="O50" s="50"/>
      <c r="P50" s="50"/>
      <c r="Q50" s="51"/>
      <c r="R50" s="50"/>
      <c r="S50" s="50"/>
      <c r="T50" s="51"/>
      <c r="U50" s="50"/>
    </row>
    <row r="51" spans="1:21" x14ac:dyDescent="0.25">
      <c r="A51" s="45" t="s">
        <v>20</v>
      </c>
      <c r="B51" s="46">
        <v>45634</v>
      </c>
      <c r="C51" s="45" t="s">
        <v>175</v>
      </c>
      <c r="D51" s="47"/>
      <c r="E51" s="45" t="s">
        <v>208</v>
      </c>
      <c r="F51" s="45" t="s">
        <v>209</v>
      </c>
      <c r="G51" s="45" t="s">
        <v>30</v>
      </c>
      <c r="H51" s="45" t="s">
        <v>2237</v>
      </c>
      <c r="I51" s="45" t="s">
        <v>2296</v>
      </c>
      <c r="J51" s="45">
        <v>575695255</v>
      </c>
      <c r="K51" s="45" t="s">
        <v>1990</v>
      </c>
      <c r="L51" s="48">
        <v>20</v>
      </c>
      <c r="M51" s="49">
        <v>20241125700</v>
      </c>
      <c r="N51" s="50" t="s">
        <v>13</v>
      </c>
      <c r="O51" s="50"/>
      <c r="P51" s="50"/>
      <c r="Q51" s="51"/>
      <c r="R51" s="50"/>
      <c r="S51" s="50"/>
      <c r="T51" s="51"/>
      <c r="U51" s="50"/>
    </row>
    <row r="52" spans="1:21" x14ac:dyDescent="0.25">
      <c r="A52" s="45" t="s">
        <v>20</v>
      </c>
      <c r="B52" s="46">
        <v>45634</v>
      </c>
      <c r="C52" s="45" t="s">
        <v>175</v>
      </c>
      <c r="D52" s="47"/>
      <c r="E52" s="45" t="s">
        <v>208</v>
      </c>
      <c r="F52" s="45" t="s">
        <v>209</v>
      </c>
      <c r="G52" s="45" t="s">
        <v>30</v>
      </c>
      <c r="H52" s="45" t="s">
        <v>2237</v>
      </c>
      <c r="I52" s="45" t="s">
        <v>2296</v>
      </c>
      <c r="J52" s="45">
        <v>575695255</v>
      </c>
      <c r="K52" s="45" t="s">
        <v>1071</v>
      </c>
      <c r="L52" s="48">
        <v>11</v>
      </c>
      <c r="M52" s="49">
        <v>20241125736</v>
      </c>
      <c r="N52" s="50" t="s">
        <v>13</v>
      </c>
      <c r="O52" s="50"/>
      <c r="P52" s="50"/>
      <c r="Q52" s="51"/>
      <c r="R52" s="50"/>
      <c r="S52" s="50"/>
      <c r="T52" s="51"/>
      <c r="U52" s="50"/>
    </row>
    <row r="53" spans="1:21" x14ac:dyDescent="0.25">
      <c r="A53" s="45" t="s">
        <v>20</v>
      </c>
      <c r="B53" s="46">
        <v>45634</v>
      </c>
      <c r="C53" s="45" t="s">
        <v>175</v>
      </c>
      <c r="D53" s="47"/>
      <c r="E53" s="45" t="s">
        <v>208</v>
      </c>
      <c r="F53" s="45" t="s">
        <v>209</v>
      </c>
      <c r="G53" s="45" t="s">
        <v>30</v>
      </c>
      <c r="H53" s="45" t="s">
        <v>2297</v>
      </c>
      <c r="I53" s="45" t="s">
        <v>2298</v>
      </c>
      <c r="J53" s="45">
        <v>575701544</v>
      </c>
      <c r="K53" s="45" t="s">
        <v>2255</v>
      </c>
      <c r="L53" s="48">
        <v>40</v>
      </c>
      <c r="M53" s="49">
        <v>20241127589</v>
      </c>
      <c r="N53" s="50" t="s">
        <v>13</v>
      </c>
      <c r="O53" s="50"/>
      <c r="P53" s="50"/>
      <c r="Q53" s="51"/>
      <c r="R53" s="50"/>
      <c r="S53" s="50"/>
      <c r="T53" s="51"/>
      <c r="U53" s="50"/>
    </row>
    <row r="54" spans="1:21" ht="25.5" x14ac:dyDescent="0.25">
      <c r="A54" s="45" t="s">
        <v>20</v>
      </c>
      <c r="B54" s="46">
        <v>45634</v>
      </c>
      <c r="C54" s="45" t="s">
        <v>175</v>
      </c>
      <c r="D54" s="47"/>
      <c r="E54" s="45" t="s">
        <v>208</v>
      </c>
      <c r="F54" s="45" t="s">
        <v>209</v>
      </c>
      <c r="G54" s="45" t="s">
        <v>30</v>
      </c>
      <c r="H54" s="45" t="s">
        <v>2299</v>
      </c>
      <c r="I54" s="45" t="s">
        <v>2300</v>
      </c>
      <c r="J54" s="45">
        <v>575820762</v>
      </c>
      <c r="K54" s="45" t="s">
        <v>83</v>
      </c>
      <c r="L54" s="48">
        <v>28.8</v>
      </c>
      <c r="M54" s="49">
        <v>20241127462</v>
      </c>
      <c r="N54" s="50" t="s">
        <v>13</v>
      </c>
      <c r="O54" s="50"/>
      <c r="P54" s="50"/>
      <c r="Q54" s="51"/>
      <c r="R54" s="50"/>
      <c r="S54" s="50"/>
      <c r="T54" s="51"/>
      <c r="U54" s="50"/>
    </row>
    <row r="55" spans="1:21" ht="25.5" x14ac:dyDescent="0.25">
      <c r="A55" s="45" t="s">
        <v>20</v>
      </c>
      <c r="B55" s="46">
        <v>45634</v>
      </c>
      <c r="C55" s="45" t="s">
        <v>175</v>
      </c>
      <c r="D55" s="47"/>
      <c r="E55" s="45" t="s">
        <v>208</v>
      </c>
      <c r="F55" s="45" t="s">
        <v>209</v>
      </c>
      <c r="G55" s="45" t="s">
        <v>30</v>
      </c>
      <c r="H55" s="45" t="s">
        <v>2299</v>
      </c>
      <c r="I55" s="45" t="s">
        <v>2300</v>
      </c>
      <c r="J55" s="45">
        <v>575820762</v>
      </c>
      <c r="K55" s="45" t="s">
        <v>928</v>
      </c>
      <c r="L55" s="48">
        <v>41.49</v>
      </c>
      <c r="M55" s="49">
        <v>20241127684</v>
      </c>
      <c r="N55" s="50" t="s">
        <v>13</v>
      </c>
      <c r="O55" s="50"/>
      <c r="P55" s="50"/>
      <c r="Q55" s="51"/>
      <c r="R55" s="50"/>
      <c r="S55" s="50"/>
      <c r="T55" s="51"/>
      <c r="U55" s="50"/>
    </row>
    <row r="56" spans="1:21" ht="25.5" x14ac:dyDescent="0.25">
      <c r="A56" s="45" t="s">
        <v>20</v>
      </c>
      <c r="B56" s="46">
        <v>45634</v>
      </c>
      <c r="C56" s="45" t="s">
        <v>175</v>
      </c>
      <c r="D56" s="47"/>
      <c r="E56" s="45" t="s">
        <v>208</v>
      </c>
      <c r="F56" s="45" t="s">
        <v>209</v>
      </c>
      <c r="G56" s="45" t="s">
        <v>30</v>
      </c>
      <c r="H56" s="45" t="s">
        <v>2299</v>
      </c>
      <c r="I56" s="45" t="s">
        <v>2300</v>
      </c>
      <c r="J56" s="45">
        <v>575820762</v>
      </c>
      <c r="K56" s="45" t="s">
        <v>831</v>
      </c>
      <c r="L56" s="48">
        <v>18.75</v>
      </c>
      <c r="M56" s="49">
        <v>20241127555</v>
      </c>
      <c r="N56" s="50" t="s">
        <v>13</v>
      </c>
      <c r="O56" s="50"/>
      <c r="P56" s="50"/>
      <c r="Q56" s="51"/>
      <c r="R56" s="50"/>
      <c r="S56" s="50"/>
      <c r="T56" s="51"/>
      <c r="U56" s="50"/>
    </row>
    <row r="57" spans="1:21" x14ac:dyDescent="0.25">
      <c r="A57" s="45" t="s">
        <v>20</v>
      </c>
      <c r="B57" s="46">
        <v>45634</v>
      </c>
      <c r="C57" s="45" t="s">
        <v>175</v>
      </c>
      <c r="D57" s="47"/>
      <c r="E57" s="45" t="s">
        <v>208</v>
      </c>
      <c r="F57" s="45" t="s">
        <v>209</v>
      </c>
      <c r="G57" s="45" t="s">
        <v>109</v>
      </c>
      <c r="H57" s="45" t="s">
        <v>2301</v>
      </c>
      <c r="I57" s="45" t="s">
        <v>2302</v>
      </c>
      <c r="J57" s="45">
        <v>575973251</v>
      </c>
      <c r="K57" s="45" t="s">
        <v>1702</v>
      </c>
      <c r="L57" s="48">
        <v>10</v>
      </c>
      <c r="M57" s="49">
        <v>20241125217</v>
      </c>
      <c r="N57" s="50" t="s">
        <v>13</v>
      </c>
      <c r="O57" s="50"/>
      <c r="P57" s="50"/>
      <c r="Q57" s="51"/>
      <c r="R57" s="50"/>
      <c r="S57" s="50"/>
      <c r="T57" s="51"/>
      <c r="U57" s="50"/>
    </row>
    <row r="58" spans="1:21" x14ac:dyDescent="0.25">
      <c r="A58" s="45" t="s">
        <v>20</v>
      </c>
      <c r="B58" s="46">
        <v>45634</v>
      </c>
      <c r="C58" s="45" t="s">
        <v>175</v>
      </c>
      <c r="D58" s="47"/>
      <c r="E58" s="45" t="s">
        <v>208</v>
      </c>
      <c r="F58" s="45" t="s">
        <v>209</v>
      </c>
      <c r="G58" s="45" t="s">
        <v>109</v>
      </c>
      <c r="H58" s="45" t="s">
        <v>2301</v>
      </c>
      <c r="I58" s="45" t="s">
        <v>2302</v>
      </c>
      <c r="J58" s="45">
        <v>575973251</v>
      </c>
      <c r="K58" s="45" t="s">
        <v>1702</v>
      </c>
      <c r="L58" s="48">
        <v>10</v>
      </c>
      <c r="M58" s="49">
        <v>20241125212</v>
      </c>
      <c r="N58" s="50" t="s">
        <v>13</v>
      </c>
      <c r="O58" s="50"/>
      <c r="P58" s="50"/>
      <c r="Q58" s="51"/>
      <c r="R58" s="50"/>
      <c r="S58" s="50"/>
      <c r="T58" s="51"/>
      <c r="U58" s="50"/>
    </row>
    <row r="59" spans="1:21" x14ac:dyDescent="0.25">
      <c r="A59" s="45" t="s">
        <v>20</v>
      </c>
      <c r="B59" s="46">
        <v>45634</v>
      </c>
      <c r="C59" s="45" t="s">
        <v>175</v>
      </c>
      <c r="D59" s="47"/>
      <c r="E59" s="45" t="s">
        <v>208</v>
      </c>
      <c r="F59" s="45" t="s">
        <v>209</v>
      </c>
      <c r="G59" s="45" t="s">
        <v>109</v>
      </c>
      <c r="H59" s="45" t="s">
        <v>2301</v>
      </c>
      <c r="I59" s="45" t="s">
        <v>2302</v>
      </c>
      <c r="J59" s="45">
        <v>575973251</v>
      </c>
      <c r="K59" s="45" t="s">
        <v>1702</v>
      </c>
      <c r="L59" s="48">
        <v>10</v>
      </c>
      <c r="M59" s="49">
        <v>20241125221</v>
      </c>
      <c r="N59" s="50" t="s">
        <v>13</v>
      </c>
      <c r="O59" s="50"/>
      <c r="P59" s="50"/>
      <c r="Q59" s="51"/>
      <c r="R59" s="50"/>
      <c r="S59" s="50"/>
      <c r="T59" s="51"/>
      <c r="U59" s="50"/>
    </row>
    <row r="60" spans="1:21" x14ac:dyDescent="0.25">
      <c r="A60" s="45" t="s">
        <v>20</v>
      </c>
      <c r="B60" s="46">
        <v>45634</v>
      </c>
      <c r="C60" s="45" t="s">
        <v>175</v>
      </c>
      <c r="D60" s="47"/>
      <c r="E60" s="45" t="s">
        <v>208</v>
      </c>
      <c r="F60" s="45" t="s">
        <v>209</v>
      </c>
      <c r="G60" s="45" t="s">
        <v>109</v>
      </c>
      <c r="H60" s="45" t="s">
        <v>2301</v>
      </c>
      <c r="I60" s="45" t="s">
        <v>2302</v>
      </c>
      <c r="J60" s="45">
        <v>575973251</v>
      </c>
      <c r="K60" s="45" t="s">
        <v>56</v>
      </c>
      <c r="L60" s="48">
        <v>37.229999999999997</v>
      </c>
      <c r="M60" s="49">
        <v>20241125202</v>
      </c>
      <c r="N60" s="50" t="s">
        <v>13</v>
      </c>
      <c r="O60" s="50"/>
      <c r="P60" s="50"/>
      <c r="Q60" s="51"/>
      <c r="R60" s="50"/>
      <c r="S60" s="50"/>
      <c r="T60" s="51"/>
      <c r="U60" s="50"/>
    </row>
    <row r="61" spans="1:21" x14ac:dyDescent="0.25">
      <c r="A61" s="45" t="s">
        <v>20</v>
      </c>
      <c r="B61" s="46">
        <v>45634</v>
      </c>
      <c r="C61" s="45" t="s">
        <v>175</v>
      </c>
      <c r="D61" s="47"/>
      <c r="E61" s="45" t="s">
        <v>208</v>
      </c>
      <c r="F61" s="45" t="s">
        <v>209</v>
      </c>
      <c r="G61" s="45" t="s">
        <v>30</v>
      </c>
      <c r="H61" s="45" t="s">
        <v>2303</v>
      </c>
      <c r="I61" s="45" t="s">
        <v>2304</v>
      </c>
      <c r="J61" s="45">
        <v>575996631</v>
      </c>
      <c r="K61" s="45" t="s">
        <v>1990</v>
      </c>
      <c r="L61" s="48">
        <v>15</v>
      </c>
      <c r="M61" s="49">
        <v>20241127577</v>
      </c>
      <c r="N61" s="50" t="s">
        <v>13</v>
      </c>
      <c r="O61" s="50"/>
      <c r="P61" s="50"/>
      <c r="Q61" s="51"/>
      <c r="R61" s="50"/>
      <c r="S61" s="50"/>
      <c r="T61" s="51"/>
      <c r="U61" s="50"/>
    </row>
    <row r="62" spans="1:21" x14ac:dyDescent="0.25">
      <c r="A62" s="45" t="s">
        <v>20</v>
      </c>
      <c r="B62" s="46">
        <v>45634</v>
      </c>
      <c r="C62" s="45" t="s">
        <v>175</v>
      </c>
      <c r="D62" s="47"/>
      <c r="E62" s="45" t="s">
        <v>208</v>
      </c>
      <c r="F62" s="45" t="s">
        <v>209</v>
      </c>
      <c r="G62" s="45" t="s">
        <v>30</v>
      </c>
      <c r="H62" s="45" t="s">
        <v>2305</v>
      </c>
      <c r="I62" s="45" t="s">
        <v>2306</v>
      </c>
      <c r="J62" s="45">
        <v>576131295</v>
      </c>
      <c r="K62" s="45" t="s">
        <v>102</v>
      </c>
      <c r="L62" s="48">
        <v>13.79</v>
      </c>
      <c r="M62" s="49">
        <v>20241125823</v>
      </c>
      <c r="N62" s="50" t="s">
        <v>13</v>
      </c>
      <c r="O62" s="50"/>
      <c r="P62" s="50"/>
      <c r="Q62" s="51"/>
      <c r="R62" s="50"/>
      <c r="S62" s="50"/>
      <c r="T62" s="51"/>
      <c r="U62" s="50"/>
    </row>
    <row r="63" spans="1:21" x14ac:dyDescent="0.25">
      <c r="A63" s="45" t="s">
        <v>20</v>
      </c>
      <c r="B63" s="46">
        <v>45634</v>
      </c>
      <c r="C63" s="45" t="s">
        <v>175</v>
      </c>
      <c r="D63" s="47"/>
      <c r="E63" s="45" t="s">
        <v>208</v>
      </c>
      <c r="F63" s="45" t="s">
        <v>209</v>
      </c>
      <c r="G63" s="45" t="s">
        <v>30</v>
      </c>
      <c r="H63" s="45" t="s">
        <v>2307</v>
      </c>
      <c r="I63" s="45" t="s">
        <v>2308</v>
      </c>
      <c r="J63" s="45">
        <v>576173846</v>
      </c>
      <c r="K63" s="45" t="s">
        <v>2309</v>
      </c>
      <c r="L63" s="48">
        <v>60</v>
      </c>
      <c r="M63" s="49">
        <v>20241127655</v>
      </c>
      <c r="N63" s="50" t="s">
        <v>13</v>
      </c>
      <c r="O63" s="50"/>
      <c r="P63" s="50"/>
      <c r="Q63" s="51"/>
      <c r="R63" s="50"/>
      <c r="S63" s="50"/>
      <c r="T63" s="51"/>
      <c r="U63" s="50"/>
    </row>
    <row r="64" spans="1:21" x14ac:dyDescent="0.25">
      <c r="A64" s="45" t="s">
        <v>20</v>
      </c>
      <c r="B64" s="46">
        <v>45634</v>
      </c>
      <c r="C64" s="45" t="s">
        <v>175</v>
      </c>
      <c r="D64" s="47"/>
      <c r="E64" s="45" t="s">
        <v>208</v>
      </c>
      <c r="F64" s="45" t="s">
        <v>209</v>
      </c>
      <c r="G64" s="45" t="s">
        <v>30</v>
      </c>
      <c r="H64" s="45" t="s">
        <v>1222</v>
      </c>
      <c r="I64" s="45" t="s">
        <v>2310</v>
      </c>
      <c r="J64" s="45">
        <v>576213290</v>
      </c>
      <c r="K64" s="45" t="s">
        <v>2125</v>
      </c>
      <c r="L64" s="48">
        <v>5</v>
      </c>
      <c r="M64" s="49">
        <v>20241125825</v>
      </c>
      <c r="N64" s="50" t="s">
        <v>13</v>
      </c>
      <c r="O64" s="50"/>
      <c r="P64" s="50"/>
      <c r="Q64" s="51"/>
      <c r="R64" s="50"/>
      <c r="S64" s="50"/>
      <c r="T64" s="51"/>
      <c r="U64" s="50"/>
    </row>
    <row r="65" spans="1:21" x14ac:dyDescent="0.25">
      <c r="A65" s="45" t="s">
        <v>20</v>
      </c>
      <c r="B65" s="46">
        <v>45634</v>
      </c>
      <c r="C65" s="45" t="s">
        <v>175</v>
      </c>
      <c r="D65" s="47"/>
      <c r="E65" s="45" t="s">
        <v>208</v>
      </c>
      <c r="F65" s="45" t="s">
        <v>209</v>
      </c>
      <c r="G65" s="45" t="s">
        <v>30</v>
      </c>
      <c r="H65" s="45" t="s">
        <v>2311</v>
      </c>
      <c r="I65" s="45" t="s">
        <v>2312</v>
      </c>
      <c r="J65" s="45">
        <v>576250867</v>
      </c>
      <c r="K65" s="45" t="s">
        <v>2098</v>
      </c>
      <c r="L65" s="48">
        <v>237.82</v>
      </c>
      <c r="M65" s="49">
        <v>20241126280</v>
      </c>
      <c r="N65" s="50" t="s">
        <v>13</v>
      </c>
      <c r="O65" s="50"/>
      <c r="P65" s="50"/>
      <c r="Q65" s="51"/>
      <c r="R65" s="50"/>
      <c r="S65" s="50"/>
      <c r="T65" s="51"/>
      <c r="U65" s="50"/>
    </row>
    <row r="66" spans="1:21" x14ac:dyDescent="0.25">
      <c r="A66" s="45" t="s">
        <v>324</v>
      </c>
      <c r="B66" s="46">
        <v>45762</v>
      </c>
      <c r="C66" s="45" t="s">
        <v>352</v>
      </c>
      <c r="D66" s="47" t="s">
        <v>175</v>
      </c>
      <c r="E66" s="45" t="s">
        <v>245</v>
      </c>
      <c r="F66" s="45" t="s">
        <v>246</v>
      </c>
      <c r="G66" s="45" t="s">
        <v>2313</v>
      </c>
      <c r="H66" s="45" t="s">
        <v>2314</v>
      </c>
      <c r="I66" s="45" t="s">
        <v>1282</v>
      </c>
      <c r="J66" s="45">
        <v>585753792</v>
      </c>
      <c r="K66" s="45" t="s">
        <v>1115</v>
      </c>
      <c r="L66" s="48">
        <v>150</v>
      </c>
      <c r="M66" s="49">
        <v>20241126244</v>
      </c>
      <c r="N66" s="50" t="s">
        <v>13</v>
      </c>
      <c r="O66" s="50"/>
      <c r="P66" s="50"/>
      <c r="Q66" s="51"/>
      <c r="R66" s="50"/>
      <c r="S66" s="50"/>
      <c r="T66" s="51"/>
      <c r="U66" s="50"/>
    </row>
    <row r="67" spans="1:21" x14ac:dyDescent="0.25">
      <c r="A67" s="45" t="s">
        <v>324</v>
      </c>
      <c r="B67" s="46">
        <v>45762</v>
      </c>
      <c r="C67" s="45" t="s">
        <v>352</v>
      </c>
      <c r="D67" s="47" t="s">
        <v>175</v>
      </c>
      <c r="E67" s="45" t="s">
        <v>245</v>
      </c>
      <c r="F67" s="45" t="s">
        <v>246</v>
      </c>
      <c r="G67" s="45" t="s">
        <v>2315</v>
      </c>
      <c r="H67" s="45" t="s">
        <v>2316</v>
      </c>
      <c r="I67" s="45" t="s">
        <v>2317</v>
      </c>
      <c r="J67" s="45">
        <v>607625757</v>
      </c>
      <c r="K67" s="45" t="s">
        <v>1826</v>
      </c>
      <c r="L67" s="48">
        <v>120</v>
      </c>
      <c r="M67" s="49">
        <v>20241127579</v>
      </c>
      <c r="N67" s="50" t="s">
        <v>13</v>
      </c>
      <c r="O67" s="50"/>
      <c r="P67" s="50"/>
      <c r="Q67" s="51"/>
      <c r="R67" s="50"/>
      <c r="S67" s="50"/>
      <c r="T67" s="51"/>
      <c r="U67" s="50"/>
    </row>
    <row r="68" spans="1:21" x14ac:dyDescent="0.25">
      <c r="A68" s="45" t="s">
        <v>1138</v>
      </c>
      <c r="B68" s="46">
        <v>45762</v>
      </c>
      <c r="C68" s="45" t="s">
        <v>352</v>
      </c>
      <c r="D68" s="47" t="s">
        <v>175</v>
      </c>
      <c r="E68" s="45" t="s">
        <v>245</v>
      </c>
      <c r="F68" s="45" t="s">
        <v>246</v>
      </c>
      <c r="G68" s="45" t="s">
        <v>1781</v>
      </c>
      <c r="H68" s="45" t="s">
        <v>1487</v>
      </c>
      <c r="I68" s="45" t="s">
        <v>2318</v>
      </c>
      <c r="J68" s="45">
        <v>611344029</v>
      </c>
      <c r="K68" s="45" t="s">
        <v>237</v>
      </c>
      <c r="L68" s="48">
        <v>1871.16</v>
      </c>
      <c r="M68" s="49">
        <v>20241126728</v>
      </c>
      <c r="N68" s="50" t="s">
        <v>13</v>
      </c>
      <c r="O68" s="50"/>
      <c r="P68" s="50"/>
      <c r="Q68" s="51"/>
      <c r="R68" s="50"/>
      <c r="S68" s="50"/>
      <c r="T68" s="51"/>
      <c r="U68" s="50"/>
    </row>
    <row r="69" spans="1:21" x14ac:dyDescent="0.25">
      <c r="A69" s="45" t="s">
        <v>407</v>
      </c>
      <c r="B69" s="46">
        <v>45762</v>
      </c>
      <c r="C69" s="45" t="s">
        <v>352</v>
      </c>
      <c r="D69" s="47" t="s">
        <v>175</v>
      </c>
      <c r="E69" s="45" t="s">
        <v>245</v>
      </c>
      <c r="F69" s="45" t="s">
        <v>246</v>
      </c>
      <c r="G69" s="45" t="s">
        <v>1781</v>
      </c>
      <c r="H69" s="45" t="s">
        <v>1487</v>
      </c>
      <c r="I69" s="45" t="s">
        <v>2318</v>
      </c>
      <c r="J69" s="45">
        <v>611344029</v>
      </c>
      <c r="K69" s="45" t="s">
        <v>237</v>
      </c>
      <c r="L69" s="48">
        <v>1871.16</v>
      </c>
      <c r="M69" s="49">
        <v>20241126728</v>
      </c>
      <c r="N69" s="50" t="s">
        <v>13</v>
      </c>
      <c r="O69" s="50"/>
      <c r="P69" s="50"/>
      <c r="Q69" s="51"/>
      <c r="R69" s="50"/>
      <c r="S69" s="50"/>
      <c r="T69" s="51"/>
      <c r="U69" s="50"/>
    </row>
    <row r="70" spans="1:21" ht="25.5" x14ac:dyDescent="0.25">
      <c r="A70" s="45" t="s">
        <v>233</v>
      </c>
      <c r="B70" s="46">
        <v>45762</v>
      </c>
      <c r="C70" s="45" t="s">
        <v>352</v>
      </c>
      <c r="D70" s="47" t="s">
        <v>175</v>
      </c>
      <c r="E70" s="45" t="s">
        <v>245</v>
      </c>
      <c r="F70" s="45" t="s">
        <v>246</v>
      </c>
      <c r="G70" s="45" t="s">
        <v>263</v>
      </c>
      <c r="H70" s="45" t="s">
        <v>854</v>
      </c>
      <c r="I70" s="45" t="s">
        <v>855</v>
      </c>
      <c r="J70" s="45">
        <v>620405012</v>
      </c>
      <c r="K70" s="45" t="s">
        <v>2244</v>
      </c>
      <c r="L70" s="48">
        <v>71.540000000000006</v>
      </c>
      <c r="M70" s="49">
        <v>20241127542</v>
      </c>
      <c r="N70" s="50" t="s">
        <v>13</v>
      </c>
      <c r="O70" s="50"/>
      <c r="P70" s="50"/>
      <c r="Q70" s="51"/>
      <c r="R70" s="50"/>
      <c r="S70" s="50"/>
      <c r="T70" s="51"/>
      <c r="U70" s="50"/>
    </row>
    <row r="71" spans="1:21" ht="25.5" x14ac:dyDescent="0.25">
      <c r="A71" s="45" t="s">
        <v>233</v>
      </c>
      <c r="B71" s="46">
        <v>45762</v>
      </c>
      <c r="C71" s="45" t="s">
        <v>352</v>
      </c>
      <c r="D71" s="47" t="s">
        <v>175</v>
      </c>
      <c r="E71" s="45" t="s">
        <v>245</v>
      </c>
      <c r="F71" s="45" t="s">
        <v>246</v>
      </c>
      <c r="G71" s="45" t="s">
        <v>263</v>
      </c>
      <c r="H71" s="45" t="s">
        <v>854</v>
      </c>
      <c r="I71" s="45" t="s">
        <v>855</v>
      </c>
      <c r="J71" s="45">
        <v>620405012</v>
      </c>
      <c r="K71" s="45" t="s">
        <v>2309</v>
      </c>
      <c r="L71" s="48">
        <v>6.59</v>
      </c>
      <c r="M71" s="49">
        <v>20241127544</v>
      </c>
      <c r="N71" s="50" t="s">
        <v>13</v>
      </c>
      <c r="O71" s="50"/>
      <c r="P71" s="50"/>
      <c r="Q71" s="51"/>
      <c r="R71" s="50"/>
      <c r="S71" s="50"/>
      <c r="T71" s="51"/>
      <c r="U71" s="50"/>
    </row>
    <row r="72" spans="1:21" x14ac:dyDescent="0.25">
      <c r="A72" s="45" t="s">
        <v>324</v>
      </c>
      <c r="B72" s="46">
        <v>45762</v>
      </c>
      <c r="C72" s="45" t="s">
        <v>352</v>
      </c>
      <c r="D72" s="47" t="s">
        <v>175</v>
      </c>
      <c r="E72" s="45" t="s">
        <v>245</v>
      </c>
      <c r="F72" s="45" t="s">
        <v>246</v>
      </c>
      <c r="G72" s="45" t="s">
        <v>2313</v>
      </c>
      <c r="H72" s="45" t="s">
        <v>2319</v>
      </c>
      <c r="I72" s="45" t="s">
        <v>2320</v>
      </c>
      <c r="J72" s="45">
        <v>620880674</v>
      </c>
      <c r="K72" s="45" t="s">
        <v>898</v>
      </c>
      <c r="L72" s="48">
        <v>50</v>
      </c>
      <c r="M72" s="49">
        <v>20241126202</v>
      </c>
      <c r="N72" s="50" t="s">
        <v>13</v>
      </c>
      <c r="O72" s="50"/>
      <c r="P72" s="50"/>
      <c r="Q72" s="51"/>
      <c r="R72" s="50"/>
      <c r="S72" s="50"/>
      <c r="T72" s="51"/>
      <c r="U72" s="50"/>
    </row>
    <row r="73" spans="1:21" x14ac:dyDescent="0.25">
      <c r="A73" s="45" t="s">
        <v>324</v>
      </c>
      <c r="B73" s="46">
        <v>45762</v>
      </c>
      <c r="C73" s="45" t="s">
        <v>352</v>
      </c>
      <c r="D73" s="47" t="s">
        <v>175</v>
      </c>
      <c r="E73" s="45" t="s">
        <v>245</v>
      </c>
      <c r="F73" s="45" t="s">
        <v>246</v>
      </c>
      <c r="G73" s="45" t="s">
        <v>2313</v>
      </c>
      <c r="H73" s="45" t="s">
        <v>2319</v>
      </c>
      <c r="I73" s="45" t="s">
        <v>2320</v>
      </c>
      <c r="J73" s="45">
        <v>620880674</v>
      </c>
      <c r="K73" s="45" t="s">
        <v>2098</v>
      </c>
      <c r="L73" s="48">
        <v>165</v>
      </c>
      <c r="M73" s="49">
        <v>20241126206</v>
      </c>
      <c r="N73" s="50" t="s">
        <v>13</v>
      </c>
      <c r="O73" s="50"/>
      <c r="P73" s="50"/>
      <c r="Q73" s="51"/>
      <c r="R73" s="50"/>
      <c r="S73" s="50"/>
      <c r="T73" s="51"/>
      <c r="U73" s="50"/>
    </row>
    <row r="74" spans="1:21" x14ac:dyDescent="0.25">
      <c r="A74" s="45" t="s">
        <v>324</v>
      </c>
      <c r="B74" s="46">
        <v>45762</v>
      </c>
      <c r="C74" s="45" t="s">
        <v>352</v>
      </c>
      <c r="D74" s="47" t="s">
        <v>175</v>
      </c>
      <c r="E74" s="45" t="s">
        <v>245</v>
      </c>
      <c r="F74" s="45" t="s">
        <v>246</v>
      </c>
      <c r="G74" s="45" t="s">
        <v>2313</v>
      </c>
      <c r="H74" s="45" t="s">
        <v>2319</v>
      </c>
      <c r="I74" s="45" t="s">
        <v>2320</v>
      </c>
      <c r="J74" s="45">
        <v>620880674</v>
      </c>
      <c r="K74" s="45" t="s">
        <v>1973</v>
      </c>
      <c r="L74" s="48">
        <v>165</v>
      </c>
      <c r="M74" s="49">
        <v>20241126207</v>
      </c>
      <c r="N74" s="50" t="s">
        <v>13</v>
      </c>
      <c r="O74" s="50"/>
      <c r="P74" s="50"/>
      <c r="Q74" s="51"/>
      <c r="R74" s="50"/>
      <c r="S74" s="50"/>
      <c r="T74" s="51"/>
      <c r="U74" s="50"/>
    </row>
    <row r="75" spans="1:21" x14ac:dyDescent="0.25">
      <c r="A75" s="45" t="s">
        <v>324</v>
      </c>
      <c r="B75" s="46">
        <v>45762</v>
      </c>
      <c r="C75" s="45" t="s">
        <v>352</v>
      </c>
      <c r="D75" s="47" t="s">
        <v>175</v>
      </c>
      <c r="E75" s="45" t="s">
        <v>245</v>
      </c>
      <c r="F75" s="45" t="s">
        <v>246</v>
      </c>
      <c r="G75" s="45" t="s">
        <v>2313</v>
      </c>
      <c r="H75" s="45" t="s">
        <v>2319</v>
      </c>
      <c r="I75" s="45" t="s">
        <v>2320</v>
      </c>
      <c r="J75" s="45">
        <v>620880674</v>
      </c>
      <c r="K75" s="45" t="s">
        <v>1912</v>
      </c>
      <c r="L75" s="48">
        <v>165</v>
      </c>
      <c r="M75" s="49">
        <v>20241126209</v>
      </c>
      <c r="N75" s="50" t="s">
        <v>13</v>
      </c>
      <c r="O75" s="50"/>
      <c r="P75" s="50"/>
      <c r="Q75" s="51"/>
      <c r="R75" s="50"/>
      <c r="S75" s="50"/>
      <c r="T75" s="51"/>
      <c r="U75" s="50"/>
    </row>
    <row r="76" spans="1:21" x14ac:dyDescent="0.25">
      <c r="A76" s="45" t="s">
        <v>324</v>
      </c>
      <c r="B76" s="46">
        <v>45762</v>
      </c>
      <c r="C76" s="45" t="s">
        <v>352</v>
      </c>
      <c r="D76" s="47" t="s">
        <v>175</v>
      </c>
      <c r="E76" s="45" t="s">
        <v>245</v>
      </c>
      <c r="F76" s="45" t="s">
        <v>246</v>
      </c>
      <c r="G76" s="45" t="s">
        <v>2313</v>
      </c>
      <c r="H76" s="45" t="s">
        <v>2319</v>
      </c>
      <c r="I76" s="45" t="s">
        <v>2320</v>
      </c>
      <c r="J76" s="45">
        <v>620880674</v>
      </c>
      <c r="K76" s="45" t="s">
        <v>1588</v>
      </c>
      <c r="L76" s="48">
        <v>135</v>
      </c>
      <c r="M76" s="49">
        <v>20241126211</v>
      </c>
      <c r="N76" s="50" t="s">
        <v>13</v>
      </c>
      <c r="O76" s="50"/>
      <c r="P76" s="50"/>
      <c r="Q76" s="51"/>
      <c r="R76" s="50"/>
      <c r="S76" s="50"/>
      <c r="T76" s="51"/>
      <c r="U76" s="50"/>
    </row>
    <row r="77" spans="1:21" x14ac:dyDescent="0.25">
      <c r="A77" s="45" t="s">
        <v>324</v>
      </c>
      <c r="B77" s="46">
        <v>45762</v>
      </c>
      <c r="C77" s="45" t="s">
        <v>352</v>
      </c>
      <c r="D77" s="47" t="s">
        <v>175</v>
      </c>
      <c r="E77" s="45" t="s">
        <v>245</v>
      </c>
      <c r="F77" s="45" t="s">
        <v>246</v>
      </c>
      <c r="G77" s="45" t="s">
        <v>2313</v>
      </c>
      <c r="H77" s="45" t="s">
        <v>2319</v>
      </c>
      <c r="I77" s="45" t="s">
        <v>2320</v>
      </c>
      <c r="J77" s="45">
        <v>620880674</v>
      </c>
      <c r="K77" s="45" t="s">
        <v>2321</v>
      </c>
      <c r="L77" s="48">
        <v>100</v>
      </c>
      <c r="M77" s="49">
        <v>20241126214</v>
      </c>
      <c r="N77" s="50" t="s">
        <v>13</v>
      </c>
      <c r="O77" s="50"/>
      <c r="P77" s="50"/>
      <c r="Q77" s="51"/>
      <c r="R77" s="50"/>
      <c r="S77" s="50"/>
      <c r="T77" s="51"/>
      <c r="U77" s="50"/>
    </row>
    <row r="78" spans="1:21" x14ac:dyDescent="0.25">
      <c r="A78" s="45" t="s">
        <v>324</v>
      </c>
      <c r="B78" s="46">
        <v>45762</v>
      </c>
      <c r="C78" s="45" t="s">
        <v>352</v>
      </c>
      <c r="D78" s="47" t="s">
        <v>175</v>
      </c>
      <c r="E78" s="45" t="s">
        <v>245</v>
      </c>
      <c r="F78" s="45" t="s">
        <v>246</v>
      </c>
      <c r="G78" s="45" t="s">
        <v>1501</v>
      </c>
      <c r="H78" s="45" t="s">
        <v>1448</v>
      </c>
      <c r="I78" s="45" t="s">
        <v>2322</v>
      </c>
      <c r="J78" s="45">
        <v>621245782</v>
      </c>
      <c r="K78" s="45" t="s">
        <v>978</v>
      </c>
      <c r="L78" s="48">
        <v>300</v>
      </c>
      <c r="M78" s="49">
        <v>20241125382</v>
      </c>
      <c r="N78" s="50" t="s">
        <v>13</v>
      </c>
      <c r="O78" s="50"/>
      <c r="P78" s="50"/>
      <c r="Q78" s="51"/>
      <c r="R78" s="50"/>
      <c r="S78" s="50"/>
      <c r="T78" s="51"/>
      <c r="U78" s="50"/>
    </row>
    <row r="79" spans="1:21" x14ac:dyDescent="0.25">
      <c r="A79" s="45" t="s">
        <v>324</v>
      </c>
      <c r="B79" s="46">
        <v>45762</v>
      </c>
      <c r="C79" s="45" t="s">
        <v>352</v>
      </c>
      <c r="D79" s="47" t="s">
        <v>175</v>
      </c>
      <c r="E79" s="45" t="s">
        <v>245</v>
      </c>
      <c r="F79" s="45" t="s">
        <v>246</v>
      </c>
      <c r="G79" s="45" t="s">
        <v>1501</v>
      </c>
      <c r="H79" s="45" t="s">
        <v>1448</v>
      </c>
      <c r="I79" s="45" t="s">
        <v>2322</v>
      </c>
      <c r="J79" s="45">
        <v>621245782</v>
      </c>
      <c r="K79" s="45" t="s">
        <v>978</v>
      </c>
      <c r="L79" s="48">
        <v>500</v>
      </c>
      <c r="M79" s="49">
        <v>20241125382</v>
      </c>
      <c r="N79" s="50" t="s">
        <v>13</v>
      </c>
      <c r="O79" s="50"/>
      <c r="P79" s="50"/>
      <c r="Q79" s="51"/>
      <c r="R79" s="50"/>
      <c r="S79" s="50"/>
      <c r="T79" s="51"/>
      <c r="U79" s="50"/>
    </row>
    <row r="80" spans="1:21" x14ac:dyDescent="0.25">
      <c r="A80" s="45" t="s">
        <v>324</v>
      </c>
      <c r="B80" s="46">
        <v>45762</v>
      </c>
      <c r="C80" s="45" t="s">
        <v>352</v>
      </c>
      <c r="D80" s="47" t="s">
        <v>175</v>
      </c>
      <c r="E80" s="45" t="s">
        <v>245</v>
      </c>
      <c r="F80" s="45" t="s">
        <v>246</v>
      </c>
      <c r="G80" s="45" t="s">
        <v>1501</v>
      </c>
      <c r="H80" s="45" t="s">
        <v>1448</v>
      </c>
      <c r="I80" s="45" t="s">
        <v>2322</v>
      </c>
      <c r="J80" s="45">
        <v>621245782</v>
      </c>
      <c r="K80" s="45" t="s">
        <v>392</v>
      </c>
      <c r="L80" s="48">
        <v>500</v>
      </c>
      <c r="M80" s="49">
        <v>20241125398</v>
      </c>
      <c r="N80" s="50" t="s">
        <v>13</v>
      </c>
      <c r="O80" s="50"/>
      <c r="P80" s="50"/>
      <c r="Q80" s="51"/>
      <c r="R80" s="50"/>
      <c r="S80" s="50"/>
      <c r="T80" s="51"/>
      <c r="U80" s="50"/>
    </row>
    <row r="81" spans="1:21" x14ac:dyDescent="0.25">
      <c r="A81" s="45" t="s">
        <v>29</v>
      </c>
      <c r="B81" s="46">
        <v>45762</v>
      </c>
      <c r="C81" s="45" t="s">
        <v>352</v>
      </c>
      <c r="D81" s="47" t="s">
        <v>175</v>
      </c>
      <c r="E81" s="45" t="s">
        <v>84</v>
      </c>
      <c r="F81" s="45" t="s">
        <v>273</v>
      </c>
      <c r="G81" s="45" t="s">
        <v>2323</v>
      </c>
      <c r="H81" s="45" t="s">
        <v>371</v>
      </c>
      <c r="I81" s="45" t="s">
        <v>2324</v>
      </c>
      <c r="J81" s="45">
        <v>594173323</v>
      </c>
      <c r="K81" s="45" t="s">
        <v>1358</v>
      </c>
      <c r="L81" s="48">
        <v>1600</v>
      </c>
      <c r="M81" s="49">
        <v>20241126598</v>
      </c>
      <c r="N81" s="50" t="s">
        <v>13</v>
      </c>
      <c r="O81" s="50"/>
      <c r="P81" s="50"/>
      <c r="Q81" s="51"/>
      <c r="R81" s="50"/>
      <c r="S81" s="50"/>
      <c r="T81" s="51"/>
      <c r="U81" s="50"/>
    </row>
    <row r="82" spans="1:21" x14ac:dyDescent="0.25">
      <c r="A82" s="45" t="s">
        <v>20</v>
      </c>
      <c r="B82" s="46">
        <v>45762</v>
      </c>
      <c r="C82" s="45" t="s">
        <v>352</v>
      </c>
      <c r="D82" s="47" t="s">
        <v>175</v>
      </c>
      <c r="E82" s="45" t="s">
        <v>277</v>
      </c>
      <c r="F82" s="45" t="s">
        <v>278</v>
      </c>
      <c r="G82" s="45" t="s">
        <v>798</v>
      </c>
      <c r="H82" s="45" t="s">
        <v>1177</v>
      </c>
      <c r="I82" s="45" t="s">
        <v>2291</v>
      </c>
      <c r="J82" s="45">
        <v>114643894</v>
      </c>
      <c r="K82" s="45" t="s">
        <v>113</v>
      </c>
      <c r="L82" s="48">
        <v>12.99</v>
      </c>
      <c r="M82" s="49">
        <v>20241125508</v>
      </c>
      <c r="N82" s="50" t="s">
        <v>13</v>
      </c>
      <c r="O82" s="50"/>
      <c r="P82" s="50"/>
      <c r="Q82" s="51"/>
      <c r="R82" s="50"/>
      <c r="S82" s="50"/>
      <c r="T82" s="51"/>
      <c r="U82" s="50"/>
    </row>
    <row r="83" spans="1:21" x14ac:dyDescent="0.25">
      <c r="A83" s="45" t="s">
        <v>20</v>
      </c>
      <c r="B83" s="46">
        <v>45762</v>
      </c>
      <c r="C83" s="45" t="s">
        <v>352</v>
      </c>
      <c r="D83" s="47" t="s">
        <v>175</v>
      </c>
      <c r="E83" s="45" t="s">
        <v>277</v>
      </c>
      <c r="F83" s="45" t="s">
        <v>278</v>
      </c>
      <c r="G83" s="45" t="s">
        <v>798</v>
      </c>
      <c r="H83" s="45" t="s">
        <v>1177</v>
      </c>
      <c r="I83" s="45" t="s">
        <v>2291</v>
      </c>
      <c r="J83" s="45">
        <v>114643894</v>
      </c>
      <c r="K83" s="45" t="s">
        <v>422</v>
      </c>
      <c r="L83" s="48">
        <v>23.94</v>
      </c>
      <c r="M83" s="49">
        <v>20241125491</v>
      </c>
      <c r="N83" s="50" t="s">
        <v>13</v>
      </c>
      <c r="O83" s="50"/>
      <c r="P83" s="50"/>
      <c r="Q83" s="51"/>
      <c r="R83" s="50"/>
      <c r="S83" s="50"/>
      <c r="T83" s="51"/>
      <c r="U83" s="50"/>
    </row>
    <row r="84" spans="1:21" x14ac:dyDescent="0.25">
      <c r="A84" s="45" t="s">
        <v>20</v>
      </c>
      <c r="B84" s="46">
        <v>45762</v>
      </c>
      <c r="C84" s="45" t="s">
        <v>352</v>
      </c>
      <c r="D84" s="47" t="s">
        <v>175</v>
      </c>
      <c r="E84" s="45" t="s">
        <v>277</v>
      </c>
      <c r="F84" s="45" t="s">
        <v>278</v>
      </c>
      <c r="G84" s="45" t="s">
        <v>798</v>
      </c>
      <c r="H84" s="45" t="s">
        <v>1177</v>
      </c>
      <c r="I84" s="45" t="s">
        <v>2291</v>
      </c>
      <c r="J84" s="45">
        <v>114643894</v>
      </c>
      <c r="K84" s="45" t="s">
        <v>184</v>
      </c>
      <c r="L84" s="48">
        <v>23.94</v>
      </c>
      <c r="M84" s="49">
        <v>20241125492</v>
      </c>
      <c r="N84" s="50" t="s">
        <v>13</v>
      </c>
      <c r="O84" s="50"/>
      <c r="P84" s="50"/>
      <c r="Q84" s="51"/>
      <c r="R84" s="50"/>
      <c r="S84" s="50"/>
      <c r="T84" s="51"/>
      <c r="U84" s="50"/>
    </row>
    <row r="85" spans="1:21" x14ac:dyDescent="0.25">
      <c r="A85" s="45" t="s">
        <v>20</v>
      </c>
      <c r="B85" s="46">
        <v>45762</v>
      </c>
      <c r="C85" s="45" t="s">
        <v>352</v>
      </c>
      <c r="D85" s="47" t="s">
        <v>175</v>
      </c>
      <c r="E85" s="45" t="s">
        <v>277</v>
      </c>
      <c r="F85" s="45" t="s">
        <v>278</v>
      </c>
      <c r="G85" s="45" t="s">
        <v>798</v>
      </c>
      <c r="H85" s="45" t="s">
        <v>1177</v>
      </c>
      <c r="I85" s="45" t="s">
        <v>2291</v>
      </c>
      <c r="J85" s="45">
        <v>114643894</v>
      </c>
      <c r="K85" s="45" t="s">
        <v>1943</v>
      </c>
      <c r="L85" s="48">
        <v>33.49</v>
      </c>
      <c r="M85" s="49">
        <v>20241125505</v>
      </c>
      <c r="N85" s="50" t="s">
        <v>13</v>
      </c>
      <c r="O85" s="50"/>
      <c r="P85" s="50"/>
      <c r="Q85" s="51"/>
      <c r="R85" s="50"/>
      <c r="S85" s="50"/>
      <c r="T85" s="51"/>
      <c r="U85" s="50"/>
    </row>
    <row r="86" spans="1:21" x14ac:dyDescent="0.25">
      <c r="A86" s="45" t="s">
        <v>20</v>
      </c>
      <c r="B86" s="46">
        <v>45762</v>
      </c>
      <c r="C86" s="45" t="s">
        <v>352</v>
      </c>
      <c r="D86" s="47" t="s">
        <v>175</v>
      </c>
      <c r="E86" s="45" t="s">
        <v>277</v>
      </c>
      <c r="F86" s="45" t="s">
        <v>278</v>
      </c>
      <c r="G86" s="45" t="s">
        <v>798</v>
      </c>
      <c r="H86" s="45" t="s">
        <v>1177</v>
      </c>
      <c r="I86" s="45" t="s">
        <v>2291</v>
      </c>
      <c r="J86" s="45">
        <v>114643894</v>
      </c>
      <c r="K86" s="45" t="s">
        <v>1922</v>
      </c>
      <c r="L86" s="48">
        <v>15.49</v>
      </c>
      <c r="M86" s="49">
        <v>20241125506</v>
      </c>
      <c r="N86" s="50" t="s">
        <v>13</v>
      </c>
      <c r="O86" s="50"/>
      <c r="P86" s="50"/>
      <c r="Q86" s="51"/>
      <c r="R86" s="50"/>
      <c r="S86" s="50"/>
      <c r="T86" s="51"/>
      <c r="U86" s="50"/>
    </row>
    <row r="87" spans="1:21" x14ac:dyDescent="0.25">
      <c r="A87" s="45" t="s">
        <v>20</v>
      </c>
      <c r="B87" s="46">
        <v>45762</v>
      </c>
      <c r="C87" s="45" t="s">
        <v>352</v>
      </c>
      <c r="D87" s="47" t="s">
        <v>175</v>
      </c>
      <c r="E87" s="45" t="s">
        <v>277</v>
      </c>
      <c r="F87" s="45" t="s">
        <v>278</v>
      </c>
      <c r="G87" s="45" t="s">
        <v>798</v>
      </c>
      <c r="H87" s="45" t="s">
        <v>1177</v>
      </c>
      <c r="I87" s="45" t="s">
        <v>2291</v>
      </c>
      <c r="J87" s="45">
        <v>114643894</v>
      </c>
      <c r="K87" s="45" t="s">
        <v>2325</v>
      </c>
      <c r="L87" s="48">
        <v>12.99</v>
      </c>
      <c r="M87" s="49">
        <v>20241125507</v>
      </c>
      <c r="N87" s="50" t="s">
        <v>13</v>
      </c>
      <c r="O87" s="50"/>
      <c r="P87" s="50"/>
      <c r="Q87" s="51"/>
      <c r="R87" s="50"/>
      <c r="S87" s="50"/>
      <c r="T87" s="51"/>
      <c r="U87" s="50"/>
    </row>
    <row r="88" spans="1:21" x14ac:dyDescent="0.25">
      <c r="A88" s="45" t="s">
        <v>20</v>
      </c>
      <c r="B88" s="46">
        <v>45762</v>
      </c>
      <c r="C88" s="45" t="s">
        <v>352</v>
      </c>
      <c r="D88" s="47" t="s">
        <v>175</v>
      </c>
      <c r="E88" s="45" t="s">
        <v>277</v>
      </c>
      <c r="F88" s="45" t="s">
        <v>278</v>
      </c>
      <c r="G88" s="45" t="s">
        <v>798</v>
      </c>
      <c r="H88" s="45" t="s">
        <v>1177</v>
      </c>
      <c r="I88" s="45" t="s">
        <v>2291</v>
      </c>
      <c r="J88" s="45">
        <v>114643894</v>
      </c>
      <c r="K88" s="45" t="s">
        <v>2326</v>
      </c>
      <c r="L88" s="48">
        <v>19.98</v>
      </c>
      <c r="M88" s="49">
        <v>20241125509</v>
      </c>
      <c r="N88" s="50" t="s">
        <v>13</v>
      </c>
      <c r="O88" s="50"/>
      <c r="P88" s="50"/>
      <c r="Q88" s="51"/>
      <c r="R88" s="50"/>
      <c r="S88" s="50"/>
      <c r="T88" s="51"/>
      <c r="U88" s="50"/>
    </row>
    <row r="89" spans="1:21" x14ac:dyDescent="0.25">
      <c r="A89" s="45" t="s">
        <v>20</v>
      </c>
      <c r="B89" s="46">
        <v>45762</v>
      </c>
      <c r="C89" s="45" t="s">
        <v>352</v>
      </c>
      <c r="D89" s="47" t="s">
        <v>175</v>
      </c>
      <c r="E89" s="45" t="s">
        <v>277</v>
      </c>
      <c r="F89" s="45" t="s">
        <v>278</v>
      </c>
      <c r="G89" s="45" t="s">
        <v>798</v>
      </c>
      <c r="H89" s="45" t="s">
        <v>1177</v>
      </c>
      <c r="I89" s="45" t="s">
        <v>2291</v>
      </c>
      <c r="J89" s="45">
        <v>114643894</v>
      </c>
      <c r="K89" s="45" t="s">
        <v>1843</v>
      </c>
      <c r="L89" s="48">
        <v>15</v>
      </c>
      <c r="M89" s="49">
        <v>20241125482</v>
      </c>
      <c r="N89" s="50" t="s">
        <v>13</v>
      </c>
      <c r="O89" s="50"/>
      <c r="P89" s="50"/>
      <c r="Q89" s="51"/>
      <c r="R89" s="50"/>
      <c r="S89" s="50"/>
      <c r="T89" s="51"/>
      <c r="U89" s="50"/>
    </row>
    <row r="90" spans="1:21" x14ac:dyDescent="0.25">
      <c r="A90" s="45" t="s">
        <v>20</v>
      </c>
      <c r="B90" s="46">
        <v>45762</v>
      </c>
      <c r="C90" s="45" t="s">
        <v>352</v>
      </c>
      <c r="D90" s="47" t="s">
        <v>175</v>
      </c>
      <c r="E90" s="45" t="s">
        <v>277</v>
      </c>
      <c r="F90" s="45" t="s">
        <v>278</v>
      </c>
      <c r="G90" s="45" t="s">
        <v>798</v>
      </c>
      <c r="H90" s="45" t="s">
        <v>1177</v>
      </c>
      <c r="I90" s="45" t="s">
        <v>2291</v>
      </c>
      <c r="J90" s="45">
        <v>114643894</v>
      </c>
      <c r="K90" s="45" t="s">
        <v>1358</v>
      </c>
      <c r="L90" s="48">
        <v>50</v>
      </c>
      <c r="M90" s="49">
        <v>20241125484</v>
      </c>
      <c r="N90" s="50" t="s">
        <v>13</v>
      </c>
      <c r="O90" s="50"/>
      <c r="P90" s="50"/>
      <c r="Q90" s="51"/>
      <c r="R90" s="50"/>
      <c r="S90" s="50"/>
      <c r="T90" s="51"/>
      <c r="U90" s="50"/>
    </row>
    <row r="91" spans="1:21" x14ac:dyDescent="0.25">
      <c r="A91" s="45" t="s">
        <v>20</v>
      </c>
      <c r="B91" s="46">
        <v>45762</v>
      </c>
      <c r="C91" s="45" t="s">
        <v>352</v>
      </c>
      <c r="D91" s="47" t="s">
        <v>175</v>
      </c>
      <c r="E91" s="45" t="s">
        <v>277</v>
      </c>
      <c r="F91" s="45" t="s">
        <v>278</v>
      </c>
      <c r="G91" s="45" t="s">
        <v>798</v>
      </c>
      <c r="H91" s="45" t="s">
        <v>1177</v>
      </c>
      <c r="I91" s="45" t="s">
        <v>2291</v>
      </c>
      <c r="J91" s="45">
        <v>114643894</v>
      </c>
      <c r="K91" s="45" t="s">
        <v>1358</v>
      </c>
      <c r="L91" s="48">
        <v>57.5</v>
      </c>
      <c r="M91" s="49">
        <v>20241125487</v>
      </c>
      <c r="N91" s="50" t="s">
        <v>13</v>
      </c>
      <c r="O91" s="50"/>
      <c r="P91" s="50"/>
      <c r="Q91" s="51"/>
      <c r="R91" s="50"/>
      <c r="S91" s="50"/>
      <c r="T91" s="51"/>
      <c r="U91" s="50"/>
    </row>
    <row r="92" spans="1:21" x14ac:dyDescent="0.25">
      <c r="A92" s="45" t="s">
        <v>20</v>
      </c>
      <c r="B92" s="46">
        <v>45762</v>
      </c>
      <c r="C92" s="45" t="s">
        <v>352</v>
      </c>
      <c r="D92" s="47" t="s">
        <v>175</v>
      </c>
      <c r="E92" s="45" t="s">
        <v>277</v>
      </c>
      <c r="F92" s="45" t="s">
        <v>278</v>
      </c>
      <c r="G92" s="45" t="s">
        <v>798</v>
      </c>
      <c r="H92" s="45" t="s">
        <v>1177</v>
      </c>
      <c r="I92" s="45" t="s">
        <v>2291</v>
      </c>
      <c r="J92" s="45">
        <v>114643894</v>
      </c>
      <c r="K92" s="45" t="s">
        <v>1358</v>
      </c>
      <c r="L92" s="48">
        <v>11.54</v>
      </c>
      <c r="M92" s="49">
        <v>20241125483</v>
      </c>
      <c r="N92" s="50" t="s">
        <v>13</v>
      </c>
      <c r="O92" s="50"/>
      <c r="P92" s="50"/>
      <c r="Q92" s="51"/>
      <c r="R92" s="50"/>
      <c r="S92" s="50"/>
      <c r="T92" s="51"/>
      <c r="U92" s="50"/>
    </row>
    <row r="93" spans="1:21" x14ac:dyDescent="0.25">
      <c r="A93" s="45" t="s">
        <v>20</v>
      </c>
      <c r="B93" s="46">
        <v>45762</v>
      </c>
      <c r="C93" s="45" t="s">
        <v>352</v>
      </c>
      <c r="D93" s="47" t="s">
        <v>175</v>
      </c>
      <c r="E93" s="45" t="s">
        <v>277</v>
      </c>
      <c r="F93" s="45" t="s">
        <v>278</v>
      </c>
      <c r="G93" s="45" t="s">
        <v>798</v>
      </c>
      <c r="H93" s="45" t="s">
        <v>1177</v>
      </c>
      <c r="I93" s="45" t="s">
        <v>2291</v>
      </c>
      <c r="J93" s="45">
        <v>114643894</v>
      </c>
      <c r="K93" s="45" t="s">
        <v>1358</v>
      </c>
      <c r="L93" s="48">
        <v>3.96</v>
      </c>
      <c r="M93" s="49">
        <v>20241125481</v>
      </c>
      <c r="N93" s="50" t="s">
        <v>13</v>
      </c>
      <c r="O93" s="50"/>
      <c r="P93" s="50"/>
      <c r="Q93" s="51"/>
      <c r="R93" s="50"/>
      <c r="S93" s="50"/>
      <c r="T93" s="51"/>
      <c r="U93" s="50"/>
    </row>
    <row r="94" spans="1:21" x14ac:dyDescent="0.25">
      <c r="A94" s="45" t="s">
        <v>20</v>
      </c>
      <c r="B94" s="46">
        <v>45762</v>
      </c>
      <c r="C94" s="45" t="s">
        <v>352</v>
      </c>
      <c r="D94" s="47" t="s">
        <v>175</v>
      </c>
      <c r="E94" s="45" t="s">
        <v>277</v>
      </c>
      <c r="F94" s="45" t="s">
        <v>278</v>
      </c>
      <c r="G94" s="45" t="s">
        <v>178</v>
      </c>
      <c r="H94" s="45" t="s">
        <v>1055</v>
      </c>
      <c r="I94" s="45" t="s">
        <v>2327</v>
      </c>
      <c r="J94" s="45">
        <v>208665511</v>
      </c>
      <c r="K94" s="45" t="s">
        <v>83</v>
      </c>
      <c r="L94" s="48">
        <v>134.21</v>
      </c>
      <c r="M94" s="49">
        <v>20241125387</v>
      </c>
      <c r="N94" s="50" t="s">
        <v>13</v>
      </c>
      <c r="O94" s="50"/>
      <c r="P94" s="50"/>
      <c r="Q94" s="51"/>
      <c r="R94" s="50"/>
      <c r="S94" s="50"/>
      <c r="T94" s="51"/>
      <c r="U94" s="50"/>
    </row>
    <row r="95" spans="1:21" ht="45" x14ac:dyDescent="0.25">
      <c r="A95" s="45" t="s">
        <v>20</v>
      </c>
      <c r="B95" s="46">
        <v>45630</v>
      </c>
      <c r="C95" s="45" t="s">
        <v>114</v>
      </c>
      <c r="D95" s="47"/>
      <c r="E95" s="45" t="s">
        <v>277</v>
      </c>
      <c r="F95" s="45" t="s">
        <v>278</v>
      </c>
      <c r="G95" s="45" t="s">
        <v>178</v>
      </c>
      <c r="H95" s="45" t="s">
        <v>328</v>
      </c>
      <c r="I95" s="45" t="s">
        <v>1946</v>
      </c>
      <c r="J95" s="45">
        <v>219726431</v>
      </c>
      <c r="K95" s="45" t="s">
        <v>2098</v>
      </c>
      <c r="L95" s="48">
        <v>25</v>
      </c>
      <c r="M95" s="49">
        <v>20241125523</v>
      </c>
      <c r="N95" s="50"/>
      <c r="O95" s="50"/>
      <c r="P95" s="50" t="s">
        <v>304</v>
      </c>
      <c r="Q95" s="51" t="s">
        <v>2328</v>
      </c>
      <c r="R95" s="50"/>
      <c r="S95" s="50"/>
      <c r="T95" s="51"/>
      <c r="U95" s="50"/>
    </row>
    <row r="96" spans="1:21" x14ac:dyDescent="0.25">
      <c r="A96" s="45" t="s">
        <v>20</v>
      </c>
      <c r="B96" s="46">
        <v>45630</v>
      </c>
      <c r="C96" s="45" t="s">
        <v>114</v>
      </c>
      <c r="D96" s="47"/>
      <c r="E96" s="45" t="s">
        <v>277</v>
      </c>
      <c r="F96" s="45" t="s">
        <v>278</v>
      </c>
      <c r="G96" s="45" t="s">
        <v>178</v>
      </c>
      <c r="H96" s="45" t="s">
        <v>2329</v>
      </c>
      <c r="I96" s="45" t="s">
        <v>2330</v>
      </c>
      <c r="J96" s="45">
        <v>222628297</v>
      </c>
      <c r="K96" s="45" t="s">
        <v>1649</v>
      </c>
      <c r="L96" s="48">
        <v>816.58</v>
      </c>
      <c r="M96" s="49">
        <v>20241127586</v>
      </c>
      <c r="N96" s="50" t="s">
        <v>13</v>
      </c>
      <c r="O96" s="50"/>
      <c r="P96" s="50"/>
      <c r="Q96" s="51"/>
      <c r="R96" s="50"/>
      <c r="S96" s="50"/>
      <c r="T96" s="51"/>
      <c r="U96" s="50"/>
    </row>
    <row r="97" spans="1:21" ht="60" x14ac:dyDescent="0.25">
      <c r="A97" s="45" t="s">
        <v>233</v>
      </c>
      <c r="B97" s="46">
        <v>45762</v>
      </c>
      <c r="C97" s="45" t="s">
        <v>244</v>
      </c>
      <c r="D97" s="47" t="s">
        <v>175</v>
      </c>
      <c r="E97" s="45" t="s">
        <v>616</v>
      </c>
      <c r="F97" s="45" t="s">
        <v>617</v>
      </c>
      <c r="G97" s="45" t="s">
        <v>841</v>
      </c>
      <c r="H97" s="45" t="s">
        <v>2331</v>
      </c>
      <c r="I97" s="45" t="s">
        <v>2332</v>
      </c>
      <c r="J97" s="45">
        <v>506828403</v>
      </c>
      <c r="K97" s="45" t="s">
        <v>123</v>
      </c>
      <c r="L97" s="48">
        <v>75</v>
      </c>
      <c r="M97" s="49">
        <v>20241017534</v>
      </c>
      <c r="N97" s="50" t="s">
        <v>13</v>
      </c>
      <c r="O97" s="50"/>
      <c r="P97" s="50"/>
      <c r="Q97" s="51" t="s">
        <v>2333</v>
      </c>
      <c r="R97" s="50"/>
      <c r="S97" s="50"/>
      <c r="T97" s="51"/>
      <c r="U97" s="50"/>
    </row>
    <row r="98" spans="1:21" x14ac:dyDescent="0.25">
      <c r="A98" s="45" t="s">
        <v>29</v>
      </c>
      <c r="B98" s="46">
        <v>45630</v>
      </c>
      <c r="C98" s="45" t="s">
        <v>114</v>
      </c>
      <c r="D98" s="47"/>
      <c r="E98" s="45" t="s">
        <v>296</v>
      </c>
      <c r="F98" s="45" t="s">
        <v>297</v>
      </c>
      <c r="G98" s="45" t="s">
        <v>274</v>
      </c>
      <c r="H98" s="45" t="s">
        <v>2334</v>
      </c>
      <c r="I98" s="45" t="s">
        <v>2335</v>
      </c>
      <c r="J98" s="45">
        <v>423230055</v>
      </c>
      <c r="K98" s="45" t="s">
        <v>56</v>
      </c>
      <c r="L98" s="48">
        <v>4488</v>
      </c>
      <c r="M98" s="49">
        <v>20241125697</v>
      </c>
      <c r="N98" s="50" t="s">
        <v>28</v>
      </c>
      <c r="O98" s="50"/>
      <c r="P98" s="50"/>
      <c r="Q98" s="51"/>
      <c r="R98" s="50"/>
      <c r="S98" s="50"/>
      <c r="T98" s="51"/>
      <c r="U98" s="50"/>
    </row>
    <row r="99" spans="1:21" x14ac:dyDescent="0.25">
      <c r="A99" s="45" t="s">
        <v>20</v>
      </c>
      <c r="B99" s="46">
        <v>45630</v>
      </c>
      <c r="C99" s="45" t="s">
        <v>114</v>
      </c>
      <c r="D99" s="47"/>
      <c r="E99" s="45" t="s">
        <v>296</v>
      </c>
      <c r="F99" s="45" t="s">
        <v>297</v>
      </c>
      <c r="G99" s="45" t="s">
        <v>2336</v>
      </c>
      <c r="H99" s="45" t="s">
        <v>2337</v>
      </c>
      <c r="I99" s="45" t="s">
        <v>2338</v>
      </c>
      <c r="J99" s="45">
        <v>430273389</v>
      </c>
      <c r="K99" s="45" t="s">
        <v>1702</v>
      </c>
      <c r="L99" s="48">
        <v>115</v>
      </c>
      <c r="M99" s="49">
        <v>20241125687</v>
      </c>
      <c r="N99" s="50" t="s">
        <v>28</v>
      </c>
      <c r="O99" s="50"/>
      <c r="P99" s="50"/>
      <c r="Q99" s="51"/>
      <c r="R99" s="50"/>
      <c r="S99" s="50"/>
      <c r="T99" s="51"/>
      <c r="U99" s="50"/>
    </row>
    <row r="100" spans="1:21" x14ac:dyDescent="0.25">
      <c r="A100" s="45" t="s">
        <v>29</v>
      </c>
      <c r="B100" s="46">
        <v>45630</v>
      </c>
      <c r="C100" s="45" t="s">
        <v>114</v>
      </c>
      <c r="D100" s="47"/>
      <c r="E100" s="45" t="s">
        <v>296</v>
      </c>
      <c r="F100" s="45" t="s">
        <v>297</v>
      </c>
      <c r="G100" s="45" t="s">
        <v>171</v>
      </c>
      <c r="H100" s="45" t="s">
        <v>2339</v>
      </c>
      <c r="I100" s="45" t="s">
        <v>2340</v>
      </c>
      <c r="J100" s="45">
        <v>434439567</v>
      </c>
      <c r="K100" s="45" t="s">
        <v>1267</v>
      </c>
      <c r="L100" s="48">
        <v>660</v>
      </c>
      <c r="M100" s="49">
        <v>20241119353</v>
      </c>
      <c r="N100" s="50" t="s">
        <v>28</v>
      </c>
      <c r="O100" s="50"/>
      <c r="P100" s="50"/>
      <c r="Q100" s="51"/>
      <c r="R100" s="50"/>
      <c r="S100" s="50"/>
      <c r="T100" s="51"/>
      <c r="U100" s="50"/>
    </row>
    <row r="101" spans="1:21" x14ac:dyDescent="0.25">
      <c r="A101" s="45" t="s">
        <v>29</v>
      </c>
      <c r="B101" s="46">
        <v>45630</v>
      </c>
      <c r="C101" s="45" t="s">
        <v>114</v>
      </c>
      <c r="D101" s="47"/>
      <c r="E101" s="45" t="s">
        <v>296</v>
      </c>
      <c r="F101" s="45" t="s">
        <v>297</v>
      </c>
      <c r="G101" s="45" t="s">
        <v>2341</v>
      </c>
      <c r="H101" s="45" t="s">
        <v>149</v>
      </c>
      <c r="I101" s="45" t="s">
        <v>2342</v>
      </c>
      <c r="J101" s="45">
        <v>437798152</v>
      </c>
      <c r="K101" s="45" t="s">
        <v>2343</v>
      </c>
      <c r="L101" s="48">
        <v>208.66</v>
      </c>
      <c r="M101" s="49">
        <v>20241126500</v>
      </c>
      <c r="N101" s="50" t="s">
        <v>28</v>
      </c>
      <c r="O101" s="50"/>
      <c r="P101" s="50"/>
      <c r="Q101" s="51"/>
      <c r="R101" s="50"/>
      <c r="S101" s="50"/>
      <c r="T101" s="51"/>
      <c r="U101" s="50"/>
    </row>
    <row r="102" spans="1:21" x14ac:dyDescent="0.25">
      <c r="A102" s="45" t="s">
        <v>20</v>
      </c>
      <c r="B102" s="46">
        <v>45630</v>
      </c>
      <c r="C102" s="45" t="s">
        <v>114</v>
      </c>
      <c r="D102" s="47"/>
      <c r="E102" s="45" t="s">
        <v>296</v>
      </c>
      <c r="F102" s="45" t="s">
        <v>297</v>
      </c>
      <c r="G102" s="45" t="s">
        <v>2344</v>
      </c>
      <c r="H102" s="45" t="s">
        <v>690</v>
      </c>
      <c r="I102" s="45" t="s">
        <v>2345</v>
      </c>
      <c r="J102" s="45">
        <v>439499779</v>
      </c>
      <c r="K102" s="45" t="s">
        <v>1888</v>
      </c>
      <c r="L102" s="48">
        <v>900</v>
      </c>
      <c r="M102" s="49">
        <v>20241127765</v>
      </c>
      <c r="N102" s="50" t="s">
        <v>28</v>
      </c>
      <c r="O102" s="50"/>
      <c r="P102" s="50"/>
      <c r="Q102" s="51"/>
      <c r="R102" s="50"/>
      <c r="S102" s="50"/>
      <c r="T102" s="51"/>
      <c r="U102" s="50"/>
    </row>
    <row r="103" spans="1:21" x14ac:dyDescent="0.25">
      <c r="A103" s="45" t="s">
        <v>38</v>
      </c>
      <c r="B103" s="46">
        <v>45630</v>
      </c>
      <c r="C103" s="45" t="s">
        <v>114</v>
      </c>
      <c r="D103" s="47"/>
      <c r="E103" s="45" t="s">
        <v>296</v>
      </c>
      <c r="F103" s="45" t="s">
        <v>297</v>
      </c>
      <c r="G103" s="45" t="s">
        <v>2346</v>
      </c>
      <c r="H103" s="45" t="s">
        <v>2347</v>
      </c>
      <c r="I103" s="45" t="s">
        <v>2348</v>
      </c>
      <c r="J103" s="45">
        <v>441481198</v>
      </c>
      <c r="K103" s="45" t="s">
        <v>387</v>
      </c>
      <c r="L103" s="48">
        <v>163.33000000000001</v>
      </c>
      <c r="M103" s="49">
        <v>20241126570</v>
      </c>
      <c r="N103" s="50" t="s">
        <v>28</v>
      </c>
      <c r="O103" s="50"/>
      <c r="P103" s="50"/>
      <c r="Q103" s="51"/>
      <c r="R103" s="50"/>
      <c r="S103" s="50"/>
      <c r="T103" s="51"/>
      <c r="U103" s="50"/>
    </row>
    <row r="104" spans="1:21" x14ac:dyDescent="0.25">
      <c r="A104" s="45" t="s">
        <v>29</v>
      </c>
      <c r="B104" s="46">
        <v>45630</v>
      </c>
      <c r="C104" s="45" t="s">
        <v>114</v>
      </c>
      <c r="D104" s="47"/>
      <c r="E104" s="45" t="s">
        <v>296</v>
      </c>
      <c r="F104" s="45" t="s">
        <v>297</v>
      </c>
      <c r="G104" s="45" t="s">
        <v>945</v>
      </c>
      <c r="H104" s="45" t="s">
        <v>2349</v>
      </c>
      <c r="I104" s="45" t="s">
        <v>2350</v>
      </c>
      <c r="J104" s="45">
        <v>443943400</v>
      </c>
      <c r="K104" s="45" t="s">
        <v>256</v>
      </c>
      <c r="L104" s="48">
        <v>832</v>
      </c>
      <c r="M104" s="49">
        <v>20241125945</v>
      </c>
      <c r="N104" s="50" t="s">
        <v>28</v>
      </c>
      <c r="O104" s="50"/>
      <c r="P104" s="50"/>
      <c r="Q104" s="51"/>
      <c r="R104" s="50"/>
      <c r="S104" s="50"/>
      <c r="T104" s="51"/>
      <c r="U104" s="50"/>
    </row>
    <row r="105" spans="1:21" x14ac:dyDescent="0.25">
      <c r="A105" s="45" t="s">
        <v>20</v>
      </c>
      <c r="B105" s="46">
        <v>45630</v>
      </c>
      <c r="C105" s="45" t="s">
        <v>114</v>
      </c>
      <c r="D105" s="47"/>
      <c r="E105" s="45" t="s">
        <v>296</v>
      </c>
      <c r="F105" s="45" t="s">
        <v>297</v>
      </c>
      <c r="G105" s="45" t="s">
        <v>869</v>
      </c>
      <c r="H105" s="45" t="s">
        <v>2351</v>
      </c>
      <c r="I105" s="45" t="s">
        <v>2352</v>
      </c>
      <c r="J105" s="45">
        <v>444866287</v>
      </c>
      <c r="K105" s="45" t="s">
        <v>2142</v>
      </c>
      <c r="L105" s="48">
        <v>180</v>
      </c>
      <c r="M105" s="49">
        <v>20241125201</v>
      </c>
      <c r="N105" s="50" t="s">
        <v>28</v>
      </c>
      <c r="O105" s="50"/>
      <c r="P105" s="50"/>
      <c r="Q105" s="51"/>
      <c r="R105" s="50"/>
      <c r="S105" s="50"/>
      <c r="T105" s="51"/>
      <c r="U105" s="50"/>
    </row>
    <row r="106" spans="1:21" x14ac:dyDescent="0.25">
      <c r="A106" s="45" t="s">
        <v>20</v>
      </c>
      <c r="B106" s="46">
        <v>45630</v>
      </c>
      <c r="C106" s="45" t="s">
        <v>114</v>
      </c>
      <c r="D106" s="47"/>
      <c r="E106" s="45" t="s">
        <v>296</v>
      </c>
      <c r="F106" s="45" t="s">
        <v>297</v>
      </c>
      <c r="G106" s="45" t="s">
        <v>2353</v>
      </c>
      <c r="H106" s="45" t="s">
        <v>1064</v>
      </c>
      <c r="I106" s="45" t="s">
        <v>2354</v>
      </c>
      <c r="J106" s="45">
        <v>446964889</v>
      </c>
      <c r="K106" s="45" t="s">
        <v>1702</v>
      </c>
      <c r="L106" s="48">
        <v>195</v>
      </c>
      <c r="M106" s="49">
        <v>20241125870</v>
      </c>
      <c r="N106" s="50" t="s">
        <v>28</v>
      </c>
      <c r="O106" s="50"/>
      <c r="P106" s="50"/>
      <c r="Q106" s="51"/>
      <c r="R106" s="50"/>
      <c r="S106" s="50"/>
      <c r="T106" s="51"/>
      <c r="U106" s="50"/>
    </row>
    <row r="107" spans="1:21" ht="60" x14ac:dyDescent="0.25">
      <c r="A107" s="45" t="s">
        <v>29</v>
      </c>
      <c r="B107" s="46">
        <v>45630</v>
      </c>
      <c r="C107" s="45" t="s">
        <v>114</v>
      </c>
      <c r="D107" s="47"/>
      <c r="E107" s="45" t="s">
        <v>296</v>
      </c>
      <c r="F107" s="45" t="s">
        <v>297</v>
      </c>
      <c r="G107" s="45" t="s">
        <v>2355</v>
      </c>
      <c r="H107" s="45" t="s">
        <v>2356</v>
      </c>
      <c r="I107" s="45" t="s">
        <v>2357</v>
      </c>
      <c r="J107" s="45">
        <v>449795642</v>
      </c>
      <c r="K107" s="45" t="s">
        <v>311</v>
      </c>
      <c r="L107" s="48">
        <v>5000</v>
      </c>
      <c r="M107" s="49">
        <v>20241126464</v>
      </c>
      <c r="N107" s="50"/>
      <c r="O107" s="50" t="s">
        <v>1652</v>
      </c>
      <c r="P107" s="50"/>
      <c r="Q107" s="51" t="s">
        <v>2358</v>
      </c>
      <c r="R107" s="50"/>
      <c r="S107" s="50"/>
      <c r="T107" s="51"/>
      <c r="U107" s="50"/>
    </row>
    <row r="108" spans="1:21" ht="25.5" x14ac:dyDescent="0.25">
      <c r="A108" s="45" t="s">
        <v>20</v>
      </c>
      <c r="B108" s="46">
        <v>45630</v>
      </c>
      <c r="C108" s="45" t="s">
        <v>114</v>
      </c>
      <c r="D108" s="47"/>
      <c r="E108" s="45" t="s">
        <v>296</v>
      </c>
      <c r="F108" s="45" t="s">
        <v>297</v>
      </c>
      <c r="G108" s="45" t="s">
        <v>1011</v>
      </c>
      <c r="H108" s="45" t="s">
        <v>2359</v>
      </c>
      <c r="I108" s="45" t="s">
        <v>1725</v>
      </c>
      <c r="J108" s="45">
        <v>452251474</v>
      </c>
      <c r="K108" s="45" t="s">
        <v>2360</v>
      </c>
      <c r="L108" s="48">
        <v>75</v>
      </c>
      <c r="M108" s="49">
        <v>20241127518</v>
      </c>
      <c r="N108" s="50" t="s">
        <v>28</v>
      </c>
      <c r="O108" s="50"/>
      <c r="P108" s="50"/>
      <c r="Q108" s="51"/>
      <c r="R108" s="50"/>
      <c r="S108" s="50"/>
      <c r="T108" s="51"/>
      <c r="U108" s="50"/>
    </row>
    <row r="109" spans="1:21" x14ac:dyDescent="0.25">
      <c r="A109" s="45" t="s">
        <v>20</v>
      </c>
      <c r="B109" s="46">
        <v>45630</v>
      </c>
      <c r="C109" s="45" t="s">
        <v>114</v>
      </c>
      <c r="D109" s="47"/>
      <c r="E109" s="45" t="s">
        <v>296</v>
      </c>
      <c r="F109" s="45" t="s">
        <v>297</v>
      </c>
      <c r="G109" s="45" t="s">
        <v>1000</v>
      </c>
      <c r="H109" s="45" t="s">
        <v>2361</v>
      </c>
      <c r="I109" s="45" t="s">
        <v>1416</v>
      </c>
      <c r="J109" s="45">
        <v>452794464</v>
      </c>
      <c r="K109" s="45" t="s">
        <v>1593</v>
      </c>
      <c r="L109" s="48">
        <v>600</v>
      </c>
      <c r="M109" s="49">
        <v>20241126481</v>
      </c>
      <c r="N109" s="50" t="s">
        <v>28</v>
      </c>
      <c r="O109" s="50"/>
      <c r="P109" s="50"/>
      <c r="Q109" s="51"/>
      <c r="R109" s="50"/>
      <c r="S109" s="50"/>
      <c r="T109" s="51"/>
      <c r="U109" s="50"/>
    </row>
    <row r="110" spans="1:21" x14ac:dyDescent="0.25">
      <c r="A110" s="45" t="s">
        <v>29</v>
      </c>
      <c r="B110" s="46">
        <v>45630</v>
      </c>
      <c r="C110" s="45" t="s">
        <v>114</v>
      </c>
      <c r="D110" s="47"/>
      <c r="E110" s="45" t="s">
        <v>296</v>
      </c>
      <c r="F110" s="45" t="s">
        <v>297</v>
      </c>
      <c r="G110" s="45" t="s">
        <v>413</v>
      </c>
      <c r="H110" s="45" t="s">
        <v>2362</v>
      </c>
      <c r="I110" s="45" t="s">
        <v>360</v>
      </c>
      <c r="J110" s="45">
        <v>452874425</v>
      </c>
      <c r="K110" s="45" t="s">
        <v>1358</v>
      </c>
      <c r="L110" s="48">
        <v>155</v>
      </c>
      <c r="M110" s="49">
        <v>20241126528</v>
      </c>
      <c r="N110" s="50" t="s">
        <v>28</v>
      </c>
      <c r="O110" s="50"/>
      <c r="P110" s="50"/>
      <c r="Q110" s="51"/>
      <c r="R110" s="50"/>
      <c r="S110" s="50"/>
      <c r="T110" s="51"/>
      <c r="U110" s="50"/>
    </row>
    <row r="111" spans="1:21" x14ac:dyDescent="0.25">
      <c r="A111" s="45" t="s">
        <v>20</v>
      </c>
      <c r="B111" s="46">
        <v>45762</v>
      </c>
      <c r="C111" s="45" t="s">
        <v>168</v>
      </c>
      <c r="D111" s="47"/>
      <c r="E111" s="45" t="s">
        <v>296</v>
      </c>
      <c r="F111" s="45" t="s">
        <v>297</v>
      </c>
      <c r="G111" s="45" t="s">
        <v>869</v>
      </c>
      <c r="H111" s="45" t="s">
        <v>2363</v>
      </c>
      <c r="I111" s="45" t="s">
        <v>2364</v>
      </c>
      <c r="J111" s="45">
        <v>454734539</v>
      </c>
      <c r="K111" s="45" t="s">
        <v>2244</v>
      </c>
      <c r="L111" s="48">
        <v>185.8</v>
      </c>
      <c r="M111" s="49">
        <v>20241127175</v>
      </c>
      <c r="N111" s="50" t="s">
        <v>28</v>
      </c>
      <c r="O111" s="50"/>
      <c r="P111" s="50"/>
      <c r="Q111" s="51"/>
      <c r="R111" s="50"/>
      <c r="S111" s="50"/>
      <c r="T111" s="51"/>
      <c r="U111" s="50"/>
    </row>
    <row r="112" spans="1:21" x14ac:dyDescent="0.25">
      <c r="A112" s="45" t="s">
        <v>20</v>
      </c>
      <c r="B112" s="46">
        <v>45762</v>
      </c>
      <c r="C112" s="45" t="s">
        <v>168</v>
      </c>
      <c r="D112" s="47"/>
      <c r="E112" s="45" t="s">
        <v>296</v>
      </c>
      <c r="F112" s="45" t="s">
        <v>297</v>
      </c>
      <c r="G112" s="45" t="s">
        <v>2365</v>
      </c>
      <c r="H112" s="45" t="s">
        <v>2366</v>
      </c>
      <c r="I112" s="45" t="s">
        <v>2367</v>
      </c>
      <c r="J112" s="45">
        <v>456451786</v>
      </c>
      <c r="K112" s="45" t="s">
        <v>2244</v>
      </c>
      <c r="L112" s="48">
        <v>160.27000000000001</v>
      </c>
      <c r="M112" s="49">
        <v>20241127412</v>
      </c>
      <c r="N112" s="50" t="s">
        <v>28</v>
      </c>
      <c r="O112" s="50"/>
      <c r="P112" s="50"/>
      <c r="Q112" s="51"/>
      <c r="R112" s="50"/>
      <c r="S112" s="50"/>
      <c r="T112" s="51"/>
      <c r="U112" s="50"/>
    </row>
    <row r="113" spans="1:21" x14ac:dyDescent="0.25">
      <c r="A113" s="45" t="s">
        <v>20</v>
      </c>
      <c r="B113" s="46">
        <v>45762</v>
      </c>
      <c r="C113" s="45" t="s">
        <v>168</v>
      </c>
      <c r="D113" s="47"/>
      <c r="E113" s="45" t="s">
        <v>325</v>
      </c>
      <c r="F113" s="45" t="s">
        <v>278</v>
      </c>
      <c r="G113" s="45" t="s">
        <v>109</v>
      </c>
      <c r="H113" s="45" t="s">
        <v>2368</v>
      </c>
      <c r="I113" s="45" t="s">
        <v>2369</v>
      </c>
      <c r="J113" s="45">
        <v>130259736</v>
      </c>
      <c r="K113" s="45" t="s">
        <v>1033</v>
      </c>
      <c r="L113" s="48">
        <v>41.87</v>
      </c>
      <c r="M113" s="49">
        <v>20241119663</v>
      </c>
      <c r="N113" s="50" t="s">
        <v>28</v>
      </c>
      <c r="O113" s="50"/>
      <c r="P113" s="50"/>
      <c r="Q113" s="51"/>
      <c r="R113" s="50"/>
      <c r="S113" s="50"/>
      <c r="T113" s="51"/>
      <c r="U113" s="50"/>
    </row>
    <row r="114" spans="1:21" ht="25.5" x14ac:dyDescent="0.25">
      <c r="A114" s="45" t="s">
        <v>233</v>
      </c>
      <c r="B114" s="46">
        <v>45758</v>
      </c>
      <c r="C114" s="45" t="s">
        <v>21</v>
      </c>
      <c r="D114" s="47"/>
      <c r="E114" s="45" t="s">
        <v>325</v>
      </c>
      <c r="F114" s="45" t="s">
        <v>278</v>
      </c>
      <c r="G114" s="45" t="s">
        <v>247</v>
      </c>
      <c r="H114" s="45" t="s">
        <v>1205</v>
      </c>
      <c r="I114" s="45" t="s">
        <v>2370</v>
      </c>
      <c r="J114" s="45">
        <v>145862050</v>
      </c>
      <c r="K114" s="45" t="s">
        <v>1227</v>
      </c>
      <c r="L114" s="48">
        <v>24.31</v>
      </c>
      <c r="M114" s="49">
        <v>20241111169</v>
      </c>
      <c r="N114" s="50" t="s">
        <v>28</v>
      </c>
      <c r="O114" s="50"/>
      <c r="P114" s="50"/>
      <c r="Q114" s="51"/>
      <c r="R114" s="50"/>
      <c r="S114" s="50"/>
      <c r="T114" s="51"/>
      <c r="U114" s="50"/>
    </row>
    <row r="115" spans="1:21" x14ac:dyDescent="0.25">
      <c r="A115" s="45" t="s">
        <v>20</v>
      </c>
      <c r="B115" s="46">
        <v>45762</v>
      </c>
      <c r="C115" s="45" t="s">
        <v>168</v>
      </c>
      <c r="D115" s="47"/>
      <c r="E115" s="45" t="s">
        <v>325</v>
      </c>
      <c r="F115" s="45" t="s">
        <v>278</v>
      </c>
      <c r="G115" s="45" t="s">
        <v>376</v>
      </c>
      <c r="H115" s="45" t="s">
        <v>95</v>
      </c>
      <c r="I115" s="45" t="s">
        <v>1967</v>
      </c>
      <c r="J115" s="45">
        <v>171574642</v>
      </c>
      <c r="K115" s="45" t="s">
        <v>759</v>
      </c>
      <c r="L115" s="48">
        <v>227.79</v>
      </c>
      <c r="M115" s="49">
        <v>20241114313</v>
      </c>
      <c r="N115" s="50" t="s">
        <v>28</v>
      </c>
      <c r="O115" s="50"/>
      <c r="P115" s="50"/>
      <c r="Q115" s="51"/>
      <c r="R115" s="50"/>
      <c r="S115" s="50"/>
      <c r="T115" s="51"/>
      <c r="U115" s="50"/>
    </row>
    <row r="116" spans="1:21" x14ac:dyDescent="0.25">
      <c r="A116" s="45" t="s">
        <v>233</v>
      </c>
      <c r="B116" s="46">
        <v>45758</v>
      </c>
      <c r="C116" s="45" t="s">
        <v>21</v>
      </c>
      <c r="D116" s="47"/>
      <c r="E116" s="45" t="s">
        <v>325</v>
      </c>
      <c r="F116" s="45" t="s">
        <v>278</v>
      </c>
      <c r="G116" s="45" t="s">
        <v>347</v>
      </c>
      <c r="H116" s="45" t="s">
        <v>1348</v>
      </c>
      <c r="I116" s="45" t="s">
        <v>2371</v>
      </c>
      <c r="J116" s="45">
        <v>206644317</v>
      </c>
      <c r="K116" s="45" t="s">
        <v>1511</v>
      </c>
      <c r="L116" s="48">
        <v>23.19</v>
      </c>
      <c r="M116" s="49">
        <v>20241126730</v>
      </c>
      <c r="N116" s="50" t="s">
        <v>28</v>
      </c>
      <c r="O116" s="50"/>
      <c r="P116" s="50"/>
      <c r="Q116" s="51"/>
      <c r="R116" s="50"/>
      <c r="S116" s="50"/>
      <c r="T116" s="51"/>
      <c r="U116" s="50"/>
    </row>
    <row r="117" spans="1:21" x14ac:dyDescent="0.25">
      <c r="A117" s="45" t="s">
        <v>324</v>
      </c>
      <c r="B117" s="46">
        <v>45758</v>
      </c>
      <c r="C117" s="45" t="s">
        <v>21</v>
      </c>
      <c r="D117" s="47"/>
      <c r="E117" s="45" t="s">
        <v>325</v>
      </c>
      <c r="F117" s="45" t="s">
        <v>278</v>
      </c>
      <c r="G117" s="45" t="s">
        <v>326</v>
      </c>
      <c r="H117" s="45" t="s">
        <v>1988</v>
      </c>
      <c r="I117" s="45" t="s">
        <v>1989</v>
      </c>
      <c r="J117" s="45">
        <v>283485320</v>
      </c>
      <c r="K117" s="45" t="s">
        <v>2372</v>
      </c>
      <c r="L117" s="48">
        <v>893</v>
      </c>
      <c r="M117" s="49">
        <v>20241126731</v>
      </c>
      <c r="N117" s="50" t="s">
        <v>28</v>
      </c>
      <c r="O117" s="50"/>
      <c r="P117" s="50"/>
      <c r="Q117" s="51"/>
      <c r="R117" s="50"/>
      <c r="S117" s="50"/>
      <c r="T117" s="51"/>
      <c r="U117" s="50"/>
    </row>
    <row r="118" spans="1:21" ht="25.5" x14ac:dyDescent="0.25">
      <c r="A118" s="45" t="s">
        <v>233</v>
      </c>
      <c r="B118" s="46">
        <v>45758</v>
      </c>
      <c r="C118" s="45" t="s">
        <v>21</v>
      </c>
      <c r="D118" s="47"/>
      <c r="E118" s="45" t="s">
        <v>325</v>
      </c>
      <c r="F118" s="45" t="s">
        <v>278</v>
      </c>
      <c r="G118" s="45" t="s">
        <v>333</v>
      </c>
      <c r="H118" s="45" t="s">
        <v>1426</v>
      </c>
      <c r="I118" s="45" t="s">
        <v>2373</v>
      </c>
      <c r="J118" s="45">
        <v>461756702</v>
      </c>
      <c r="K118" s="45" t="s">
        <v>1190</v>
      </c>
      <c r="L118" s="48">
        <v>39</v>
      </c>
      <c r="M118" s="49">
        <v>20241125874</v>
      </c>
      <c r="N118" s="50" t="s">
        <v>28</v>
      </c>
      <c r="O118" s="50"/>
      <c r="P118" s="50"/>
      <c r="Q118" s="51"/>
      <c r="R118" s="50"/>
      <c r="S118" s="50"/>
      <c r="T118" s="51"/>
      <c r="U118" s="50"/>
    </row>
    <row r="119" spans="1:21" x14ac:dyDescent="0.25">
      <c r="A119" s="45" t="s">
        <v>324</v>
      </c>
      <c r="B119" s="46">
        <v>45758</v>
      </c>
      <c r="C119" s="45" t="s">
        <v>21</v>
      </c>
      <c r="D119" s="47"/>
      <c r="E119" s="45" t="s">
        <v>325</v>
      </c>
      <c r="F119" s="45" t="s">
        <v>278</v>
      </c>
      <c r="G119" s="45" t="s">
        <v>326</v>
      </c>
      <c r="H119" s="45" t="s">
        <v>2374</v>
      </c>
      <c r="I119" s="45" t="s">
        <v>2375</v>
      </c>
      <c r="J119" s="45">
        <v>461790467</v>
      </c>
      <c r="K119" s="45" t="s">
        <v>2360</v>
      </c>
      <c r="L119" s="48">
        <v>19.46</v>
      </c>
      <c r="M119" s="49">
        <v>20241126716</v>
      </c>
      <c r="N119" s="50" t="s">
        <v>28</v>
      </c>
      <c r="O119" s="50"/>
      <c r="P119" s="50"/>
      <c r="Q119" s="51"/>
      <c r="R119" s="50"/>
      <c r="S119" s="50"/>
      <c r="T119" s="51"/>
      <c r="U119" s="50"/>
    </row>
    <row r="120" spans="1:21" x14ac:dyDescent="0.25">
      <c r="A120" s="45" t="s">
        <v>324</v>
      </c>
      <c r="B120" s="46">
        <v>45758</v>
      </c>
      <c r="C120" s="45" t="s">
        <v>21</v>
      </c>
      <c r="D120" s="47"/>
      <c r="E120" s="45" t="s">
        <v>325</v>
      </c>
      <c r="F120" s="45" t="s">
        <v>278</v>
      </c>
      <c r="G120" s="45" t="s">
        <v>326</v>
      </c>
      <c r="H120" s="45" t="s">
        <v>1564</v>
      </c>
      <c r="I120" s="45" t="s">
        <v>308</v>
      </c>
      <c r="J120" s="45">
        <v>463049396</v>
      </c>
      <c r="K120" s="45" t="s">
        <v>1358</v>
      </c>
      <c r="L120" s="48">
        <v>256.5</v>
      </c>
      <c r="M120" s="49">
        <v>20241126717</v>
      </c>
      <c r="N120" s="50" t="s">
        <v>28</v>
      </c>
      <c r="O120" s="50"/>
      <c r="P120" s="50"/>
      <c r="Q120" s="51"/>
      <c r="R120" s="50"/>
      <c r="S120" s="50"/>
      <c r="T120" s="51"/>
      <c r="U120" s="50"/>
    </row>
    <row r="121" spans="1:21" x14ac:dyDescent="0.25">
      <c r="A121" s="45" t="s">
        <v>324</v>
      </c>
      <c r="B121" s="46">
        <v>45758</v>
      </c>
      <c r="C121" s="45" t="s">
        <v>21</v>
      </c>
      <c r="D121" s="47"/>
      <c r="E121" s="45" t="s">
        <v>325</v>
      </c>
      <c r="F121" s="45" t="s">
        <v>278</v>
      </c>
      <c r="G121" s="45" t="s">
        <v>326</v>
      </c>
      <c r="H121" s="45" t="s">
        <v>2376</v>
      </c>
      <c r="I121" s="45" t="s">
        <v>1122</v>
      </c>
      <c r="J121" s="45">
        <v>464356738</v>
      </c>
      <c r="K121" s="45" t="s">
        <v>2372</v>
      </c>
      <c r="L121" s="48">
        <v>787.27</v>
      </c>
      <c r="M121" s="49">
        <v>20241126719</v>
      </c>
      <c r="N121" s="50" t="s">
        <v>28</v>
      </c>
      <c r="O121" s="50"/>
      <c r="P121" s="50"/>
      <c r="Q121" s="51"/>
      <c r="R121" s="50"/>
      <c r="S121" s="50"/>
      <c r="T121" s="51"/>
      <c r="U121" s="50"/>
    </row>
    <row r="122" spans="1:21" x14ac:dyDescent="0.25">
      <c r="A122" s="45" t="s">
        <v>324</v>
      </c>
      <c r="B122" s="46">
        <v>45758</v>
      </c>
      <c r="C122" s="45" t="s">
        <v>21</v>
      </c>
      <c r="D122" s="47"/>
      <c r="E122" s="45" t="s">
        <v>325</v>
      </c>
      <c r="F122" s="45" t="s">
        <v>278</v>
      </c>
      <c r="G122" s="45" t="s">
        <v>326</v>
      </c>
      <c r="H122" s="45" t="s">
        <v>1567</v>
      </c>
      <c r="I122" s="45" t="s">
        <v>1568</v>
      </c>
      <c r="J122" s="45">
        <v>467932630</v>
      </c>
      <c r="K122" s="45" t="s">
        <v>2372</v>
      </c>
      <c r="L122" s="48">
        <v>548.97</v>
      </c>
      <c r="M122" s="49">
        <v>20241125917</v>
      </c>
      <c r="N122" s="50" t="s">
        <v>28</v>
      </c>
      <c r="O122" s="50"/>
      <c r="P122" s="50"/>
      <c r="Q122" s="51"/>
      <c r="R122" s="50"/>
      <c r="S122" s="50"/>
      <c r="T122" s="51"/>
      <c r="U122" s="50"/>
    </row>
    <row r="123" spans="1:21" x14ac:dyDescent="0.25">
      <c r="A123" s="45" t="s">
        <v>29</v>
      </c>
      <c r="B123" s="46">
        <v>45762</v>
      </c>
      <c r="C123" s="45" t="s">
        <v>168</v>
      </c>
      <c r="D123" s="47"/>
      <c r="E123" s="45" t="s">
        <v>325</v>
      </c>
      <c r="F123" s="45" t="s">
        <v>278</v>
      </c>
      <c r="G123" s="45" t="s">
        <v>216</v>
      </c>
      <c r="H123" s="45" t="s">
        <v>1487</v>
      </c>
      <c r="I123" s="45" t="s">
        <v>2377</v>
      </c>
      <c r="J123" s="45">
        <v>513885222</v>
      </c>
      <c r="K123" s="45" t="s">
        <v>1267</v>
      </c>
      <c r="L123" s="48">
        <v>166</v>
      </c>
      <c r="M123" s="49">
        <v>20241115388</v>
      </c>
      <c r="N123" s="50" t="s">
        <v>28</v>
      </c>
      <c r="O123" s="50"/>
      <c r="P123" s="50"/>
      <c r="Q123" s="51"/>
      <c r="R123" s="50"/>
      <c r="S123" s="50"/>
      <c r="T123" s="51"/>
      <c r="U123" s="50"/>
    </row>
    <row r="124" spans="1:21" x14ac:dyDescent="0.25">
      <c r="A124" s="45" t="s">
        <v>233</v>
      </c>
      <c r="B124" s="46">
        <v>45758</v>
      </c>
      <c r="C124" s="45" t="s">
        <v>21</v>
      </c>
      <c r="D124" s="47"/>
      <c r="E124" s="45" t="s">
        <v>325</v>
      </c>
      <c r="F124" s="45" t="s">
        <v>278</v>
      </c>
      <c r="G124" s="45" t="s">
        <v>347</v>
      </c>
      <c r="H124" s="45" t="s">
        <v>1569</v>
      </c>
      <c r="I124" s="45" t="s">
        <v>1570</v>
      </c>
      <c r="J124" s="45">
        <v>520196663</v>
      </c>
      <c r="K124" s="45" t="s">
        <v>1265</v>
      </c>
      <c r="L124" s="48">
        <v>162.78</v>
      </c>
      <c r="M124" s="49">
        <v>20241127823</v>
      </c>
      <c r="N124" s="50" t="s">
        <v>28</v>
      </c>
      <c r="O124" s="50"/>
      <c r="P124" s="50"/>
      <c r="Q124" s="51"/>
      <c r="R124" s="50"/>
      <c r="S124" s="50"/>
      <c r="T124" s="51"/>
      <c r="U124" s="50"/>
    </row>
    <row r="125" spans="1:21" x14ac:dyDescent="0.25">
      <c r="A125" s="45" t="s">
        <v>233</v>
      </c>
      <c r="B125" s="46">
        <v>45758</v>
      </c>
      <c r="C125" s="45" t="s">
        <v>21</v>
      </c>
      <c r="D125" s="47"/>
      <c r="E125" s="45" t="s">
        <v>325</v>
      </c>
      <c r="F125" s="45" t="s">
        <v>278</v>
      </c>
      <c r="G125" s="45" t="s">
        <v>347</v>
      </c>
      <c r="H125" s="45" t="s">
        <v>1569</v>
      </c>
      <c r="I125" s="45" t="s">
        <v>1570</v>
      </c>
      <c r="J125" s="45">
        <v>520196663</v>
      </c>
      <c r="K125" s="45" t="s">
        <v>194</v>
      </c>
      <c r="L125" s="48">
        <v>161.43</v>
      </c>
      <c r="M125" s="49">
        <v>20241127824</v>
      </c>
      <c r="N125" s="50" t="s">
        <v>28</v>
      </c>
      <c r="O125" s="50"/>
      <c r="P125" s="50"/>
      <c r="Q125" s="51"/>
      <c r="R125" s="50"/>
      <c r="S125" s="50"/>
      <c r="T125" s="51"/>
      <c r="U125" s="50"/>
    </row>
    <row r="126" spans="1:21" x14ac:dyDescent="0.25">
      <c r="A126" s="45" t="s">
        <v>20</v>
      </c>
      <c r="B126" s="46">
        <v>45762</v>
      </c>
      <c r="C126" s="45" t="s">
        <v>168</v>
      </c>
      <c r="D126" s="47"/>
      <c r="E126" s="45" t="s">
        <v>325</v>
      </c>
      <c r="F126" s="45" t="s">
        <v>278</v>
      </c>
      <c r="G126" s="45" t="s">
        <v>210</v>
      </c>
      <c r="H126" s="45" t="s">
        <v>1851</v>
      </c>
      <c r="I126" s="45" t="s">
        <v>1852</v>
      </c>
      <c r="J126" s="45">
        <v>528811505</v>
      </c>
      <c r="K126" s="45" t="s">
        <v>83</v>
      </c>
      <c r="L126" s="48">
        <v>671</v>
      </c>
      <c r="M126" s="49">
        <v>20241112652</v>
      </c>
      <c r="N126" s="50" t="s">
        <v>28</v>
      </c>
      <c r="O126" s="50"/>
      <c r="P126" s="50"/>
      <c r="Q126" s="51"/>
      <c r="R126" s="50"/>
      <c r="S126" s="50"/>
      <c r="T126" s="51"/>
      <c r="U126" s="50"/>
    </row>
    <row r="127" spans="1:21" ht="25.5" x14ac:dyDescent="0.25">
      <c r="A127" s="45" t="s">
        <v>233</v>
      </c>
      <c r="B127" s="46">
        <v>45758</v>
      </c>
      <c r="C127" s="45" t="s">
        <v>21</v>
      </c>
      <c r="D127" s="47"/>
      <c r="E127" s="45" t="s">
        <v>325</v>
      </c>
      <c r="F127" s="45" t="s">
        <v>278</v>
      </c>
      <c r="G127" s="45" t="s">
        <v>333</v>
      </c>
      <c r="H127" s="45" t="s">
        <v>1571</v>
      </c>
      <c r="I127" s="45" t="s">
        <v>1572</v>
      </c>
      <c r="J127" s="45">
        <v>540578109</v>
      </c>
      <c r="K127" s="45" t="s">
        <v>1230</v>
      </c>
      <c r="L127" s="48">
        <v>175</v>
      </c>
      <c r="M127" s="49">
        <v>20241127822</v>
      </c>
      <c r="N127" s="50" t="s">
        <v>28</v>
      </c>
      <c r="O127" s="50"/>
      <c r="P127" s="50"/>
      <c r="Q127" s="51"/>
      <c r="R127" s="50"/>
      <c r="S127" s="50"/>
      <c r="T127" s="51"/>
      <c r="U127" s="50"/>
    </row>
    <row r="128" spans="1:21" x14ac:dyDescent="0.25">
      <c r="A128" s="45" t="s">
        <v>324</v>
      </c>
      <c r="B128" s="46">
        <v>45758</v>
      </c>
      <c r="C128" s="45" t="s">
        <v>21</v>
      </c>
      <c r="D128" s="47"/>
      <c r="E128" s="45" t="s">
        <v>371</v>
      </c>
      <c r="F128" s="45" t="s">
        <v>372</v>
      </c>
      <c r="G128" s="45" t="s">
        <v>274</v>
      </c>
      <c r="H128" s="45" t="s">
        <v>142</v>
      </c>
      <c r="I128" s="45" t="s">
        <v>2378</v>
      </c>
      <c r="J128" s="45">
        <v>227317367</v>
      </c>
      <c r="K128" s="45" t="s">
        <v>2239</v>
      </c>
      <c r="L128" s="48">
        <v>41.95</v>
      </c>
      <c r="M128" s="49">
        <v>20241126694</v>
      </c>
      <c r="N128" s="50" t="s">
        <v>28</v>
      </c>
      <c r="O128" s="50"/>
      <c r="P128" s="50"/>
      <c r="Q128" s="51"/>
      <c r="R128" s="50"/>
      <c r="S128" s="50"/>
      <c r="T128" s="51"/>
      <c r="U128" s="50"/>
    </row>
    <row r="129" spans="1:21" x14ac:dyDescent="0.25">
      <c r="A129" s="45" t="s">
        <v>324</v>
      </c>
      <c r="B129" s="46">
        <v>45758</v>
      </c>
      <c r="C129" s="45" t="s">
        <v>21</v>
      </c>
      <c r="D129" s="47"/>
      <c r="E129" s="45" t="s">
        <v>371</v>
      </c>
      <c r="F129" s="45" t="s">
        <v>372</v>
      </c>
      <c r="G129" s="45" t="s">
        <v>274</v>
      </c>
      <c r="H129" s="45" t="s">
        <v>938</v>
      </c>
      <c r="I129" s="45" t="s">
        <v>2379</v>
      </c>
      <c r="J129" s="45">
        <v>231177359</v>
      </c>
      <c r="K129" s="45" t="s">
        <v>56</v>
      </c>
      <c r="L129" s="48">
        <v>250</v>
      </c>
      <c r="M129" s="49">
        <v>20241125476</v>
      </c>
      <c r="N129" s="50" t="s">
        <v>28</v>
      </c>
      <c r="O129" s="50"/>
      <c r="P129" s="50"/>
      <c r="Q129" s="51"/>
      <c r="R129" s="50"/>
      <c r="S129" s="50"/>
      <c r="T129" s="51"/>
      <c r="U129" s="50"/>
    </row>
    <row r="130" spans="1:21" x14ac:dyDescent="0.25">
      <c r="A130" s="45" t="s">
        <v>324</v>
      </c>
      <c r="B130" s="46">
        <v>45758</v>
      </c>
      <c r="C130" s="45" t="s">
        <v>21</v>
      </c>
      <c r="D130" s="47"/>
      <c r="E130" s="45" t="s">
        <v>371</v>
      </c>
      <c r="F130" s="45" t="s">
        <v>372</v>
      </c>
      <c r="G130" s="45" t="s">
        <v>274</v>
      </c>
      <c r="H130" s="45" t="s">
        <v>938</v>
      </c>
      <c r="I130" s="45" t="s">
        <v>2379</v>
      </c>
      <c r="J130" s="45">
        <v>231177359</v>
      </c>
      <c r="K130" s="45" t="s">
        <v>1358</v>
      </c>
      <c r="L130" s="48">
        <v>125</v>
      </c>
      <c r="M130" s="49">
        <v>20241125479</v>
      </c>
      <c r="N130" s="50" t="s">
        <v>28</v>
      </c>
      <c r="O130" s="50"/>
      <c r="P130" s="50"/>
      <c r="Q130" s="51"/>
      <c r="R130" s="50"/>
      <c r="S130" s="50"/>
      <c r="T130" s="51"/>
      <c r="U130" s="50"/>
    </row>
    <row r="131" spans="1:21" x14ac:dyDescent="0.25">
      <c r="A131" s="45" t="s">
        <v>324</v>
      </c>
      <c r="B131" s="46">
        <v>45758</v>
      </c>
      <c r="C131" s="45" t="s">
        <v>21</v>
      </c>
      <c r="D131" s="47"/>
      <c r="E131" s="45" t="s">
        <v>371</v>
      </c>
      <c r="F131" s="45" t="s">
        <v>372</v>
      </c>
      <c r="G131" s="45" t="s">
        <v>274</v>
      </c>
      <c r="H131" s="45" t="s">
        <v>2380</v>
      </c>
      <c r="I131" s="45" t="s">
        <v>2381</v>
      </c>
      <c r="J131" s="45">
        <v>232479460</v>
      </c>
      <c r="K131" s="45" t="s">
        <v>2087</v>
      </c>
      <c r="L131" s="48">
        <v>39.99</v>
      </c>
      <c r="M131" s="49">
        <v>20241127380</v>
      </c>
      <c r="N131" s="50" t="s">
        <v>28</v>
      </c>
      <c r="O131" s="50"/>
      <c r="P131" s="50"/>
      <c r="Q131" s="51"/>
      <c r="R131" s="50"/>
      <c r="S131" s="50"/>
      <c r="T131" s="51"/>
      <c r="U131" s="50"/>
    </row>
    <row r="132" spans="1:21" x14ac:dyDescent="0.25">
      <c r="A132" s="45" t="s">
        <v>2382</v>
      </c>
      <c r="B132" s="46">
        <v>45762</v>
      </c>
      <c r="C132" s="45"/>
      <c r="D132" s="47" t="s">
        <v>352</v>
      </c>
      <c r="E132" s="45" t="s">
        <v>371</v>
      </c>
      <c r="F132" s="45" t="s">
        <v>372</v>
      </c>
      <c r="G132" s="45" t="s">
        <v>2383</v>
      </c>
      <c r="H132" s="45" t="s">
        <v>1985</v>
      </c>
      <c r="I132" s="45" t="s">
        <v>2384</v>
      </c>
      <c r="J132" s="45">
        <v>265819120</v>
      </c>
      <c r="K132" s="45" t="s">
        <v>2142</v>
      </c>
      <c r="L132" s="48">
        <v>96</v>
      </c>
      <c r="M132" s="49">
        <v>20241125142</v>
      </c>
      <c r="N132" s="50" t="s">
        <v>28</v>
      </c>
      <c r="O132" s="50"/>
      <c r="P132" s="50"/>
      <c r="Q132" s="51"/>
      <c r="R132" s="50"/>
      <c r="S132" s="50"/>
      <c r="T132" s="51"/>
      <c r="U132" s="50"/>
    </row>
    <row r="133" spans="1:21" ht="25.5" x14ac:dyDescent="0.25">
      <c r="A133" s="45" t="s">
        <v>375</v>
      </c>
      <c r="B133" s="45" t="s">
        <v>2385</v>
      </c>
      <c r="C133" s="45" t="s">
        <v>21</v>
      </c>
      <c r="D133" s="47"/>
      <c r="E133" s="45" t="s">
        <v>371</v>
      </c>
      <c r="F133" s="45" t="s">
        <v>372</v>
      </c>
      <c r="G133" s="45" t="s">
        <v>376</v>
      </c>
      <c r="H133" s="45" t="s">
        <v>110</v>
      </c>
      <c r="I133" s="45" t="s">
        <v>335</v>
      </c>
      <c r="J133" s="45">
        <v>277942486</v>
      </c>
      <c r="K133" s="45" t="s">
        <v>123</v>
      </c>
      <c r="L133" s="48">
        <v>40</v>
      </c>
      <c r="M133" s="49">
        <v>2024112575</v>
      </c>
      <c r="N133" s="50" t="s">
        <v>28</v>
      </c>
      <c r="O133" s="50"/>
      <c r="P133" s="50"/>
      <c r="Q133" s="51"/>
      <c r="R133" s="50"/>
      <c r="S133" s="50"/>
      <c r="T133" s="51"/>
      <c r="U133" s="50"/>
    </row>
    <row r="134" spans="1:21" x14ac:dyDescent="0.25">
      <c r="A134" s="45" t="s">
        <v>324</v>
      </c>
      <c r="B134" s="46">
        <v>45758</v>
      </c>
      <c r="C134" s="45" t="s">
        <v>21</v>
      </c>
      <c r="D134" s="47"/>
      <c r="E134" s="45" t="s">
        <v>371</v>
      </c>
      <c r="F134" s="45" t="s">
        <v>372</v>
      </c>
      <c r="G134" s="45" t="s">
        <v>274</v>
      </c>
      <c r="H134" s="45" t="s">
        <v>377</v>
      </c>
      <c r="I134" s="45" t="s">
        <v>2386</v>
      </c>
      <c r="J134" s="45">
        <v>316983244</v>
      </c>
      <c r="K134" s="45" t="s">
        <v>2050</v>
      </c>
      <c r="L134" s="48">
        <v>150</v>
      </c>
      <c r="M134" s="49">
        <v>20241126697</v>
      </c>
      <c r="N134" s="50" t="s">
        <v>28</v>
      </c>
      <c r="O134" s="50"/>
      <c r="P134" s="50"/>
      <c r="Q134" s="51"/>
      <c r="R134" s="50"/>
      <c r="S134" s="50"/>
      <c r="T134" s="51"/>
      <c r="U134" s="50"/>
    </row>
    <row r="135" spans="1:21" x14ac:dyDescent="0.25">
      <c r="A135" s="45" t="s">
        <v>20</v>
      </c>
      <c r="B135" s="46">
        <v>45762</v>
      </c>
      <c r="C135" s="45" t="s">
        <v>168</v>
      </c>
      <c r="D135" s="47"/>
      <c r="E135" s="45" t="s">
        <v>371</v>
      </c>
      <c r="F135" s="45" t="s">
        <v>372</v>
      </c>
      <c r="G135" s="45" t="s">
        <v>2387</v>
      </c>
      <c r="H135" s="45" t="s">
        <v>2053</v>
      </c>
      <c r="I135" s="45" t="s">
        <v>2388</v>
      </c>
      <c r="J135" s="45">
        <v>333882927</v>
      </c>
      <c r="K135" s="45" t="s">
        <v>781</v>
      </c>
      <c r="L135" s="48">
        <v>20</v>
      </c>
      <c r="M135" s="49">
        <v>20241126112</v>
      </c>
      <c r="N135" s="50" t="s">
        <v>28</v>
      </c>
      <c r="O135" s="50"/>
      <c r="P135" s="50"/>
      <c r="Q135" s="51"/>
      <c r="R135" s="50"/>
      <c r="S135" s="50"/>
      <c r="T135" s="51"/>
      <c r="U135" s="50"/>
    </row>
    <row r="136" spans="1:21" x14ac:dyDescent="0.25">
      <c r="A136" s="45" t="s">
        <v>20</v>
      </c>
      <c r="B136" s="46">
        <v>45762</v>
      </c>
      <c r="C136" s="45" t="s">
        <v>168</v>
      </c>
      <c r="D136" s="47"/>
      <c r="E136" s="45" t="s">
        <v>371</v>
      </c>
      <c r="F136" s="45" t="s">
        <v>372</v>
      </c>
      <c r="G136" s="45" t="s">
        <v>2387</v>
      </c>
      <c r="H136" s="45" t="s">
        <v>2053</v>
      </c>
      <c r="I136" s="45" t="s">
        <v>2388</v>
      </c>
      <c r="J136" s="45">
        <v>333882927</v>
      </c>
      <c r="K136" s="45" t="s">
        <v>781</v>
      </c>
      <c r="L136" s="48">
        <v>20</v>
      </c>
      <c r="M136" s="49">
        <v>20241126111</v>
      </c>
      <c r="N136" s="50" t="s">
        <v>28</v>
      </c>
      <c r="O136" s="50"/>
      <c r="P136" s="50"/>
      <c r="Q136" s="51"/>
      <c r="R136" s="50"/>
      <c r="S136" s="50"/>
      <c r="T136" s="51"/>
      <c r="U136" s="50"/>
    </row>
    <row r="137" spans="1:21" x14ac:dyDescent="0.25">
      <c r="A137" s="45" t="s">
        <v>375</v>
      </c>
      <c r="B137" s="46">
        <v>45758</v>
      </c>
      <c r="C137" s="45" t="s">
        <v>21</v>
      </c>
      <c r="D137" s="47"/>
      <c r="E137" s="45" t="s">
        <v>371</v>
      </c>
      <c r="F137" s="45" t="s">
        <v>372</v>
      </c>
      <c r="G137" s="45" t="s">
        <v>376</v>
      </c>
      <c r="H137" s="45" t="s">
        <v>1266</v>
      </c>
      <c r="I137" s="45" t="s">
        <v>2389</v>
      </c>
      <c r="J137" s="45">
        <v>346706687</v>
      </c>
      <c r="K137" s="45" t="s">
        <v>2255</v>
      </c>
      <c r="L137" s="48">
        <v>10</v>
      </c>
      <c r="M137" s="49">
        <v>2024112585</v>
      </c>
      <c r="N137" s="50" t="s">
        <v>28</v>
      </c>
      <c r="O137" s="50"/>
      <c r="P137" s="50"/>
      <c r="Q137" s="51"/>
      <c r="R137" s="50"/>
      <c r="S137" s="50"/>
      <c r="T137" s="51"/>
      <c r="U137" s="50"/>
    </row>
    <row r="138" spans="1:21" x14ac:dyDescent="0.25">
      <c r="A138" s="45" t="s">
        <v>20</v>
      </c>
      <c r="B138" s="46">
        <v>45762</v>
      </c>
      <c r="C138" s="45" t="s">
        <v>168</v>
      </c>
      <c r="D138" s="47"/>
      <c r="E138" s="45" t="s">
        <v>371</v>
      </c>
      <c r="F138" s="45" t="s">
        <v>372</v>
      </c>
      <c r="G138" s="45" t="s">
        <v>30</v>
      </c>
      <c r="H138" s="45" t="s">
        <v>955</v>
      </c>
      <c r="I138" s="45" t="s">
        <v>1218</v>
      </c>
      <c r="J138" s="45">
        <v>349763973</v>
      </c>
      <c r="K138" s="45" t="s">
        <v>2125</v>
      </c>
      <c r="L138" s="48">
        <v>15.69</v>
      </c>
      <c r="M138" s="49">
        <v>20241125882</v>
      </c>
      <c r="N138" s="50" t="s">
        <v>28</v>
      </c>
      <c r="O138" s="50"/>
      <c r="P138" s="50"/>
      <c r="Q138" s="51"/>
      <c r="R138" s="50"/>
      <c r="S138" s="50"/>
      <c r="T138" s="51"/>
      <c r="U138" s="50"/>
    </row>
    <row r="139" spans="1:21" x14ac:dyDescent="0.25">
      <c r="A139" s="45" t="s">
        <v>20</v>
      </c>
      <c r="B139" s="46">
        <v>45762</v>
      </c>
      <c r="C139" s="45" t="s">
        <v>168</v>
      </c>
      <c r="D139" s="47"/>
      <c r="E139" s="45" t="s">
        <v>371</v>
      </c>
      <c r="F139" s="45" t="s">
        <v>372</v>
      </c>
      <c r="G139" s="45" t="s">
        <v>30</v>
      </c>
      <c r="H139" s="45" t="s">
        <v>955</v>
      </c>
      <c r="I139" s="45" t="s">
        <v>1218</v>
      </c>
      <c r="J139" s="45">
        <v>349763973</v>
      </c>
      <c r="K139" s="45" t="s">
        <v>2125</v>
      </c>
      <c r="L139" s="48">
        <v>5</v>
      </c>
      <c r="M139" s="49">
        <v>20241125877</v>
      </c>
      <c r="N139" s="50" t="s">
        <v>28</v>
      </c>
      <c r="O139" s="50"/>
      <c r="P139" s="50"/>
      <c r="Q139" s="51"/>
      <c r="R139" s="50"/>
      <c r="S139" s="50"/>
      <c r="T139" s="51"/>
      <c r="U139" s="50"/>
    </row>
    <row r="140" spans="1:21" x14ac:dyDescent="0.25">
      <c r="A140" s="45" t="s">
        <v>20</v>
      </c>
      <c r="B140" s="46">
        <v>45762</v>
      </c>
      <c r="C140" s="45" t="s">
        <v>168</v>
      </c>
      <c r="D140" s="47"/>
      <c r="E140" s="45" t="s">
        <v>371</v>
      </c>
      <c r="F140" s="45" t="s">
        <v>372</v>
      </c>
      <c r="G140" s="45" t="s">
        <v>30</v>
      </c>
      <c r="H140" s="45" t="s">
        <v>2390</v>
      </c>
      <c r="I140" s="45" t="s">
        <v>2391</v>
      </c>
      <c r="J140" s="45">
        <v>358644173</v>
      </c>
      <c r="K140" s="45" t="s">
        <v>1990</v>
      </c>
      <c r="L140" s="48">
        <v>83.77</v>
      </c>
      <c r="M140" s="49">
        <v>20241125833</v>
      </c>
      <c r="N140" s="50" t="s">
        <v>28</v>
      </c>
      <c r="O140" s="50"/>
      <c r="P140" s="50"/>
      <c r="Q140" s="51"/>
      <c r="R140" s="50"/>
      <c r="S140" s="50"/>
      <c r="T140" s="51"/>
      <c r="U140" s="50"/>
    </row>
    <row r="141" spans="1:21" x14ac:dyDescent="0.25">
      <c r="A141" s="45" t="s">
        <v>2382</v>
      </c>
      <c r="B141" s="46">
        <v>45762</v>
      </c>
      <c r="C141" s="45"/>
      <c r="D141" s="47" t="s">
        <v>352</v>
      </c>
      <c r="E141" s="45" t="s">
        <v>371</v>
      </c>
      <c r="F141" s="45" t="s">
        <v>372</v>
      </c>
      <c r="G141" s="45" t="s">
        <v>2383</v>
      </c>
      <c r="H141" s="45" t="s">
        <v>2392</v>
      </c>
      <c r="I141" s="45" t="s">
        <v>2393</v>
      </c>
      <c r="J141" s="45">
        <v>381379460</v>
      </c>
      <c r="K141" s="45" t="s">
        <v>2244</v>
      </c>
      <c r="L141" s="48">
        <v>85.59</v>
      </c>
      <c r="M141" s="49">
        <v>20241127289</v>
      </c>
      <c r="N141" s="50" t="s">
        <v>28</v>
      </c>
      <c r="O141" s="50"/>
      <c r="P141" s="50"/>
      <c r="Q141" s="51"/>
      <c r="R141" s="50"/>
      <c r="S141" s="50"/>
      <c r="T141" s="51"/>
      <c r="U141" s="50"/>
    </row>
    <row r="142" spans="1:21" ht="25.5" x14ac:dyDescent="0.25">
      <c r="A142" s="45" t="s">
        <v>233</v>
      </c>
      <c r="B142" s="46">
        <v>45758</v>
      </c>
      <c r="C142" s="45" t="s">
        <v>21</v>
      </c>
      <c r="D142" s="47"/>
      <c r="E142" s="45" t="s">
        <v>371</v>
      </c>
      <c r="F142" s="45" t="s">
        <v>372</v>
      </c>
      <c r="G142" s="45" t="s">
        <v>934</v>
      </c>
      <c r="H142" s="45" t="s">
        <v>1166</v>
      </c>
      <c r="I142" s="45" t="s">
        <v>2394</v>
      </c>
      <c r="J142" s="45">
        <v>382130555</v>
      </c>
      <c r="K142" s="45" t="s">
        <v>2098</v>
      </c>
      <c r="L142" s="48">
        <v>15.01</v>
      </c>
      <c r="M142" s="49">
        <v>202411251093</v>
      </c>
      <c r="N142" s="50" t="s">
        <v>28</v>
      </c>
      <c r="O142" s="50"/>
      <c r="P142" s="50"/>
      <c r="Q142" s="51"/>
      <c r="R142" s="50"/>
      <c r="S142" s="50"/>
      <c r="T142" s="51"/>
      <c r="U142" s="50"/>
    </row>
    <row r="143" spans="1:21" x14ac:dyDescent="0.25">
      <c r="A143" s="45" t="s">
        <v>70</v>
      </c>
      <c r="B143" s="46">
        <v>45762</v>
      </c>
      <c r="C143" s="45" t="s">
        <v>168</v>
      </c>
      <c r="D143" s="47"/>
      <c r="E143" s="45" t="s">
        <v>362</v>
      </c>
      <c r="F143" s="45" t="s">
        <v>394</v>
      </c>
      <c r="G143" s="45" t="s">
        <v>798</v>
      </c>
      <c r="H143" s="45" t="s">
        <v>1164</v>
      </c>
      <c r="I143" s="45" t="s">
        <v>2395</v>
      </c>
      <c r="J143" s="45">
        <v>120704200</v>
      </c>
      <c r="K143" s="45" t="s">
        <v>1358</v>
      </c>
      <c r="L143" s="48">
        <v>315</v>
      </c>
      <c r="M143" s="49">
        <v>20241127384</v>
      </c>
      <c r="N143" s="50" t="s">
        <v>28</v>
      </c>
      <c r="O143" s="50"/>
      <c r="P143" s="50"/>
      <c r="Q143" s="51"/>
      <c r="R143" s="50"/>
      <c r="S143" s="50"/>
      <c r="T143" s="51"/>
      <c r="U143" s="50"/>
    </row>
    <row r="144" spans="1:21" x14ac:dyDescent="0.25">
      <c r="A144" s="45" t="s">
        <v>314</v>
      </c>
      <c r="B144" s="46">
        <v>45762</v>
      </c>
      <c r="C144" s="45" t="s">
        <v>168</v>
      </c>
      <c r="D144" s="47"/>
      <c r="E144" s="45" t="s">
        <v>362</v>
      </c>
      <c r="F144" s="45" t="s">
        <v>394</v>
      </c>
      <c r="G144" s="45" t="s">
        <v>798</v>
      </c>
      <c r="H144" s="45" t="s">
        <v>1164</v>
      </c>
      <c r="I144" s="45" t="s">
        <v>2395</v>
      </c>
      <c r="J144" s="45">
        <v>120704200</v>
      </c>
      <c r="K144" s="45" t="s">
        <v>1358</v>
      </c>
      <c r="L144" s="48">
        <v>315</v>
      </c>
      <c r="M144" s="49">
        <v>20241127388</v>
      </c>
      <c r="N144" s="50" t="s">
        <v>28</v>
      </c>
      <c r="O144" s="50"/>
      <c r="P144" s="50"/>
      <c r="Q144" s="51"/>
      <c r="R144" s="50"/>
      <c r="S144" s="50"/>
      <c r="T144" s="51"/>
      <c r="U144" s="50"/>
    </row>
    <row r="145" spans="1:21" x14ac:dyDescent="0.25">
      <c r="A145" s="45" t="s">
        <v>314</v>
      </c>
      <c r="B145" s="46">
        <v>45762</v>
      </c>
      <c r="C145" s="45" t="s">
        <v>168</v>
      </c>
      <c r="D145" s="47"/>
      <c r="E145" s="45" t="s">
        <v>362</v>
      </c>
      <c r="F145" s="45" t="s">
        <v>394</v>
      </c>
      <c r="G145" s="45" t="s">
        <v>798</v>
      </c>
      <c r="H145" s="45" t="s">
        <v>431</v>
      </c>
      <c r="I145" s="45" t="s">
        <v>2396</v>
      </c>
      <c r="J145" s="45">
        <v>130822161</v>
      </c>
      <c r="K145" s="45" t="s">
        <v>1358</v>
      </c>
      <c r="L145" s="48">
        <v>315</v>
      </c>
      <c r="M145" s="49">
        <v>20241127379</v>
      </c>
      <c r="N145" s="50" t="s">
        <v>28</v>
      </c>
      <c r="O145" s="50"/>
      <c r="P145" s="50"/>
      <c r="Q145" s="51"/>
      <c r="R145" s="50"/>
      <c r="S145" s="50"/>
      <c r="T145" s="51"/>
      <c r="U145" s="50"/>
    </row>
    <row r="146" spans="1:21" x14ac:dyDescent="0.25">
      <c r="A146" s="45" t="s">
        <v>314</v>
      </c>
      <c r="B146" s="46">
        <v>45762</v>
      </c>
      <c r="C146" s="45" t="s">
        <v>168</v>
      </c>
      <c r="D146" s="47"/>
      <c r="E146" s="45" t="s">
        <v>362</v>
      </c>
      <c r="F146" s="45" t="s">
        <v>394</v>
      </c>
      <c r="G146" s="45" t="s">
        <v>798</v>
      </c>
      <c r="H146" s="45" t="s">
        <v>431</v>
      </c>
      <c r="I146" s="45" t="s">
        <v>2396</v>
      </c>
      <c r="J146" s="45">
        <v>130822161</v>
      </c>
      <c r="K146" s="45" t="s">
        <v>56</v>
      </c>
      <c r="L146" s="48">
        <v>315</v>
      </c>
      <c r="M146" s="49">
        <v>20241127378</v>
      </c>
      <c r="N146" s="50" t="s">
        <v>28</v>
      </c>
      <c r="O146" s="50"/>
      <c r="P146" s="50"/>
      <c r="Q146" s="51"/>
      <c r="R146" s="50"/>
      <c r="S146" s="50"/>
      <c r="T146" s="51"/>
      <c r="U146" s="50"/>
    </row>
    <row r="147" spans="1:21" x14ac:dyDescent="0.25">
      <c r="A147" s="45" t="s">
        <v>20</v>
      </c>
      <c r="B147" s="46">
        <v>45762</v>
      </c>
      <c r="C147" s="45" t="s">
        <v>168</v>
      </c>
      <c r="D147" s="47"/>
      <c r="E147" s="45" t="s">
        <v>362</v>
      </c>
      <c r="F147" s="45" t="s">
        <v>394</v>
      </c>
      <c r="G147" s="45" t="s">
        <v>178</v>
      </c>
      <c r="H147" s="45" t="s">
        <v>2397</v>
      </c>
      <c r="I147" s="45" t="s">
        <v>2398</v>
      </c>
      <c r="J147" s="45">
        <v>136828176</v>
      </c>
      <c r="K147" s="45" t="s">
        <v>856</v>
      </c>
      <c r="L147" s="48">
        <v>274.45</v>
      </c>
      <c r="M147" s="49">
        <v>20241125682</v>
      </c>
      <c r="N147" s="50" t="s">
        <v>28</v>
      </c>
      <c r="O147" s="50"/>
      <c r="P147" s="50"/>
      <c r="Q147" s="51"/>
      <c r="R147" s="50"/>
      <c r="S147" s="50"/>
      <c r="T147" s="51"/>
      <c r="U147" s="50"/>
    </row>
    <row r="148" spans="1:21" x14ac:dyDescent="0.25">
      <c r="A148" s="45" t="s">
        <v>20</v>
      </c>
      <c r="B148" s="46">
        <v>45762</v>
      </c>
      <c r="C148" s="45" t="s">
        <v>168</v>
      </c>
      <c r="D148" s="47"/>
      <c r="E148" s="45" t="s">
        <v>362</v>
      </c>
      <c r="F148" s="45" t="s">
        <v>394</v>
      </c>
      <c r="G148" s="45" t="s">
        <v>178</v>
      </c>
      <c r="H148" s="45" t="s">
        <v>2397</v>
      </c>
      <c r="I148" s="45" t="s">
        <v>2398</v>
      </c>
      <c r="J148" s="45">
        <v>136828176</v>
      </c>
      <c r="K148" s="45" t="s">
        <v>147</v>
      </c>
      <c r="L148" s="48">
        <v>139.54</v>
      </c>
      <c r="M148" s="49">
        <v>20241125678</v>
      </c>
      <c r="N148" s="50" t="s">
        <v>28</v>
      </c>
      <c r="O148" s="50"/>
      <c r="P148" s="50"/>
      <c r="Q148" s="51"/>
      <c r="R148" s="50"/>
      <c r="S148" s="50"/>
      <c r="T148" s="51"/>
      <c r="U148" s="50"/>
    </row>
    <row r="149" spans="1:21" x14ac:dyDescent="0.25">
      <c r="A149" s="45" t="s">
        <v>20</v>
      </c>
      <c r="B149" s="46">
        <v>45762</v>
      </c>
      <c r="C149" s="45" t="s">
        <v>168</v>
      </c>
      <c r="D149" s="47"/>
      <c r="E149" s="45" t="s">
        <v>362</v>
      </c>
      <c r="F149" s="45" t="s">
        <v>394</v>
      </c>
      <c r="G149" s="45" t="s">
        <v>178</v>
      </c>
      <c r="H149" s="45" t="s">
        <v>2397</v>
      </c>
      <c r="I149" s="45" t="s">
        <v>2398</v>
      </c>
      <c r="J149" s="45">
        <v>136828176</v>
      </c>
      <c r="K149" s="45" t="s">
        <v>2255</v>
      </c>
      <c r="L149" s="48">
        <v>383.69</v>
      </c>
      <c r="M149" s="49">
        <v>20241125675</v>
      </c>
      <c r="N149" s="50" t="s">
        <v>28</v>
      </c>
      <c r="O149" s="50"/>
      <c r="P149" s="50"/>
      <c r="Q149" s="51"/>
      <c r="R149" s="50"/>
      <c r="S149" s="50"/>
      <c r="T149" s="51"/>
      <c r="U149" s="50"/>
    </row>
    <row r="150" spans="1:21" x14ac:dyDescent="0.25">
      <c r="A150" s="45" t="s">
        <v>314</v>
      </c>
      <c r="B150" s="46">
        <v>45762</v>
      </c>
      <c r="C150" s="45" t="s">
        <v>168</v>
      </c>
      <c r="D150" s="47"/>
      <c r="E150" s="45" t="s">
        <v>362</v>
      </c>
      <c r="F150" s="45" t="s">
        <v>394</v>
      </c>
      <c r="G150" s="45" t="s">
        <v>798</v>
      </c>
      <c r="H150" s="45" t="s">
        <v>2399</v>
      </c>
      <c r="I150" s="45" t="s">
        <v>2400</v>
      </c>
      <c r="J150" s="45">
        <v>139809631</v>
      </c>
      <c r="K150" s="45" t="s">
        <v>2244</v>
      </c>
      <c r="L150" s="48">
        <v>19.989999999999998</v>
      </c>
      <c r="M150" s="49">
        <v>20241127422</v>
      </c>
      <c r="N150" s="50" t="s">
        <v>28</v>
      </c>
      <c r="O150" s="50"/>
      <c r="P150" s="50"/>
      <c r="Q150" s="51"/>
      <c r="R150" s="50"/>
      <c r="S150" s="50"/>
      <c r="T150" s="51"/>
      <c r="U150" s="50"/>
    </row>
    <row r="151" spans="1:21" x14ac:dyDescent="0.25">
      <c r="A151" s="45" t="s">
        <v>70</v>
      </c>
      <c r="B151" s="46">
        <v>45762</v>
      </c>
      <c r="C151" s="45" t="s">
        <v>168</v>
      </c>
      <c r="D151" s="47"/>
      <c r="E151" s="45" t="s">
        <v>362</v>
      </c>
      <c r="F151" s="45" t="s">
        <v>394</v>
      </c>
      <c r="G151" s="45" t="s">
        <v>798</v>
      </c>
      <c r="H151" s="45" t="s">
        <v>2399</v>
      </c>
      <c r="I151" s="45" t="s">
        <v>2400</v>
      </c>
      <c r="J151" s="45">
        <v>139809631</v>
      </c>
      <c r="K151" s="45" t="s">
        <v>2244</v>
      </c>
      <c r="L151" s="48">
        <v>7</v>
      </c>
      <c r="M151" s="49">
        <v>20241127424</v>
      </c>
      <c r="N151" s="50" t="s">
        <v>28</v>
      </c>
      <c r="O151" s="50"/>
      <c r="P151" s="50"/>
      <c r="Q151" s="51"/>
      <c r="R151" s="50"/>
      <c r="S151" s="50"/>
      <c r="T151" s="51"/>
      <c r="U151" s="50"/>
    </row>
    <row r="152" spans="1:21" x14ac:dyDescent="0.25">
      <c r="A152" s="45" t="s">
        <v>20</v>
      </c>
      <c r="B152" s="46">
        <v>45762</v>
      </c>
      <c r="C152" s="45" t="s">
        <v>168</v>
      </c>
      <c r="D152" s="47"/>
      <c r="E152" s="45" t="s">
        <v>362</v>
      </c>
      <c r="F152" s="45" t="s">
        <v>394</v>
      </c>
      <c r="G152" s="45" t="s">
        <v>2401</v>
      </c>
      <c r="H152" s="45" t="s">
        <v>861</v>
      </c>
      <c r="I152" s="45" t="s">
        <v>335</v>
      </c>
      <c r="J152" s="45">
        <v>146788717</v>
      </c>
      <c r="K152" s="45" t="s">
        <v>1071</v>
      </c>
      <c r="L152" s="48">
        <v>2.4900000000000002</v>
      </c>
      <c r="M152" s="49">
        <v>20241125222</v>
      </c>
      <c r="N152" s="50" t="s">
        <v>28</v>
      </c>
      <c r="O152" s="50"/>
      <c r="P152" s="50"/>
      <c r="Q152" s="51"/>
      <c r="R152" s="50"/>
      <c r="S152" s="50"/>
      <c r="T152" s="51"/>
      <c r="U152" s="50"/>
    </row>
    <row r="153" spans="1:21" x14ac:dyDescent="0.25">
      <c r="A153" s="45" t="s">
        <v>20</v>
      </c>
      <c r="B153" s="46">
        <v>45762</v>
      </c>
      <c r="C153" s="45" t="s">
        <v>168</v>
      </c>
      <c r="D153" s="47"/>
      <c r="E153" s="45" t="s">
        <v>362</v>
      </c>
      <c r="F153" s="45" t="s">
        <v>394</v>
      </c>
      <c r="G153" s="45" t="s">
        <v>2401</v>
      </c>
      <c r="H153" s="45" t="s">
        <v>861</v>
      </c>
      <c r="I153" s="45" t="s">
        <v>335</v>
      </c>
      <c r="J153" s="45">
        <v>146788717</v>
      </c>
      <c r="K153" s="45" t="s">
        <v>1889</v>
      </c>
      <c r="L153" s="48">
        <v>223.81</v>
      </c>
      <c r="M153" s="49">
        <v>20241125267</v>
      </c>
      <c r="N153" s="50" t="s">
        <v>28</v>
      </c>
      <c r="O153" s="50"/>
      <c r="P153" s="50"/>
      <c r="Q153" s="51"/>
      <c r="R153" s="50"/>
      <c r="S153" s="50"/>
      <c r="T153" s="51"/>
      <c r="U153" s="50"/>
    </row>
    <row r="154" spans="1:21" x14ac:dyDescent="0.25">
      <c r="A154" s="45" t="s">
        <v>20</v>
      </c>
      <c r="B154" s="46">
        <v>45762</v>
      </c>
      <c r="C154" s="45" t="s">
        <v>168</v>
      </c>
      <c r="D154" s="47"/>
      <c r="E154" s="45" t="s">
        <v>362</v>
      </c>
      <c r="F154" s="45" t="s">
        <v>394</v>
      </c>
      <c r="G154" s="45" t="s">
        <v>2401</v>
      </c>
      <c r="H154" s="45" t="s">
        <v>861</v>
      </c>
      <c r="I154" s="45" t="s">
        <v>335</v>
      </c>
      <c r="J154" s="45">
        <v>146788717</v>
      </c>
      <c r="K154" s="45" t="s">
        <v>1511</v>
      </c>
      <c r="L154" s="48">
        <v>102.59</v>
      </c>
      <c r="M154" s="49">
        <v>20241125262</v>
      </c>
      <c r="N154" s="50" t="s">
        <v>28</v>
      </c>
      <c r="O154" s="50"/>
      <c r="P154" s="50"/>
      <c r="Q154" s="51"/>
      <c r="R154" s="50"/>
      <c r="S154" s="50"/>
      <c r="T154" s="51"/>
      <c r="U154" s="50"/>
    </row>
    <row r="155" spans="1:21" x14ac:dyDescent="0.25">
      <c r="A155" s="45" t="s">
        <v>20</v>
      </c>
      <c r="B155" s="46">
        <v>45762</v>
      </c>
      <c r="C155" s="45" t="s">
        <v>168</v>
      </c>
      <c r="D155" s="47"/>
      <c r="E155" s="45" t="s">
        <v>362</v>
      </c>
      <c r="F155" s="45" t="s">
        <v>394</v>
      </c>
      <c r="G155" s="45" t="s">
        <v>2401</v>
      </c>
      <c r="H155" s="45" t="s">
        <v>861</v>
      </c>
      <c r="I155" s="45" t="s">
        <v>335</v>
      </c>
      <c r="J155" s="45">
        <v>146788717</v>
      </c>
      <c r="K155" s="45" t="s">
        <v>1907</v>
      </c>
      <c r="L155" s="48">
        <v>480</v>
      </c>
      <c r="M155" s="49">
        <v>20241125272</v>
      </c>
      <c r="N155" s="50" t="s">
        <v>28</v>
      </c>
      <c r="O155" s="50"/>
      <c r="P155" s="50"/>
      <c r="Q155" s="51"/>
      <c r="R155" s="50"/>
      <c r="S155" s="50"/>
      <c r="T155" s="51"/>
      <c r="U155" s="50"/>
    </row>
    <row r="156" spans="1:21" x14ac:dyDescent="0.25">
      <c r="A156" s="45" t="s">
        <v>20</v>
      </c>
      <c r="B156" s="46">
        <v>45762</v>
      </c>
      <c r="C156" s="45" t="s">
        <v>168</v>
      </c>
      <c r="D156" s="47"/>
      <c r="E156" s="45" t="s">
        <v>362</v>
      </c>
      <c r="F156" s="45" t="s">
        <v>394</v>
      </c>
      <c r="G156" s="45" t="s">
        <v>2401</v>
      </c>
      <c r="H156" s="45" t="s">
        <v>861</v>
      </c>
      <c r="I156" s="45" t="s">
        <v>335</v>
      </c>
      <c r="J156" s="45">
        <v>146788717</v>
      </c>
      <c r="K156" s="45" t="s">
        <v>2098</v>
      </c>
      <c r="L156" s="48">
        <v>39.479999999999997</v>
      </c>
      <c r="M156" s="49">
        <v>20241125273</v>
      </c>
      <c r="N156" s="50" t="s">
        <v>28</v>
      </c>
      <c r="O156" s="50"/>
      <c r="P156" s="50"/>
      <c r="Q156" s="51"/>
      <c r="R156" s="50"/>
      <c r="S156" s="50"/>
      <c r="T156" s="51"/>
      <c r="U156" s="50"/>
    </row>
    <row r="157" spans="1:21" x14ac:dyDescent="0.25">
      <c r="A157" s="45" t="s">
        <v>20</v>
      </c>
      <c r="B157" s="46">
        <v>45762</v>
      </c>
      <c r="C157" s="45" t="s">
        <v>168</v>
      </c>
      <c r="D157" s="47"/>
      <c r="E157" s="45" t="s">
        <v>362</v>
      </c>
      <c r="F157" s="45" t="s">
        <v>394</v>
      </c>
      <c r="G157" s="45" t="s">
        <v>2401</v>
      </c>
      <c r="H157" s="45" t="s">
        <v>861</v>
      </c>
      <c r="I157" s="45" t="s">
        <v>335</v>
      </c>
      <c r="J157" s="45">
        <v>146788717</v>
      </c>
      <c r="K157" s="45" t="s">
        <v>1071</v>
      </c>
      <c r="L157" s="48">
        <v>8.77</v>
      </c>
      <c r="M157" s="49">
        <v>20241125229</v>
      </c>
      <c r="N157" s="50" t="s">
        <v>28</v>
      </c>
      <c r="O157" s="50"/>
      <c r="P157" s="50"/>
      <c r="Q157" s="51"/>
      <c r="R157" s="50"/>
      <c r="S157" s="50"/>
      <c r="T157" s="51"/>
      <c r="U157" s="50"/>
    </row>
    <row r="158" spans="1:21" x14ac:dyDescent="0.25">
      <c r="A158" s="45" t="s">
        <v>20</v>
      </c>
      <c r="B158" s="46">
        <v>45762</v>
      </c>
      <c r="C158" s="45" t="s">
        <v>168</v>
      </c>
      <c r="D158" s="47"/>
      <c r="E158" s="45" t="s">
        <v>411</v>
      </c>
      <c r="F158" s="45" t="s">
        <v>412</v>
      </c>
      <c r="G158" s="45" t="s">
        <v>164</v>
      </c>
      <c r="H158" s="45" t="s">
        <v>1766</v>
      </c>
      <c r="I158" s="45" t="s">
        <v>1767</v>
      </c>
      <c r="J158" s="45">
        <v>40496</v>
      </c>
      <c r="K158" s="45" t="s">
        <v>293</v>
      </c>
      <c r="L158" s="48">
        <v>140</v>
      </c>
      <c r="M158" s="49">
        <v>20241106649</v>
      </c>
      <c r="N158" s="50" t="s">
        <v>28</v>
      </c>
      <c r="O158" s="50"/>
      <c r="P158" s="50"/>
      <c r="Q158" s="51"/>
      <c r="R158" s="50"/>
      <c r="S158" s="50"/>
      <c r="T158" s="51"/>
      <c r="U158" s="50"/>
    </row>
    <row r="159" spans="1:21" x14ac:dyDescent="0.25">
      <c r="A159" s="45" t="s">
        <v>20</v>
      </c>
      <c r="B159" s="46">
        <v>45758</v>
      </c>
      <c r="C159" s="45" t="s">
        <v>21</v>
      </c>
      <c r="D159" s="47"/>
      <c r="E159" s="45" t="s">
        <v>417</v>
      </c>
      <c r="F159" s="45" t="s">
        <v>418</v>
      </c>
      <c r="G159" s="45" t="s">
        <v>202</v>
      </c>
      <c r="H159" s="45" t="s">
        <v>2402</v>
      </c>
      <c r="I159" s="45" t="s">
        <v>2403</v>
      </c>
      <c r="J159" s="45">
        <v>294040612</v>
      </c>
      <c r="K159" s="45" t="s">
        <v>2050</v>
      </c>
      <c r="L159" s="48">
        <v>120</v>
      </c>
      <c r="M159" s="49">
        <v>20241118559</v>
      </c>
      <c r="N159" s="50" t="s">
        <v>28</v>
      </c>
      <c r="O159" s="50"/>
      <c r="P159" s="50"/>
      <c r="Q159" s="51"/>
      <c r="R159" s="50"/>
      <c r="S159" s="50"/>
      <c r="T159" s="51"/>
      <c r="U159" s="50"/>
    </row>
    <row r="160" spans="1:21" ht="25.5" x14ac:dyDescent="0.25">
      <c r="A160" s="45" t="s">
        <v>20</v>
      </c>
      <c r="B160" s="46">
        <v>45758</v>
      </c>
      <c r="C160" s="45" t="s">
        <v>21</v>
      </c>
      <c r="D160" s="47"/>
      <c r="E160" s="45" t="s">
        <v>708</v>
      </c>
      <c r="F160" s="45" t="s">
        <v>709</v>
      </c>
      <c r="G160" s="45" t="s">
        <v>263</v>
      </c>
      <c r="H160" s="45" t="s">
        <v>1055</v>
      </c>
      <c r="I160" s="45" t="s">
        <v>1372</v>
      </c>
      <c r="J160" s="45">
        <v>493826810</v>
      </c>
      <c r="K160" s="45" t="s">
        <v>1033</v>
      </c>
      <c r="L160" s="48">
        <v>0</v>
      </c>
      <c r="M160" s="49">
        <v>20241021413</v>
      </c>
      <c r="N160" s="50" t="s">
        <v>28</v>
      </c>
      <c r="O160" s="50"/>
      <c r="P160" s="50"/>
      <c r="Q160" s="51"/>
      <c r="R160" s="50"/>
      <c r="S160" s="50"/>
      <c r="T160" s="51"/>
      <c r="U160" s="50"/>
    </row>
    <row r="161" spans="1:21" x14ac:dyDescent="0.25">
      <c r="A161" s="45" t="s">
        <v>29</v>
      </c>
      <c r="B161" s="45" t="s">
        <v>2404</v>
      </c>
      <c r="C161" s="45" t="s">
        <v>21</v>
      </c>
      <c r="D161" s="47"/>
      <c r="E161" s="45" t="s">
        <v>425</v>
      </c>
      <c r="F161" s="45" t="s">
        <v>426</v>
      </c>
      <c r="G161" s="45" t="s">
        <v>2405</v>
      </c>
      <c r="H161" s="45" t="s">
        <v>2406</v>
      </c>
      <c r="I161" s="45" t="s">
        <v>2407</v>
      </c>
      <c r="J161" s="45">
        <v>146899497</v>
      </c>
      <c r="K161" s="45" t="s">
        <v>318</v>
      </c>
      <c r="L161" s="48">
        <v>3340</v>
      </c>
      <c r="M161" s="49">
        <v>20241122414</v>
      </c>
      <c r="N161" s="50" t="s">
        <v>28</v>
      </c>
      <c r="O161" s="50"/>
      <c r="P161" s="50"/>
      <c r="Q161" s="51"/>
      <c r="R161" s="50"/>
      <c r="S161" s="50"/>
      <c r="T161" s="51"/>
      <c r="U161" s="50"/>
    </row>
    <row r="162" spans="1:21" x14ac:dyDescent="0.25">
      <c r="A162" s="45" t="s">
        <v>20</v>
      </c>
      <c r="B162" s="46">
        <v>45758</v>
      </c>
      <c r="C162" s="45" t="s">
        <v>21</v>
      </c>
      <c r="D162" s="47"/>
      <c r="E162" s="45" t="s">
        <v>425</v>
      </c>
      <c r="F162" s="45" t="s">
        <v>426</v>
      </c>
      <c r="G162" s="45" t="s">
        <v>2353</v>
      </c>
      <c r="H162" s="45" t="s">
        <v>1064</v>
      </c>
      <c r="I162" s="45" t="s">
        <v>2354</v>
      </c>
      <c r="J162" s="45">
        <v>446964889</v>
      </c>
      <c r="K162" s="45" t="s">
        <v>2044</v>
      </c>
      <c r="L162" s="48">
        <v>449.25</v>
      </c>
      <c r="M162" s="49">
        <v>20241118436</v>
      </c>
      <c r="N162" s="50" t="s">
        <v>28</v>
      </c>
      <c r="O162" s="50"/>
      <c r="P162" s="50"/>
      <c r="Q162" s="51"/>
      <c r="R162" s="50"/>
      <c r="S162" s="50"/>
      <c r="T162" s="51"/>
      <c r="U162" s="50"/>
    </row>
  </sheetData>
  <sortState xmlns:xlrd2="http://schemas.microsoft.com/office/spreadsheetml/2017/richdata2" ref="A2:U162">
    <sortCondition ref="J2:J162"/>
  </sortState>
  <conditionalFormatting sqref="N1:N97 N111:N1048576">
    <cfRule type="cellIs" priority="19" stopIfTrue="1" operator="equal">
      <formula>""</formula>
    </cfRule>
    <cfRule type="cellIs" priority="20" stopIfTrue="1" operator="equal">
      <formula>"Correct = C"</formula>
    </cfRule>
    <cfRule type="cellIs" dxfId="105" priority="21" operator="notEqual">
      <formula>"C"</formula>
    </cfRule>
  </conditionalFormatting>
  <conditionalFormatting sqref="O1:O97 O99 O101:O106 O108:O1048576">
    <cfRule type="cellIs" priority="16" stopIfTrue="1" operator="equal">
      <formula>""</formula>
    </cfRule>
    <cfRule type="cellIs" priority="17" stopIfTrue="1" operator="equal">
      <formula>"Major = M"</formula>
    </cfRule>
    <cfRule type="cellIs" dxfId="104" priority="18" operator="notEqual">
      <formula>"M"</formula>
    </cfRule>
  </conditionalFormatting>
  <conditionalFormatting sqref="P1:P1048576 O98">
    <cfRule type="cellIs" priority="13" stopIfTrue="1" operator="equal">
      <formula>""</formula>
    </cfRule>
    <cfRule type="cellIs" priority="14" stopIfTrue="1" operator="equal">
      <formula>"Minor = E"</formula>
    </cfRule>
    <cfRule type="cellIs" dxfId="103" priority="15" operator="notEqual">
      <formula>"E"</formula>
    </cfRule>
  </conditionalFormatting>
  <conditionalFormatting sqref="R1:R1048576">
    <cfRule type="cellIs" priority="10" stopIfTrue="1" operator="equal">
      <formula>""</formula>
    </cfRule>
    <cfRule type="cellIs" priority="11" stopIfTrue="1" operator="equal">
      <formula>"Inserted Major = M"</formula>
    </cfRule>
    <cfRule type="cellIs" dxfId="102" priority="12" operator="notEqual">
      <formula>"M"</formula>
    </cfRule>
  </conditionalFormatting>
  <conditionalFormatting sqref="S1:S1048576">
    <cfRule type="cellIs" priority="7" stopIfTrue="1" operator="equal">
      <formula>""</formula>
    </cfRule>
    <cfRule type="cellIs" priority="8" stopIfTrue="1" operator="equal">
      <formula>"Inserted Minor = E"</formula>
    </cfRule>
    <cfRule type="cellIs" dxfId="101" priority="9" operator="notEqual">
      <formula>"E"</formula>
    </cfRule>
  </conditionalFormatting>
  <conditionalFormatting sqref="O100 N98:N110">
    <cfRule type="cellIs" priority="4" stopIfTrue="1" operator="equal">
      <formula>""</formula>
    </cfRule>
    <cfRule type="cellIs" priority="5" stopIfTrue="1" operator="equal">
      <formula>"Correct = C"</formula>
    </cfRule>
    <cfRule type="cellIs" dxfId="100" priority="6" operator="notEqual">
      <formula>"C"</formula>
    </cfRule>
  </conditionalFormatting>
  <conditionalFormatting sqref="O107">
    <cfRule type="cellIs" priority="1" stopIfTrue="1" operator="equal">
      <formula>""</formula>
    </cfRule>
    <cfRule type="cellIs" priority="2" stopIfTrue="1" operator="equal">
      <formula>"Correct = C"</formula>
    </cfRule>
    <cfRule type="cellIs" dxfId="99" priority="3" operator="notEqual">
      <formula>"C"</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E9A0F-E1AB-48EF-A9A0-A8E6E77A863C}">
  <sheetPr codeName="Sheet23"/>
  <dimension ref="B2:AA50"/>
  <sheetViews>
    <sheetView workbookViewId="0"/>
  </sheetViews>
  <sheetFormatPr defaultRowHeight="15" x14ac:dyDescent="0.25"/>
  <cols>
    <col min="1" max="1" width="2.7109375" customWidth="1"/>
    <col min="2" max="2" width="28.140625" style="1" bestFit="1" customWidth="1"/>
    <col min="3" max="3" width="19.140625" style="1" hidden="1" customWidth="1"/>
    <col min="4" max="4" width="21.7109375" style="1" hidden="1" customWidth="1"/>
    <col min="5" max="5" width="11" style="1" hidden="1" customWidth="1"/>
    <col min="6" max="6" width="9.5703125" style="1" hidden="1" customWidth="1"/>
    <col min="7" max="7" width="16.140625" style="1" hidden="1" customWidth="1"/>
    <col min="8" max="8" width="17.140625" style="1" customWidth="1"/>
    <col min="9" max="9" width="33.85546875" style="1" hidden="1" customWidth="1"/>
    <col min="10" max="10" width="16.140625" style="1" customWidth="1"/>
    <col min="11" max="11" width="20.85546875" style="1" hidden="1" customWidth="1"/>
    <col min="12" max="12" width="19.85546875" style="1" hidden="1" customWidth="1"/>
    <col min="13" max="13" width="9.140625" style="1"/>
    <col min="14" max="16" width="0" style="1" hidden="1" customWidth="1"/>
    <col min="17" max="17" width="9.140625" style="1"/>
    <col min="18" max="19" width="9.140625" style="27"/>
    <col min="20" max="20" width="9.140625" style="1"/>
    <col min="21" max="22" width="9.140625" style="2"/>
    <col min="23" max="23" width="9.140625" style="1"/>
    <col min="24" max="24" width="18.85546875" style="1" bestFit="1" customWidth="1"/>
    <col min="25" max="27" width="9.140625" style="1"/>
  </cols>
  <sheetData>
    <row r="2" spans="2:24" s="1" customFormat="1" ht="52.5" x14ac:dyDescent="0.25">
      <c r="B2" s="22" t="s">
        <v>437</v>
      </c>
      <c r="C2" s="22" t="s">
        <v>438</v>
      </c>
      <c r="D2" s="22" t="s">
        <v>439</v>
      </c>
      <c r="E2" s="23" t="s">
        <v>440</v>
      </c>
      <c r="F2" s="23" t="s">
        <v>441</v>
      </c>
      <c r="G2" s="23" t="s">
        <v>442</v>
      </c>
      <c r="H2" s="23" t="s">
        <v>443</v>
      </c>
      <c r="I2" s="23" t="s">
        <v>444</v>
      </c>
      <c r="J2" s="23" t="s">
        <v>445</v>
      </c>
      <c r="K2" s="23" t="s">
        <v>446</v>
      </c>
      <c r="L2" s="23" t="s">
        <v>447</v>
      </c>
      <c r="M2" s="24" t="s">
        <v>448</v>
      </c>
      <c r="N2" s="24"/>
      <c r="O2" s="24"/>
      <c r="P2" s="24" t="s">
        <v>449</v>
      </c>
      <c r="Q2" s="24" t="s">
        <v>450</v>
      </c>
      <c r="R2" s="25" t="s">
        <v>451</v>
      </c>
      <c r="S2" s="25" t="s">
        <v>452</v>
      </c>
      <c r="T2" s="24" t="s">
        <v>453</v>
      </c>
      <c r="U2" s="26" t="s">
        <v>454</v>
      </c>
      <c r="V2" s="2"/>
    </row>
    <row r="3" spans="2:24" s="1" customFormat="1" ht="15" customHeight="1" x14ac:dyDescent="0.25">
      <c r="B3" s="1" t="s">
        <v>455</v>
      </c>
      <c r="C3" s="1" t="s">
        <v>456</v>
      </c>
      <c r="D3" s="1" t="s">
        <v>297</v>
      </c>
      <c r="E3" t="s">
        <v>457</v>
      </c>
      <c r="F3" t="s">
        <v>458</v>
      </c>
      <c r="G3" t="s">
        <v>459</v>
      </c>
      <c r="H3" t="s">
        <v>460</v>
      </c>
      <c r="I3" t="s">
        <v>461</v>
      </c>
      <c r="J3" t="s">
        <v>462</v>
      </c>
      <c r="K3"/>
      <c r="L3" t="s">
        <v>463</v>
      </c>
      <c r="M3">
        <v>0</v>
      </c>
      <c r="N3" t="s">
        <v>464</v>
      </c>
      <c r="O3"/>
      <c r="P3"/>
      <c r="Q3" s="7"/>
      <c r="R3" s="27" t="str">
        <f t="shared" ref="R3:R48" si="0">IF(Q3-SUM(S3:T3)=0,"",Q3-SUM(S3:T3))</f>
        <v/>
      </c>
      <c r="S3" s="27" t="str">
        <f>IF(SUM(COUNTIFS('11_25_12_01'!E:E,'11_25_12_01 Acc Rate'!C3,'11_25_12_01'!O:O,"*M*"),COUNTIFS('11_25_12_01'!E:E,'11_25_12_01 Acc Rate'!C3,'11_25_12_01'!R:R,"*M*"))=0,"",SUM(COUNTIFS('11_25_12_01'!E:E,'11_25_12_01 Acc Rate'!C3,'11_25_12_01'!O:O,"*M*"),COUNTIFS('11_25_12_01'!E:E,'11_25_12_01 Acc Rate'!C3,'11_25_12_01'!R:R,"*M*")))</f>
        <v/>
      </c>
      <c r="T3" s="1" t="str">
        <f>IF(SUM(COUNTIFS('11_25_12_01'!E:E,'11_25_12_01 Acc Rate'!C3,'11_25_12_01'!P:P,"*E*"),COUNTIFS('11_25_12_01'!E:E,'11_25_12_01 Acc Rate'!C3,'11_25_12_01'!S:S,"*E*"))=0,"",SUM(COUNTIFS('11_25_12_01'!E:E,'11_25_12_01 Acc Rate'!C3,'11_25_12_01'!P:P,"*E*"),COUNTIFS('11_25_12_01'!E:E,'11_25_12_01 Acc Rate'!C3,'11_25_12_01'!S:S,"*E*")))</f>
        <v/>
      </c>
      <c r="U3" s="8" t="str">
        <f>IF(ISERROR(SUM(_xlfn.NUMBERVALUE(S3)*8+_xlfn.NUMBERVALUE(T3)*2)/Q3),"",SUM(_xlfn.NUMBERVALUE(S3)*8+_xlfn.NUMBERVALUE(T3)*2)/Q3)</f>
        <v/>
      </c>
      <c r="V3" s="2"/>
      <c r="W3" s="83" t="s">
        <v>465</v>
      </c>
      <c r="X3" s="83"/>
    </row>
    <row r="4" spans="2:24" s="1" customFormat="1" ht="15" customHeight="1" x14ac:dyDescent="0.25">
      <c r="B4" s="1" t="s">
        <v>506</v>
      </c>
      <c r="C4" s="1" t="s">
        <v>208</v>
      </c>
      <c r="D4" s="1" t="s">
        <v>209</v>
      </c>
      <c r="E4" t="s">
        <v>507</v>
      </c>
      <c r="F4" t="s">
        <v>352</v>
      </c>
      <c r="G4" t="s">
        <v>508</v>
      </c>
      <c r="H4" t="s">
        <v>460</v>
      </c>
      <c r="I4" t="s">
        <v>509</v>
      </c>
      <c r="J4" t="s">
        <v>470</v>
      </c>
      <c r="K4"/>
      <c r="L4" t="s">
        <v>510</v>
      </c>
      <c r="M4">
        <v>15</v>
      </c>
      <c r="N4" t="s">
        <v>511</v>
      </c>
      <c r="O4">
        <v>32</v>
      </c>
      <c r="P4">
        <v>40</v>
      </c>
      <c r="Q4" s="7"/>
      <c r="R4" s="27" t="str">
        <f t="shared" si="0"/>
        <v/>
      </c>
      <c r="S4" s="27" t="str">
        <f>IF(SUM(COUNTIFS('11_25_12_01'!E:E,'11_25_12_01 Acc Rate'!C4,'11_25_12_01'!O:O,"*M*"),COUNTIFS('11_25_12_01'!E:E,'11_25_12_01 Acc Rate'!C4,'11_25_12_01'!R:R,"*M*"))=0,"",SUM(COUNTIFS('11_25_12_01'!E:E,'11_25_12_01 Acc Rate'!C4,'11_25_12_01'!O:O,"*M*"),COUNTIFS('11_25_12_01'!E:E,'11_25_12_01 Acc Rate'!C4,'11_25_12_01'!R:R,"*M*")))</f>
        <v/>
      </c>
      <c r="T4" s="1" t="str">
        <f>IF(SUM(COUNTIFS('11_25_12_01'!E:E,'11_25_12_01 Acc Rate'!C4,'11_25_12_01'!P:P,"*E*"),COUNTIFS('11_25_12_01'!E:E,'11_25_12_01 Acc Rate'!C4,'11_25_12_01'!S:S,"*E*"))=0,"",SUM(COUNTIFS('11_25_12_01'!E:E,'11_25_12_01 Acc Rate'!C4,'11_25_12_01'!P:P,"*E*"),COUNTIFS('11_25_12_01'!E:E,'11_25_12_01 Acc Rate'!C4,'11_25_12_01'!S:S,"*E*")))</f>
        <v/>
      </c>
      <c r="U4" s="8" t="str">
        <f t="shared" ref="U4:U47" si="1">IF(ISERROR(SUM(_xlfn.NUMBERVALUE(S4)*8+_xlfn.NUMBERVALUE(T4)*2)/Q4),"",SUM(_xlfn.NUMBERVALUE(S4)*8+_xlfn.NUMBERVALUE(T4)*2)/Q4)</f>
        <v/>
      </c>
      <c r="V4" s="2"/>
      <c r="W4" s="40" t="s">
        <v>473</v>
      </c>
      <c r="X4" s="41" t="s">
        <v>474</v>
      </c>
    </row>
    <row r="5" spans="2:24" s="1" customFormat="1" ht="15" customHeight="1" x14ac:dyDescent="0.25">
      <c r="B5" s="1" t="s">
        <v>525</v>
      </c>
      <c r="C5" s="1" t="s">
        <v>277</v>
      </c>
      <c r="D5" s="1" t="s">
        <v>278</v>
      </c>
      <c r="E5" t="s">
        <v>526</v>
      </c>
      <c r="F5" t="s">
        <v>527</v>
      </c>
      <c r="G5" t="s">
        <v>528</v>
      </c>
      <c r="H5" t="s">
        <v>460</v>
      </c>
      <c r="I5" t="s">
        <v>529</v>
      </c>
      <c r="J5" t="s">
        <v>2033</v>
      </c>
      <c r="K5" t="s">
        <v>509</v>
      </c>
      <c r="L5"/>
      <c r="M5">
        <v>15</v>
      </c>
      <c r="N5" t="s">
        <v>530</v>
      </c>
      <c r="O5">
        <v>219</v>
      </c>
      <c r="P5">
        <v>25</v>
      </c>
      <c r="Q5" s="7"/>
      <c r="R5" s="27">
        <f t="shared" si="0"/>
        <v>-1</v>
      </c>
      <c r="S5" s="27" t="str">
        <f>IF(SUM(COUNTIFS('11_25_12_01'!E:E,'11_25_12_01 Acc Rate'!C5,'11_25_12_01'!O:O,"*M*"),COUNTIFS('11_25_12_01'!E:E,'11_25_12_01 Acc Rate'!C5,'11_25_12_01'!R:R,"*M*"))=0,"",SUM(COUNTIFS('11_25_12_01'!E:E,'11_25_12_01 Acc Rate'!C5,'11_25_12_01'!O:O,"*M*"),COUNTIFS('11_25_12_01'!E:E,'11_25_12_01 Acc Rate'!C5,'11_25_12_01'!R:R,"*M*")))</f>
        <v/>
      </c>
      <c r="T5" s="1">
        <f>IF(SUM(COUNTIFS('11_25_12_01'!E:E,'11_25_12_01 Acc Rate'!C5,'11_25_12_01'!P:P,"*E*"),COUNTIFS('11_25_12_01'!E:E,'11_25_12_01 Acc Rate'!C5,'11_25_12_01'!S:S,"*E*"))=0,"",SUM(COUNTIFS('11_25_12_01'!E:E,'11_25_12_01 Acc Rate'!C5,'11_25_12_01'!P:P,"*E*"),COUNTIFS('11_25_12_01'!E:E,'11_25_12_01 Acc Rate'!C5,'11_25_12_01'!S:S,"*E*")))</f>
        <v>1</v>
      </c>
      <c r="U5" s="8" t="str">
        <f t="shared" si="1"/>
        <v/>
      </c>
      <c r="V5" s="2"/>
      <c r="W5" s="40" t="s">
        <v>482</v>
      </c>
      <c r="X5" s="41" t="s">
        <v>483</v>
      </c>
    </row>
    <row r="6" spans="2:24" s="1" customFormat="1" ht="15" customHeight="1" x14ac:dyDescent="0.25">
      <c r="B6" s="1" t="s">
        <v>475</v>
      </c>
      <c r="C6" s="1" t="s">
        <v>362</v>
      </c>
      <c r="D6" s="1" t="s">
        <v>394</v>
      </c>
      <c r="E6" t="s">
        <v>476</v>
      </c>
      <c r="F6" t="s">
        <v>175</v>
      </c>
      <c r="G6" t="s">
        <v>477</v>
      </c>
      <c r="H6" t="s">
        <v>460</v>
      </c>
      <c r="I6" t="s">
        <v>478</v>
      </c>
      <c r="J6" t="s">
        <v>2033</v>
      </c>
      <c r="K6" t="s">
        <v>509</v>
      </c>
      <c r="L6" t="s">
        <v>480</v>
      </c>
      <c r="M6">
        <v>15</v>
      </c>
      <c r="N6" t="s">
        <v>481</v>
      </c>
      <c r="O6">
        <v>67</v>
      </c>
      <c r="P6">
        <v>20</v>
      </c>
      <c r="Q6" s="7"/>
      <c r="R6" s="27" t="str">
        <f t="shared" si="0"/>
        <v/>
      </c>
      <c r="S6" s="27" t="str">
        <f>IF(SUM(COUNTIFS('11_25_12_01'!E:E,'11_25_12_01 Acc Rate'!C6,'11_25_12_01'!O:O,"*M*"),COUNTIFS('11_25_12_01'!E:E,'11_25_12_01 Acc Rate'!C6,'11_25_12_01'!R:R,"*M*"))=0,"",SUM(COUNTIFS('11_25_12_01'!E:E,'11_25_12_01 Acc Rate'!C6,'11_25_12_01'!O:O,"*M*"),COUNTIFS('11_25_12_01'!E:E,'11_25_12_01 Acc Rate'!C6,'11_25_12_01'!R:R,"*M*")))</f>
        <v/>
      </c>
      <c r="T6" s="1" t="str">
        <f>IF(SUM(COUNTIFS('11_25_12_01'!E:E,'11_25_12_01 Acc Rate'!C6,'11_25_12_01'!P:P,"*E*"),COUNTIFS('11_25_12_01'!E:E,'11_25_12_01 Acc Rate'!C6,'11_25_12_01'!S:S,"*E*"))=0,"",SUM(COUNTIFS('11_25_12_01'!E:E,'11_25_12_01 Acc Rate'!C6,'11_25_12_01'!P:P,"*E*"),COUNTIFS('11_25_12_01'!E:E,'11_25_12_01 Acc Rate'!C6,'11_25_12_01'!S:S,"*E*")))</f>
        <v/>
      </c>
      <c r="U6" s="8" t="str">
        <f t="shared" si="1"/>
        <v/>
      </c>
      <c r="V6" s="2"/>
      <c r="W6" s="40" t="s">
        <v>490</v>
      </c>
      <c r="X6" s="41" t="s">
        <v>491</v>
      </c>
    </row>
    <row r="7" spans="2:24" s="1" customFormat="1" ht="15" customHeight="1" x14ac:dyDescent="0.25">
      <c r="B7" s="1" t="s">
        <v>542</v>
      </c>
      <c r="C7" s="1" t="s">
        <v>245</v>
      </c>
      <c r="D7" s="1" t="s">
        <v>246</v>
      </c>
      <c r="E7" t="s">
        <v>543</v>
      </c>
      <c r="F7" t="s">
        <v>21</v>
      </c>
      <c r="G7" t="s">
        <v>544</v>
      </c>
      <c r="H7" t="s">
        <v>460</v>
      </c>
      <c r="I7" t="s">
        <v>545</v>
      </c>
      <c r="J7" t="s">
        <v>2033</v>
      </c>
      <c r="K7" t="s">
        <v>509</v>
      </c>
      <c r="L7" t="s">
        <v>546</v>
      </c>
      <c r="M7">
        <v>15</v>
      </c>
      <c r="N7" t="s">
        <v>547</v>
      </c>
      <c r="O7">
        <v>209</v>
      </c>
      <c r="P7">
        <v>40</v>
      </c>
      <c r="Q7" s="7"/>
      <c r="R7" s="27" t="str">
        <f t="shared" si="0"/>
        <v/>
      </c>
      <c r="S7" s="27" t="str">
        <f>IF(SUM(COUNTIFS('11_25_12_01'!E:E,'11_25_12_01 Acc Rate'!C7,'11_25_12_01'!O:O,"*M*"),COUNTIFS('11_25_12_01'!E:E,'11_25_12_01 Acc Rate'!C7,'11_25_12_01'!R:R,"*M*"))=0,"",SUM(COUNTIFS('11_25_12_01'!E:E,'11_25_12_01 Acc Rate'!C7,'11_25_12_01'!O:O,"*M*"),COUNTIFS('11_25_12_01'!E:E,'11_25_12_01 Acc Rate'!C7,'11_25_12_01'!R:R,"*M*")))</f>
        <v/>
      </c>
      <c r="T7" s="1" t="str">
        <f>IF(SUM(COUNTIFS('11_25_12_01'!E:E,'11_25_12_01 Acc Rate'!C7,'11_25_12_01'!P:P,"*E*"),COUNTIFS('11_25_12_01'!E:E,'11_25_12_01 Acc Rate'!C7,'11_25_12_01'!S:S,"*E*"))=0,"",SUM(COUNTIFS('11_25_12_01'!E:E,'11_25_12_01 Acc Rate'!C7,'11_25_12_01'!P:P,"*E*"),COUNTIFS('11_25_12_01'!E:E,'11_25_12_01 Acc Rate'!C7,'11_25_12_01'!S:S,"*E*")))</f>
        <v/>
      </c>
      <c r="U7" s="8" t="str">
        <f t="shared" si="1"/>
        <v/>
      </c>
      <c r="V7" s="2"/>
      <c r="W7" s="84" t="s">
        <v>499</v>
      </c>
      <c r="X7" s="84"/>
    </row>
    <row r="8" spans="2:24" s="1" customFormat="1" ht="15" customHeight="1" x14ac:dyDescent="0.25">
      <c r="B8" s="1" t="s">
        <v>492</v>
      </c>
      <c r="C8" s="1" t="s">
        <v>107</v>
      </c>
      <c r="D8" s="1" t="s">
        <v>108</v>
      </c>
      <c r="E8" t="s">
        <v>493</v>
      </c>
      <c r="F8" t="s">
        <v>494</v>
      </c>
      <c r="G8" t="s">
        <v>495</v>
      </c>
      <c r="H8" t="s">
        <v>460</v>
      </c>
      <c r="I8" t="s">
        <v>496</v>
      </c>
      <c r="J8" t="s">
        <v>2033</v>
      </c>
      <c r="K8" t="s">
        <v>509</v>
      </c>
      <c r="L8"/>
      <c r="M8">
        <v>15</v>
      </c>
      <c r="N8" t="s">
        <v>497</v>
      </c>
      <c r="O8" t="s">
        <v>498</v>
      </c>
      <c r="P8">
        <v>40</v>
      </c>
      <c r="Q8" s="7"/>
      <c r="R8" s="27">
        <f t="shared" si="0"/>
        <v>-3</v>
      </c>
      <c r="S8" s="27">
        <f>IF(SUM(COUNTIFS('11_25_12_01'!E:E,'11_25_12_01 Acc Rate'!C8,'11_25_12_01'!O:O,"*M*"),COUNTIFS('11_25_12_01'!E:E,'11_25_12_01 Acc Rate'!C8,'11_25_12_01'!R:R,"*M*"))=0,"",SUM(COUNTIFS('11_25_12_01'!E:E,'11_25_12_01 Acc Rate'!C8,'11_25_12_01'!O:O,"*M*"),COUNTIFS('11_25_12_01'!E:E,'11_25_12_01 Acc Rate'!C8,'11_25_12_01'!R:R,"*M*")))</f>
        <v>2</v>
      </c>
      <c r="T8" s="1">
        <f>IF(SUM(COUNTIFS('11_25_12_01'!E:E,'11_25_12_01 Acc Rate'!C8,'11_25_12_01'!P:P,"*E*"),COUNTIFS('11_25_12_01'!E:E,'11_25_12_01 Acc Rate'!C8,'11_25_12_01'!S:S,"*E*"))=0,"",SUM(COUNTIFS('11_25_12_01'!E:E,'11_25_12_01 Acc Rate'!C8,'11_25_12_01'!P:P,"*E*"),COUNTIFS('11_25_12_01'!E:E,'11_25_12_01 Acc Rate'!C8,'11_25_12_01'!S:S,"*E*")))</f>
        <v>1</v>
      </c>
      <c r="U8" s="8" t="str">
        <f t="shared" si="1"/>
        <v/>
      </c>
      <c r="V8" s="2"/>
      <c r="W8" s="85" t="s">
        <v>505</v>
      </c>
      <c r="X8" s="85"/>
    </row>
    <row r="9" spans="2:24" s="1" customFormat="1" ht="15" customHeight="1" x14ac:dyDescent="0.25">
      <c r="B9" s="1" t="s">
        <v>512</v>
      </c>
      <c r="C9" s="1" t="s">
        <v>371</v>
      </c>
      <c r="D9" s="1" t="s">
        <v>372</v>
      </c>
      <c r="E9" t="s">
        <v>513</v>
      </c>
      <c r="F9" t="s">
        <v>34</v>
      </c>
      <c r="G9" t="s">
        <v>514</v>
      </c>
      <c r="H9" t="s">
        <v>460</v>
      </c>
      <c r="I9" t="s">
        <v>515</v>
      </c>
      <c r="J9" t="s">
        <v>470</v>
      </c>
      <c r="K9"/>
      <c r="L9" t="s">
        <v>516</v>
      </c>
      <c r="M9">
        <v>15</v>
      </c>
      <c r="N9" t="s">
        <v>517</v>
      </c>
      <c r="O9">
        <v>132</v>
      </c>
      <c r="P9">
        <v>40</v>
      </c>
      <c r="Q9" s="7"/>
      <c r="R9" s="27" t="str">
        <f t="shared" si="0"/>
        <v/>
      </c>
      <c r="S9" s="27" t="str">
        <f>IF(SUM(COUNTIFS('11_25_12_01'!E:E,'11_25_12_01 Acc Rate'!C9,'11_25_12_01'!O:O,"*M*"),COUNTIFS('11_25_12_01'!E:E,'11_25_12_01 Acc Rate'!C9,'11_25_12_01'!R:R,"*M*"))=0,"",SUM(COUNTIFS('11_25_12_01'!E:E,'11_25_12_01 Acc Rate'!C9,'11_25_12_01'!O:O,"*M*"),COUNTIFS('11_25_12_01'!E:E,'11_25_12_01 Acc Rate'!C9,'11_25_12_01'!R:R,"*M*")))</f>
        <v/>
      </c>
      <c r="T9" s="1" t="str">
        <f>IF(SUM(COUNTIFS('11_25_12_01'!E:E,'11_25_12_01 Acc Rate'!C9,'11_25_12_01'!P:P,"*E*"),COUNTIFS('11_25_12_01'!E:E,'11_25_12_01 Acc Rate'!C9,'11_25_12_01'!S:S,"*E*"))=0,"",SUM(COUNTIFS('11_25_12_01'!E:E,'11_25_12_01 Acc Rate'!C9,'11_25_12_01'!P:P,"*E*"),COUNTIFS('11_25_12_01'!E:E,'11_25_12_01 Acc Rate'!C9,'11_25_12_01'!S:S,"*E*")))</f>
        <v/>
      </c>
      <c r="U9" s="8" t="str">
        <f t="shared" si="1"/>
        <v/>
      </c>
      <c r="V9" s="2"/>
    </row>
    <row r="10" spans="2:24" s="1" customFormat="1" ht="15" customHeight="1" x14ac:dyDescent="0.25">
      <c r="B10" s="1" t="s">
        <v>518</v>
      </c>
      <c r="C10" s="1" t="s">
        <v>296</v>
      </c>
      <c r="D10" s="1" t="s">
        <v>297</v>
      </c>
      <c r="E10" t="s">
        <v>519</v>
      </c>
      <c r="F10" t="s">
        <v>520</v>
      </c>
      <c r="G10" t="s">
        <v>521</v>
      </c>
      <c r="H10" t="s">
        <v>460</v>
      </c>
      <c r="I10" t="s">
        <v>522</v>
      </c>
      <c r="J10" t="s">
        <v>523</v>
      </c>
      <c r="K10" t="s">
        <v>515</v>
      </c>
      <c r="L10"/>
      <c r="M10">
        <v>15</v>
      </c>
      <c r="N10" t="s">
        <v>524</v>
      </c>
      <c r="O10">
        <v>719</v>
      </c>
      <c r="P10">
        <v>40</v>
      </c>
      <c r="Q10" s="7"/>
      <c r="R10" s="27">
        <f t="shared" si="0"/>
        <v>-1</v>
      </c>
      <c r="S10" s="27">
        <f>IF(SUM(COUNTIFS('11_25_12_01'!E:E,'11_25_12_01 Acc Rate'!C10,'11_25_12_01'!O:O,"*M*"),COUNTIFS('11_25_12_01'!E:E,'11_25_12_01 Acc Rate'!C10,'11_25_12_01'!R:R,"*M*"))=0,"",SUM(COUNTIFS('11_25_12_01'!E:E,'11_25_12_01 Acc Rate'!C10,'11_25_12_01'!O:O,"*M*"),COUNTIFS('11_25_12_01'!E:E,'11_25_12_01 Acc Rate'!C10,'11_25_12_01'!R:R,"*M*")))</f>
        <v>1</v>
      </c>
      <c r="T10" s="1" t="str">
        <f>IF(SUM(COUNTIFS('11_25_12_01'!E:E,'11_25_12_01 Acc Rate'!C10,'11_25_12_01'!P:P,"*E*"),COUNTIFS('11_25_12_01'!E:E,'11_25_12_01 Acc Rate'!C10,'11_25_12_01'!S:S,"*E*"))=0,"",SUM(COUNTIFS('11_25_12_01'!E:E,'11_25_12_01 Acc Rate'!C10,'11_25_12_01'!P:P,"*E*"),COUNTIFS('11_25_12_01'!E:E,'11_25_12_01 Acc Rate'!C10,'11_25_12_01'!S:S,"*E*")))</f>
        <v/>
      </c>
      <c r="U10" s="8" t="str">
        <f t="shared" si="1"/>
        <v/>
      </c>
      <c r="V10" s="2"/>
    </row>
    <row r="11" spans="2:24" s="1" customFormat="1" ht="15" customHeight="1" x14ac:dyDescent="0.25">
      <c r="B11" s="1" t="s">
        <v>531</v>
      </c>
      <c r="C11" s="1" t="s">
        <v>325</v>
      </c>
      <c r="D11" s="1" t="s">
        <v>278</v>
      </c>
      <c r="E11" t="s">
        <v>532</v>
      </c>
      <c r="F11" t="s">
        <v>244</v>
      </c>
      <c r="G11" t="s">
        <v>533</v>
      </c>
      <c r="H11" t="s">
        <v>460</v>
      </c>
      <c r="I11" t="s">
        <v>534</v>
      </c>
      <c r="J11" t="s">
        <v>523</v>
      </c>
      <c r="K11" t="s">
        <v>515</v>
      </c>
      <c r="L11" t="s">
        <v>535</v>
      </c>
      <c r="M11">
        <v>15</v>
      </c>
      <c r="N11" t="s">
        <v>536</v>
      </c>
      <c r="O11">
        <v>142</v>
      </c>
      <c r="P11">
        <v>25</v>
      </c>
      <c r="Q11" s="7"/>
      <c r="R11" s="27" t="str">
        <f t="shared" si="0"/>
        <v/>
      </c>
      <c r="S11" s="27" t="str">
        <f>IF(SUM(COUNTIFS('11_25_12_01'!E:E,'11_25_12_01 Acc Rate'!C11,'11_25_12_01'!O:O,"*M*"),COUNTIFS('11_25_12_01'!E:E,'11_25_12_01 Acc Rate'!C11,'11_25_12_01'!R:R,"*M*"))=0,"",SUM(COUNTIFS('11_25_12_01'!E:E,'11_25_12_01 Acc Rate'!C11,'11_25_12_01'!O:O,"*M*"),COUNTIFS('11_25_12_01'!E:E,'11_25_12_01 Acc Rate'!C11,'11_25_12_01'!R:R,"*M*")))</f>
        <v/>
      </c>
      <c r="T11" s="1" t="str">
        <f>IF(SUM(COUNTIFS('11_25_12_01'!E:E,'11_25_12_01 Acc Rate'!C11,'11_25_12_01'!P:P,"*E*"),COUNTIFS('11_25_12_01'!E:E,'11_25_12_01 Acc Rate'!C11,'11_25_12_01'!S:S,"*E*"))=0,"",SUM(COUNTIFS('11_25_12_01'!E:E,'11_25_12_01 Acc Rate'!C11,'11_25_12_01'!P:P,"*E*"),COUNTIFS('11_25_12_01'!E:E,'11_25_12_01 Acc Rate'!C11,'11_25_12_01'!S:S,"*E*")))</f>
        <v/>
      </c>
      <c r="U11" s="8" t="str">
        <f t="shared" si="1"/>
        <v/>
      </c>
      <c r="V11" s="2"/>
    </row>
    <row r="12" spans="2:24" s="1" customFormat="1" ht="15" customHeight="1" x14ac:dyDescent="0.25">
      <c r="B12" s="1" t="s">
        <v>537</v>
      </c>
      <c r="C12" s="1" t="s">
        <v>64</v>
      </c>
      <c r="D12" s="1" t="s">
        <v>65</v>
      </c>
      <c r="E12" t="s">
        <v>538</v>
      </c>
      <c r="F12" t="s">
        <v>114</v>
      </c>
      <c r="G12" t="s">
        <v>539</v>
      </c>
      <c r="H12" t="s">
        <v>460</v>
      </c>
      <c r="I12" t="s">
        <v>540</v>
      </c>
      <c r="J12" t="s">
        <v>523</v>
      </c>
      <c r="K12" t="s">
        <v>515</v>
      </c>
      <c r="L12"/>
      <c r="M12">
        <v>15</v>
      </c>
      <c r="N12" t="s">
        <v>541</v>
      </c>
      <c r="O12">
        <v>716</v>
      </c>
      <c r="P12">
        <v>25</v>
      </c>
      <c r="Q12" s="7"/>
      <c r="R12" s="27">
        <f t="shared" si="0"/>
        <v>-1</v>
      </c>
      <c r="S12" s="27" t="str">
        <f>IF(SUM(COUNTIFS('11_25_12_01'!E:E,'11_25_12_01 Acc Rate'!C12,'11_25_12_01'!O:O,"*M*"),COUNTIFS('11_25_12_01'!E:E,'11_25_12_01 Acc Rate'!C12,'11_25_12_01'!R:R,"*M*"))=0,"",SUM(COUNTIFS('11_25_12_01'!E:E,'11_25_12_01 Acc Rate'!C12,'11_25_12_01'!O:O,"*M*"),COUNTIFS('11_25_12_01'!E:E,'11_25_12_01 Acc Rate'!C12,'11_25_12_01'!R:R,"*M*")))</f>
        <v/>
      </c>
      <c r="T12" s="1">
        <f>IF(SUM(COUNTIFS('11_25_12_01'!E:E,'11_25_12_01 Acc Rate'!C12,'11_25_12_01'!P:P,"*E*"),COUNTIFS('11_25_12_01'!E:E,'11_25_12_01 Acc Rate'!C12,'11_25_12_01'!S:S,"*E*"))=0,"",SUM(COUNTIFS('11_25_12_01'!E:E,'11_25_12_01 Acc Rate'!C12,'11_25_12_01'!P:P,"*E*"),COUNTIFS('11_25_12_01'!E:E,'11_25_12_01 Acc Rate'!C12,'11_25_12_01'!S:S,"*E*")))</f>
        <v>1</v>
      </c>
      <c r="U12" s="8" t="str">
        <f t="shared" si="1"/>
        <v/>
      </c>
      <c r="V12" s="2"/>
    </row>
    <row r="13" spans="2:24" s="1" customFormat="1" ht="15" customHeight="1" x14ac:dyDescent="0.25">
      <c r="B13" s="1" t="s">
        <v>484</v>
      </c>
      <c r="C13" s="1" t="s">
        <v>22</v>
      </c>
      <c r="D13" s="1" t="s">
        <v>23</v>
      </c>
      <c r="E13" t="s">
        <v>485</v>
      </c>
      <c r="F13" t="s">
        <v>486</v>
      </c>
      <c r="G13" t="s">
        <v>487</v>
      </c>
      <c r="H13" t="s">
        <v>460</v>
      </c>
      <c r="I13" t="s">
        <v>488</v>
      </c>
      <c r="J13" t="s">
        <v>523</v>
      </c>
      <c r="K13" t="s">
        <v>515</v>
      </c>
      <c r="L13"/>
      <c r="M13">
        <v>15</v>
      </c>
      <c r="N13" t="s">
        <v>489</v>
      </c>
      <c r="O13">
        <v>2117</v>
      </c>
      <c r="P13">
        <v>40</v>
      </c>
      <c r="Q13" s="7"/>
      <c r="R13" s="27">
        <f t="shared" si="0"/>
        <v>-2</v>
      </c>
      <c r="S13" s="27">
        <f>IF(SUM(COUNTIFS('11_25_12_01'!E:E,'11_25_12_01 Acc Rate'!C13,'11_25_12_01'!O:O,"*M*"),COUNTIFS('11_25_12_01'!E:E,'11_25_12_01 Acc Rate'!C13,'11_25_12_01'!R:R,"*M*"))=0,"",SUM(COUNTIFS('11_25_12_01'!E:E,'11_25_12_01 Acc Rate'!C13,'11_25_12_01'!O:O,"*M*"),COUNTIFS('11_25_12_01'!E:E,'11_25_12_01 Acc Rate'!C13,'11_25_12_01'!R:R,"*M*")))</f>
        <v>2</v>
      </c>
      <c r="T13" s="1" t="str">
        <f>IF(SUM(COUNTIFS('11_25_12_01'!E:E,'11_25_12_01 Acc Rate'!C13,'11_25_12_01'!P:P,"*E*"),COUNTIFS('11_25_12_01'!E:E,'11_25_12_01 Acc Rate'!C13,'11_25_12_01'!S:S,"*E*"))=0,"",SUM(COUNTIFS('11_25_12_01'!E:E,'11_25_12_01 Acc Rate'!C13,'11_25_12_01'!P:P,"*E*"),COUNTIFS('11_25_12_01'!E:E,'11_25_12_01 Acc Rate'!C13,'11_25_12_01'!S:S,"*E*")))</f>
        <v/>
      </c>
      <c r="U13" s="8" t="str">
        <f t="shared" si="1"/>
        <v/>
      </c>
      <c r="V13" s="2"/>
    </row>
    <row r="14" spans="2:24" s="1" customFormat="1" ht="15" customHeight="1" x14ac:dyDescent="0.25">
      <c r="B14" s="1" t="s">
        <v>500</v>
      </c>
      <c r="C14" s="1" t="s">
        <v>176</v>
      </c>
      <c r="D14" s="1" t="s">
        <v>177</v>
      </c>
      <c r="E14" t="s">
        <v>501</v>
      </c>
      <c r="F14" t="s">
        <v>168</v>
      </c>
      <c r="G14" t="s">
        <v>502</v>
      </c>
      <c r="H14" t="s">
        <v>460</v>
      </c>
      <c r="I14" t="s">
        <v>503</v>
      </c>
      <c r="J14" t="s">
        <v>523</v>
      </c>
      <c r="K14" t="s">
        <v>515</v>
      </c>
      <c r="L14"/>
      <c r="M14">
        <v>15</v>
      </c>
      <c r="N14" t="s">
        <v>504</v>
      </c>
      <c r="O14">
        <v>182</v>
      </c>
      <c r="P14">
        <v>40</v>
      </c>
      <c r="Q14" s="7"/>
      <c r="R14" s="27" t="str">
        <f t="shared" si="0"/>
        <v/>
      </c>
      <c r="S14" s="27" t="str">
        <f>IF(SUM(COUNTIFS('11_25_12_01'!E:E,'11_25_12_01 Acc Rate'!C14,'11_25_12_01'!O:O,"*M*"),COUNTIFS('11_25_12_01'!E:E,'11_25_12_01 Acc Rate'!C14,'11_25_12_01'!R:R,"*M*"))=0,"",SUM(COUNTIFS('11_25_12_01'!E:E,'11_25_12_01 Acc Rate'!C14,'11_25_12_01'!O:O,"*M*"),COUNTIFS('11_25_12_01'!E:E,'11_25_12_01 Acc Rate'!C14,'11_25_12_01'!R:R,"*M*")))</f>
        <v/>
      </c>
      <c r="T14" s="1" t="str">
        <f>IF(SUM(COUNTIFS('11_25_12_01'!E:E,'11_25_12_01 Acc Rate'!C14,'11_25_12_01'!P:P,"*E*"),COUNTIFS('11_25_12_01'!E:E,'11_25_12_01 Acc Rate'!C14,'11_25_12_01'!S:S,"*E*"))=0,"",SUM(COUNTIFS('11_25_12_01'!E:E,'11_25_12_01 Acc Rate'!C14,'11_25_12_01'!P:P,"*E*"),COUNTIFS('11_25_12_01'!E:E,'11_25_12_01 Acc Rate'!C14,'11_25_12_01'!S:S,"*E*")))</f>
        <v/>
      </c>
      <c r="U14" s="8" t="str">
        <f t="shared" si="1"/>
        <v/>
      </c>
      <c r="V14" s="2"/>
    </row>
    <row r="15" spans="2:24" ht="15" customHeight="1" x14ac:dyDescent="0.25">
      <c r="B15" s="1" t="s">
        <v>548</v>
      </c>
      <c r="C15" s="1" t="s">
        <v>396</v>
      </c>
      <c r="D15" s="1" t="s">
        <v>549</v>
      </c>
      <c r="E15"/>
      <c r="F15" t="s">
        <v>550</v>
      </c>
      <c r="G15" t="s">
        <v>551</v>
      </c>
      <c r="H15" t="s">
        <v>552</v>
      </c>
      <c r="I15" t="s">
        <v>553</v>
      </c>
      <c r="J15" t="s">
        <v>554</v>
      </c>
      <c r="K15"/>
      <c r="L15"/>
      <c r="M15">
        <v>6</v>
      </c>
      <c r="N15"/>
      <c r="O15"/>
      <c r="P15"/>
      <c r="Q15" s="7"/>
      <c r="R15" s="27" t="str">
        <f t="shared" si="0"/>
        <v/>
      </c>
      <c r="S15" s="27" t="str">
        <f>IF(SUM(COUNTIFS('11_25_12_01'!E:E,'11_25_12_01 Acc Rate'!C15,'11_25_12_01'!O:O,"*M*"),COUNTIFS('11_25_12_01'!E:E,'11_25_12_01 Acc Rate'!C15,'11_25_12_01'!R:R,"*M*"))=0,"",SUM(COUNTIFS('11_25_12_01'!E:E,'11_25_12_01 Acc Rate'!C15,'11_25_12_01'!O:O,"*M*"),COUNTIFS('11_25_12_01'!E:E,'11_25_12_01 Acc Rate'!C15,'11_25_12_01'!R:R,"*M*")))</f>
        <v/>
      </c>
      <c r="T15" s="1" t="str">
        <f>IF(SUM(COUNTIFS('11_25_12_01'!E:E,'11_25_12_01 Acc Rate'!C15,'11_25_12_01'!P:P,"*E*"),COUNTIFS('11_25_12_01'!E:E,'11_25_12_01 Acc Rate'!C15,'11_25_12_01'!S:S,"*E*"))=0,"",SUM(COUNTIFS('11_25_12_01'!E:E,'11_25_12_01 Acc Rate'!C15,'11_25_12_01'!P:P,"*E*"),COUNTIFS('11_25_12_01'!E:E,'11_25_12_01 Acc Rate'!C15,'11_25_12_01'!S:S,"*E*")))</f>
        <v/>
      </c>
      <c r="U15" s="8" t="str">
        <f t="shared" si="1"/>
        <v/>
      </c>
    </row>
    <row r="16" spans="2:24" ht="15" customHeight="1" x14ac:dyDescent="0.25">
      <c r="B16" s="1" t="s">
        <v>555</v>
      </c>
      <c r="C16" s="1" t="s">
        <v>556</v>
      </c>
      <c r="D16" s="1" t="s">
        <v>557</v>
      </c>
      <c r="E16"/>
      <c r="F16" t="s">
        <v>558</v>
      </c>
      <c r="G16" t="s">
        <v>559</v>
      </c>
      <c r="H16" t="s">
        <v>552</v>
      </c>
      <c r="I16" t="s">
        <v>560</v>
      </c>
      <c r="J16" t="s">
        <v>561</v>
      </c>
      <c r="K16" t="s">
        <v>553</v>
      </c>
      <c r="L16"/>
      <c r="M16">
        <v>6</v>
      </c>
      <c r="N16"/>
      <c r="O16"/>
      <c r="P16"/>
      <c r="Q16" s="7"/>
      <c r="R16" s="27" t="str">
        <f t="shared" si="0"/>
        <v/>
      </c>
      <c r="S16" s="27" t="str">
        <f>IF(SUM(COUNTIFS('11_25_12_01'!E:E,'11_25_12_01 Acc Rate'!C16,'11_25_12_01'!O:O,"*M*"),COUNTIFS('11_25_12_01'!E:E,'11_25_12_01 Acc Rate'!C16,'11_25_12_01'!R:R,"*M*"))=0,"",SUM(COUNTIFS('11_25_12_01'!E:E,'11_25_12_01 Acc Rate'!C16,'11_25_12_01'!O:O,"*M*"),COUNTIFS('11_25_12_01'!E:E,'11_25_12_01 Acc Rate'!C16,'11_25_12_01'!R:R,"*M*")))</f>
        <v/>
      </c>
      <c r="T16" s="1" t="str">
        <f>IF(SUM(COUNTIFS('11_25_12_01'!E:E,'11_25_12_01 Acc Rate'!C16,'11_25_12_01'!P:P,"*E*"),COUNTIFS('11_25_12_01'!E:E,'11_25_12_01 Acc Rate'!C16,'11_25_12_01'!S:S,"*E*"))=0,"",SUM(COUNTIFS('11_25_12_01'!E:E,'11_25_12_01 Acc Rate'!C16,'11_25_12_01'!P:P,"*E*"),COUNTIFS('11_25_12_01'!E:E,'11_25_12_01 Acc Rate'!C16,'11_25_12_01'!S:S,"*E*")))</f>
        <v/>
      </c>
      <c r="U16" s="8" t="str">
        <f t="shared" si="1"/>
        <v/>
      </c>
    </row>
    <row r="17" spans="2:21" ht="15" customHeight="1" x14ac:dyDescent="0.25">
      <c r="B17" s="1" t="s">
        <v>562</v>
      </c>
      <c r="C17" s="1" t="s">
        <v>563</v>
      </c>
      <c r="D17" s="1" t="s">
        <v>564</v>
      </c>
      <c r="E17"/>
      <c r="F17" t="s">
        <v>565</v>
      </c>
      <c r="G17" t="s">
        <v>566</v>
      </c>
      <c r="H17" t="s">
        <v>552</v>
      </c>
      <c r="I17" t="s">
        <v>567</v>
      </c>
      <c r="J17" t="s">
        <v>561</v>
      </c>
      <c r="K17" t="s">
        <v>553</v>
      </c>
      <c r="L17"/>
      <c r="M17">
        <v>6</v>
      </c>
      <c r="N17"/>
      <c r="O17"/>
      <c r="P17"/>
      <c r="Q17" s="7"/>
      <c r="R17" s="27" t="str">
        <f t="shared" si="0"/>
        <v/>
      </c>
      <c r="S17" s="27" t="str">
        <f>IF(SUM(COUNTIFS('11_25_12_01'!E:E,'11_25_12_01 Acc Rate'!C17,'11_25_12_01'!O:O,"*M*"),COUNTIFS('11_25_12_01'!E:E,'11_25_12_01 Acc Rate'!C17,'11_25_12_01'!R:R,"*M*"))=0,"",SUM(COUNTIFS('11_25_12_01'!E:E,'11_25_12_01 Acc Rate'!C17,'11_25_12_01'!O:O,"*M*"),COUNTIFS('11_25_12_01'!E:E,'11_25_12_01 Acc Rate'!C17,'11_25_12_01'!R:R,"*M*")))</f>
        <v/>
      </c>
      <c r="T17" s="1" t="str">
        <f>IF(SUM(COUNTIFS('11_25_12_01'!E:E,'11_25_12_01 Acc Rate'!C17,'11_25_12_01'!P:P,"*E*"),COUNTIFS('11_25_12_01'!E:E,'11_25_12_01 Acc Rate'!C17,'11_25_12_01'!S:S,"*E*"))=0,"",SUM(COUNTIFS('11_25_12_01'!E:E,'11_25_12_01 Acc Rate'!C17,'11_25_12_01'!P:P,"*E*"),COUNTIFS('11_25_12_01'!E:E,'11_25_12_01 Acc Rate'!C17,'11_25_12_01'!S:S,"*E*")))</f>
        <v/>
      </c>
      <c r="U17" s="8" t="str">
        <f t="shared" si="1"/>
        <v/>
      </c>
    </row>
    <row r="18" spans="2:21" ht="15" customHeight="1" x14ac:dyDescent="0.25">
      <c r="B18" s="1" t="s">
        <v>568</v>
      </c>
      <c r="C18" s="1" t="s">
        <v>569</v>
      </c>
      <c r="D18" s="1" t="s">
        <v>570</v>
      </c>
      <c r="E18"/>
      <c r="F18" t="s">
        <v>571</v>
      </c>
      <c r="G18" t="s">
        <v>572</v>
      </c>
      <c r="H18" t="s">
        <v>552</v>
      </c>
      <c r="I18" t="s">
        <v>573</v>
      </c>
      <c r="J18" t="s">
        <v>561</v>
      </c>
      <c r="K18" t="s">
        <v>553</v>
      </c>
      <c r="L18"/>
      <c r="M18">
        <v>6</v>
      </c>
      <c r="N18"/>
      <c r="O18"/>
      <c r="P18"/>
      <c r="Q18" s="7"/>
      <c r="R18" s="27" t="str">
        <f t="shared" si="0"/>
        <v/>
      </c>
      <c r="S18" s="27" t="str">
        <f>IF(SUM(COUNTIFS('11_25_12_01'!E:E,'11_25_12_01 Acc Rate'!C18,'11_25_12_01'!O:O,"*M*"),COUNTIFS('11_25_12_01'!E:E,'11_25_12_01 Acc Rate'!C18,'11_25_12_01'!R:R,"*M*"))=0,"",SUM(COUNTIFS('11_25_12_01'!E:E,'11_25_12_01 Acc Rate'!C18,'11_25_12_01'!O:O,"*M*"),COUNTIFS('11_25_12_01'!E:E,'11_25_12_01 Acc Rate'!C18,'11_25_12_01'!R:R,"*M*")))</f>
        <v/>
      </c>
      <c r="T18" s="1" t="str">
        <f>IF(SUM(COUNTIFS('11_25_12_01'!E:E,'11_25_12_01 Acc Rate'!C18,'11_25_12_01'!P:P,"*E*"),COUNTIFS('11_25_12_01'!E:E,'11_25_12_01 Acc Rate'!C18,'11_25_12_01'!S:S,"*E*"))=0,"",SUM(COUNTIFS('11_25_12_01'!E:E,'11_25_12_01 Acc Rate'!C18,'11_25_12_01'!P:P,"*E*"),COUNTIFS('11_25_12_01'!E:E,'11_25_12_01 Acc Rate'!C18,'11_25_12_01'!S:S,"*E*")))</f>
        <v/>
      </c>
      <c r="U18" s="8" t="str">
        <f t="shared" si="1"/>
        <v/>
      </c>
    </row>
    <row r="19" spans="2:21" ht="15" customHeight="1" x14ac:dyDescent="0.25">
      <c r="B19" s="1" t="s">
        <v>574</v>
      </c>
      <c r="C19" s="1" t="s">
        <v>575</v>
      </c>
      <c r="D19" s="1" t="s">
        <v>576</v>
      </c>
      <c r="E19"/>
      <c r="F19" t="s">
        <v>577</v>
      </c>
      <c r="G19" t="s">
        <v>578</v>
      </c>
      <c r="H19" t="s">
        <v>552</v>
      </c>
      <c r="I19" t="s">
        <v>579</v>
      </c>
      <c r="J19" t="s">
        <v>561</v>
      </c>
      <c r="K19" t="s">
        <v>553</v>
      </c>
      <c r="L19"/>
      <c r="M19">
        <v>6</v>
      </c>
      <c r="N19"/>
      <c r="O19"/>
      <c r="P19"/>
      <c r="Q19" s="7"/>
      <c r="R19" s="27" t="str">
        <f t="shared" si="0"/>
        <v/>
      </c>
      <c r="S19" s="27" t="str">
        <f>IF(SUM(COUNTIFS('11_25_12_01'!E:E,'11_25_12_01 Acc Rate'!C19,'11_25_12_01'!O:O,"*M*"),COUNTIFS('11_25_12_01'!E:E,'11_25_12_01 Acc Rate'!C19,'11_25_12_01'!R:R,"*M*"))=0,"",SUM(COUNTIFS('11_25_12_01'!E:E,'11_25_12_01 Acc Rate'!C19,'11_25_12_01'!O:O,"*M*"),COUNTIFS('11_25_12_01'!E:E,'11_25_12_01 Acc Rate'!C19,'11_25_12_01'!R:R,"*M*")))</f>
        <v/>
      </c>
      <c r="T19" s="1" t="str">
        <f>IF(SUM(COUNTIFS('11_25_12_01'!E:E,'11_25_12_01 Acc Rate'!C19,'11_25_12_01'!P:P,"*E*"),COUNTIFS('11_25_12_01'!E:E,'11_25_12_01 Acc Rate'!C19,'11_25_12_01'!S:S,"*E*"))=0,"",SUM(COUNTIFS('11_25_12_01'!E:E,'11_25_12_01 Acc Rate'!C19,'11_25_12_01'!P:P,"*E*"),COUNTIFS('11_25_12_01'!E:E,'11_25_12_01 Acc Rate'!C19,'11_25_12_01'!S:S,"*E*")))</f>
        <v/>
      </c>
      <c r="U19" s="8" t="str">
        <f t="shared" si="1"/>
        <v/>
      </c>
    </row>
    <row r="20" spans="2:21" ht="15" customHeight="1" x14ac:dyDescent="0.25">
      <c r="B20" s="1" t="s">
        <v>580</v>
      </c>
      <c r="C20" s="1" t="s">
        <v>316</v>
      </c>
      <c r="D20" s="1" t="s">
        <v>581</v>
      </c>
      <c r="E20"/>
      <c r="F20" t="s">
        <v>565</v>
      </c>
      <c r="G20" t="s">
        <v>582</v>
      </c>
      <c r="H20" t="s">
        <v>583</v>
      </c>
      <c r="I20" t="s">
        <v>584</v>
      </c>
      <c r="J20" t="s">
        <v>585</v>
      </c>
      <c r="K20"/>
      <c r="L20"/>
      <c r="M20">
        <v>1</v>
      </c>
      <c r="N20"/>
      <c r="O20"/>
      <c r="P20"/>
      <c r="Q20" s="7"/>
      <c r="R20" s="27" t="str">
        <f t="shared" si="0"/>
        <v/>
      </c>
      <c r="S20" s="27" t="str">
        <f>IF(SUM(COUNTIFS('11_25_12_01'!E:E,'11_25_12_01 Acc Rate'!C20,'11_25_12_01'!O:O,"*M*"),COUNTIFS('11_25_12_01'!E:E,'11_25_12_01 Acc Rate'!C20,'11_25_12_01'!R:R,"*M*"))=0,"",SUM(COUNTIFS('11_25_12_01'!E:E,'11_25_12_01 Acc Rate'!C20,'11_25_12_01'!O:O,"*M*"),COUNTIFS('11_25_12_01'!E:E,'11_25_12_01 Acc Rate'!C20,'11_25_12_01'!R:R,"*M*")))</f>
        <v/>
      </c>
      <c r="T20" s="1" t="str">
        <f>IF(SUM(COUNTIFS('11_25_12_01'!E:E,'11_25_12_01 Acc Rate'!C20,'11_25_12_01'!P:P,"*E*"),COUNTIFS('11_25_12_01'!E:E,'11_25_12_01 Acc Rate'!C20,'11_25_12_01'!S:S,"*E*"))=0,"",SUM(COUNTIFS('11_25_12_01'!E:E,'11_25_12_01 Acc Rate'!C20,'11_25_12_01'!P:P,"*E*"),COUNTIFS('11_25_12_01'!E:E,'11_25_12_01 Acc Rate'!C20,'11_25_12_01'!S:S,"*E*")))</f>
        <v/>
      </c>
      <c r="U20" s="8" t="str">
        <f t="shared" si="1"/>
        <v/>
      </c>
    </row>
    <row r="21" spans="2:21" ht="15" customHeight="1" x14ac:dyDescent="0.25">
      <c r="B21" s="1" t="s">
        <v>586</v>
      </c>
      <c r="C21" s="1" t="s">
        <v>587</v>
      </c>
      <c r="D21" s="1" t="s">
        <v>588</v>
      </c>
      <c r="E21"/>
      <c r="F21" t="s">
        <v>589</v>
      </c>
      <c r="G21" t="s">
        <v>590</v>
      </c>
      <c r="H21" t="s">
        <v>583</v>
      </c>
      <c r="I21" t="s">
        <v>591</v>
      </c>
      <c r="J21" t="s">
        <v>592</v>
      </c>
      <c r="K21"/>
      <c r="L21"/>
      <c r="M21">
        <v>1</v>
      </c>
      <c r="N21"/>
      <c r="O21"/>
      <c r="P21"/>
      <c r="Q21" s="7"/>
      <c r="R21" s="27" t="str">
        <f t="shared" si="0"/>
        <v/>
      </c>
      <c r="S21" s="27" t="str">
        <f>IF(SUM(COUNTIFS('11_25_12_01'!E:E,'11_25_12_01 Acc Rate'!C21,'11_25_12_01'!O:O,"*M*"),COUNTIFS('11_25_12_01'!E:E,'11_25_12_01 Acc Rate'!C21,'11_25_12_01'!R:R,"*M*"))=0,"",SUM(COUNTIFS('11_25_12_01'!E:E,'11_25_12_01 Acc Rate'!C21,'11_25_12_01'!O:O,"*M*"),COUNTIFS('11_25_12_01'!E:E,'11_25_12_01 Acc Rate'!C21,'11_25_12_01'!R:R,"*M*")))</f>
        <v/>
      </c>
      <c r="T21" s="1" t="str">
        <f>IF(SUM(COUNTIFS('11_25_12_01'!E:E,'11_25_12_01 Acc Rate'!C21,'11_25_12_01'!P:P,"*E*"),COUNTIFS('11_25_12_01'!E:E,'11_25_12_01 Acc Rate'!C21,'11_25_12_01'!S:S,"*E*"))=0,"",SUM(COUNTIFS('11_25_12_01'!E:E,'11_25_12_01 Acc Rate'!C21,'11_25_12_01'!P:P,"*E*"),COUNTIFS('11_25_12_01'!E:E,'11_25_12_01 Acc Rate'!C21,'11_25_12_01'!S:S,"*E*")))</f>
        <v/>
      </c>
      <c r="U21" s="8" t="str">
        <f t="shared" si="1"/>
        <v/>
      </c>
    </row>
    <row r="22" spans="2:21" ht="15" customHeight="1" x14ac:dyDescent="0.25">
      <c r="B22" s="1" t="s">
        <v>593</v>
      </c>
      <c r="C22" s="1" t="s">
        <v>169</v>
      </c>
      <c r="D22" s="1" t="s">
        <v>170</v>
      </c>
      <c r="E22"/>
      <c r="F22" t="s">
        <v>594</v>
      </c>
      <c r="G22" t="s">
        <v>595</v>
      </c>
      <c r="H22" t="s">
        <v>583</v>
      </c>
      <c r="I22" t="s">
        <v>596</v>
      </c>
      <c r="J22" t="s">
        <v>592</v>
      </c>
      <c r="K22"/>
      <c r="L22"/>
      <c r="M22">
        <v>1</v>
      </c>
      <c r="N22"/>
      <c r="O22"/>
      <c r="P22"/>
      <c r="Q22" s="7"/>
      <c r="R22" s="27" t="str">
        <f t="shared" si="0"/>
        <v/>
      </c>
      <c r="S22" s="27" t="str">
        <f>IF(SUM(COUNTIFS('11_25_12_01'!E:E,'11_25_12_01 Acc Rate'!C22,'11_25_12_01'!O:O,"*M*"),COUNTIFS('11_25_12_01'!E:E,'11_25_12_01 Acc Rate'!C22,'11_25_12_01'!R:R,"*M*"))=0,"",SUM(COUNTIFS('11_25_12_01'!E:E,'11_25_12_01 Acc Rate'!C22,'11_25_12_01'!O:O,"*M*"),COUNTIFS('11_25_12_01'!E:E,'11_25_12_01 Acc Rate'!C22,'11_25_12_01'!R:R,"*M*")))</f>
        <v/>
      </c>
      <c r="T22" s="1" t="str">
        <f>IF(SUM(COUNTIFS('11_25_12_01'!E:E,'11_25_12_01 Acc Rate'!C22,'11_25_12_01'!P:P,"*E*"),COUNTIFS('11_25_12_01'!E:E,'11_25_12_01 Acc Rate'!C22,'11_25_12_01'!S:S,"*E*"))=0,"",SUM(COUNTIFS('11_25_12_01'!E:E,'11_25_12_01 Acc Rate'!C22,'11_25_12_01'!P:P,"*E*"),COUNTIFS('11_25_12_01'!E:E,'11_25_12_01 Acc Rate'!C22,'11_25_12_01'!S:S,"*E*")))</f>
        <v/>
      </c>
      <c r="U22" s="8" t="str">
        <f t="shared" si="1"/>
        <v/>
      </c>
    </row>
    <row r="23" spans="2:21" s="1" customFormat="1" ht="15" customHeight="1" x14ac:dyDescent="0.25">
      <c r="B23" s="1" t="s">
        <v>602</v>
      </c>
      <c r="C23" s="1" t="s">
        <v>603</v>
      </c>
      <c r="D23" s="1" t="s">
        <v>1175</v>
      </c>
      <c r="E23"/>
      <c r="F23" t="s">
        <v>565</v>
      </c>
      <c r="G23" t="s">
        <v>1176</v>
      </c>
      <c r="H23" t="s">
        <v>583</v>
      </c>
      <c r="I23" t="s">
        <v>606</v>
      </c>
      <c r="J23" t="s">
        <v>607</v>
      </c>
      <c r="K23"/>
      <c r="L23"/>
      <c r="M23">
        <v>1</v>
      </c>
      <c r="N23"/>
      <c r="O23"/>
      <c r="P23"/>
      <c r="Q23" s="7"/>
      <c r="R23" s="27" t="str">
        <f t="shared" si="0"/>
        <v/>
      </c>
      <c r="S23" s="27" t="str">
        <f>IF(SUM(COUNTIFS('11_25_12_01'!E:E,'11_25_12_01 Acc Rate'!C23,'11_25_12_01'!O:O,"*M*"),COUNTIFS('11_25_12_01'!E:E,'11_25_12_01 Acc Rate'!C23,'11_25_12_01'!R:R,"*M*"))=0,"",SUM(COUNTIFS('11_25_12_01'!E:E,'11_25_12_01 Acc Rate'!C23,'11_25_12_01'!O:O,"*M*"),COUNTIFS('11_25_12_01'!E:E,'11_25_12_01 Acc Rate'!C23,'11_25_12_01'!R:R,"*M*")))</f>
        <v/>
      </c>
      <c r="T23" s="1" t="str">
        <f>IF(SUM(COUNTIFS('11_25_12_01'!E:E,'11_25_12_01 Acc Rate'!C23,'11_25_12_01'!P:P,"*E*"),COUNTIFS('11_25_12_01'!E:E,'11_25_12_01 Acc Rate'!C23,'11_25_12_01'!S:S,"*E*"))=0,"",SUM(COUNTIFS('11_25_12_01'!E:E,'11_25_12_01 Acc Rate'!C23,'11_25_12_01'!P:P,"*E*"),COUNTIFS('11_25_12_01'!E:E,'11_25_12_01 Acc Rate'!C23,'11_25_12_01'!S:S,"*E*")))</f>
        <v/>
      </c>
      <c r="U23" s="9" t="str">
        <f t="shared" si="1"/>
        <v/>
      </c>
    </row>
    <row r="24" spans="2:21" s="1" customFormat="1" ht="15" customHeight="1" x14ac:dyDescent="0.25">
      <c r="B24" s="1" t="s">
        <v>608</v>
      </c>
      <c r="C24" s="1" t="s">
        <v>609</v>
      </c>
      <c r="D24" s="1" t="s">
        <v>610</v>
      </c>
      <c r="E24"/>
      <c r="F24" t="s">
        <v>611</v>
      </c>
      <c r="G24" t="s">
        <v>612</v>
      </c>
      <c r="H24" t="s">
        <v>583</v>
      </c>
      <c r="I24" t="s">
        <v>613</v>
      </c>
      <c r="J24" t="s">
        <v>614</v>
      </c>
      <c r="K24" t="s">
        <v>606</v>
      </c>
      <c r="L24"/>
      <c r="M24">
        <v>1</v>
      </c>
      <c r="N24"/>
      <c r="O24"/>
      <c r="P24"/>
      <c r="Q24" s="7"/>
      <c r="R24" s="27" t="str">
        <f t="shared" si="0"/>
        <v/>
      </c>
      <c r="S24" s="27" t="str">
        <f>IF(SUM(COUNTIFS('11_25_12_01'!E:E,'11_25_12_01 Acc Rate'!C24,'11_25_12_01'!O:O,"*M*"),COUNTIFS('11_25_12_01'!E:E,'11_25_12_01 Acc Rate'!C24,'11_25_12_01'!R:R,"*M*"))=0,"",SUM(COUNTIFS('11_25_12_01'!E:E,'11_25_12_01 Acc Rate'!C24,'11_25_12_01'!O:O,"*M*"),COUNTIFS('11_25_12_01'!E:E,'11_25_12_01 Acc Rate'!C24,'11_25_12_01'!R:R,"*M*")))</f>
        <v/>
      </c>
      <c r="T24" s="1" t="str">
        <f>IF(SUM(COUNTIFS('11_25_12_01'!E:E,'11_25_12_01 Acc Rate'!C24,'11_25_12_01'!P:P,"*E*"),COUNTIFS('11_25_12_01'!E:E,'11_25_12_01 Acc Rate'!C24,'11_25_12_01'!S:S,"*E*"))=0,"",SUM(COUNTIFS('11_25_12_01'!E:E,'11_25_12_01 Acc Rate'!C24,'11_25_12_01'!P:P,"*E*"),COUNTIFS('11_25_12_01'!E:E,'11_25_12_01 Acc Rate'!C24,'11_25_12_01'!S:S,"*E*")))</f>
        <v/>
      </c>
      <c r="U24" s="9" t="str">
        <f t="shared" si="1"/>
        <v/>
      </c>
    </row>
    <row r="25" spans="2:21" s="1" customFormat="1" ht="15" customHeight="1" x14ac:dyDescent="0.25">
      <c r="B25" s="1" t="s">
        <v>615</v>
      </c>
      <c r="C25" s="1" t="s">
        <v>616</v>
      </c>
      <c r="D25" s="1" t="s">
        <v>617</v>
      </c>
      <c r="E25"/>
      <c r="F25" t="s">
        <v>618</v>
      </c>
      <c r="G25" t="s">
        <v>619</v>
      </c>
      <c r="H25" t="s">
        <v>583</v>
      </c>
      <c r="I25" t="s">
        <v>620</v>
      </c>
      <c r="J25" t="s">
        <v>614</v>
      </c>
      <c r="K25" t="s">
        <v>606</v>
      </c>
      <c r="L25"/>
      <c r="M25">
        <v>1</v>
      </c>
      <c r="N25"/>
      <c r="O25"/>
      <c r="P25"/>
      <c r="Q25" s="7"/>
      <c r="R25" s="27" t="str">
        <f t="shared" si="0"/>
        <v/>
      </c>
      <c r="S25" s="27" t="str">
        <f>IF(SUM(COUNTIFS('11_25_12_01'!E:E,'11_25_12_01 Acc Rate'!C25,'11_25_12_01'!O:O,"*M*"),COUNTIFS('11_25_12_01'!E:E,'11_25_12_01 Acc Rate'!C25,'11_25_12_01'!R:R,"*M*"))=0,"",SUM(COUNTIFS('11_25_12_01'!E:E,'11_25_12_01 Acc Rate'!C25,'11_25_12_01'!O:O,"*M*"),COUNTIFS('11_25_12_01'!E:E,'11_25_12_01 Acc Rate'!C25,'11_25_12_01'!R:R,"*M*")))</f>
        <v/>
      </c>
      <c r="T25" s="1" t="str">
        <f>IF(SUM(COUNTIFS('11_25_12_01'!E:E,'11_25_12_01 Acc Rate'!C25,'11_25_12_01'!P:P,"*E*"),COUNTIFS('11_25_12_01'!E:E,'11_25_12_01 Acc Rate'!C25,'11_25_12_01'!S:S,"*E*"))=0,"",SUM(COUNTIFS('11_25_12_01'!E:E,'11_25_12_01 Acc Rate'!C25,'11_25_12_01'!P:P,"*E*"),COUNTIFS('11_25_12_01'!E:E,'11_25_12_01 Acc Rate'!C25,'11_25_12_01'!S:S,"*E*")))</f>
        <v/>
      </c>
      <c r="U25" s="9" t="str">
        <f t="shared" si="1"/>
        <v/>
      </c>
    </row>
    <row r="26" spans="2:21" s="1" customFormat="1" ht="15" customHeight="1" x14ac:dyDescent="0.25">
      <c r="B26" s="1" t="s">
        <v>621</v>
      </c>
      <c r="C26" s="1" t="s">
        <v>622</v>
      </c>
      <c r="D26" s="1" t="s">
        <v>267</v>
      </c>
      <c r="E26"/>
      <c r="F26" t="s">
        <v>623</v>
      </c>
      <c r="G26" t="s">
        <v>624</v>
      </c>
      <c r="H26" t="s">
        <v>583</v>
      </c>
      <c r="I26" t="s">
        <v>625</v>
      </c>
      <c r="J26" t="s">
        <v>614</v>
      </c>
      <c r="K26" t="s">
        <v>606</v>
      </c>
      <c r="L26"/>
      <c r="M26">
        <v>1</v>
      </c>
      <c r="N26"/>
      <c r="O26"/>
      <c r="P26"/>
      <c r="Q26" s="7"/>
      <c r="R26" s="27" t="str">
        <f t="shared" si="0"/>
        <v/>
      </c>
      <c r="S26" s="27" t="str">
        <f>IF(SUM(COUNTIFS('11_25_12_01'!E:E,'11_25_12_01 Acc Rate'!C26,'11_25_12_01'!O:O,"*M*"),COUNTIFS('11_25_12_01'!E:E,'11_25_12_01 Acc Rate'!C26,'11_25_12_01'!R:R,"*M*"))=0,"",SUM(COUNTIFS('11_25_12_01'!E:E,'11_25_12_01 Acc Rate'!C26,'11_25_12_01'!O:O,"*M*"),COUNTIFS('11_25_12_01'!E:E,'11_25_12_01 Acc Rate'!C26,'11_25_12_01'!R:R,"*M*")))</f>
        <v/>
      </c>
      <c r="T26" s="1" t="str">
        <f>IF(SUM(COUNTIFS('11_25_12_01'!E:E,'11_25_12_01 Acc Rate'!C26,'11_25_12_01'!P:P,"*E*"),COUNTIFS('11_25_12_01'!E:E,'11_25_12_01 Acc Rate'!C26,'11_25_12_01'!S:S,"*E*"))=0,"",SUM(COUNTIFS('11_25_12_01'!E:E,'11_25_12_01 Acc Rate'!C26,'11_25_12_01'!P:P,"*E*"),COUNTIFS('11_25_12_01'!E:E,'11_25_12_01 Acc Rate'!C26,'11_25_12_01'!S:S,"*E*")))</f>
        <v/>
      </c>
      <c r="U26" s="9" t="str">
        <f t="shared" si="1"/>
        <v/>
      </c>
    </row>
    <row r="27" spans="2:21" s="1" customFormat="1" ht="15" customHeight="1" x14ac:dyDescent="0.25">
      <c r="B27" s="1" t="s">
        <v>626</v>
      </c>
      <c r="C27" s="1" t="s">
        <v>362</v>
      </c>
      <c r="D27" s="1" t="s">
        <v>409</v>
      </c>
      <c r="E27"/>
      <c r="F27" t="s">
        <v>627</v>
      </c>
      <c r="G27" t="s">
        <v>628</v>
      </c>
      <c r="H27" t="s">
        <v>583</v>
      </c>
      <c r="I27" t="s">
        <v>629</v>
      </c>
      <c r="J27" t="s">
        <v>614</v>
      </c>
      <c r="K27" t="s">
        <v>606</v>
      </c>
      <c r="L27"/>
      <c r="M27">
        <v>1</v>
      </c>
      <c r="N27"/>
      <c r="O27"/>
      <c r="P27"/>
      <c r="Q27" s="7"/>
      <c r="R27" s="27" t="str">
        <f t="shared" si="0"/>
        <v/>
      </c>
      <c r="S27" s="27" t="str">
        <f>IF(SUM(COUNTIFS('11_25_12_01'!E:E,'11_25_12_01 Acc Rate'!C27,'11_25_12_01'!O:O,"*M*"),COUNTIFS('11_25_12_01'!E:E,'11_25_12_01 Acc Rate'!C27,'11_25_12_01'!R:R,"*M*"))=0,"",SUM(COUNTIFS('11_25_12_01'!E:E,'11_25_12_01 Acc Rate'!C27,'11_25_12_01'!O:O,"*M*"),COUNTIFS('11_25_12_01'!E:E,'11_25_12_01 Acc Rate'!C27,'11_25_12_01'!R:R,"*M*")))</f>
        <v/>
      </c>
      <c r="T27" s="1" t="str">
        <f>IF(SUM(COUNTIFS('11_25_12_01'!E:E,'11_25_12_01 Acc Rate'!C27,'11_25_12_01'!P:P,"*E*"),COUNTIFS('11_25_12_01'!E:E,'11_25_12_01 Acc Rate'!C27,'11_25_12_01'!S:S,"*E*"))=0,"",SUM(COUNTIFS('11_25_12_01'!E:E,'11_25_12_01 Acc Rate'!C27,'11_25_12_01'!P:P,"*E*"),COUNTIFS('11_25_12_01'!E:E,'11_25_12_01 Acc Rate'!C27,'11_25_12_01'!S:S,"*E*")))</f>
        <v/>
      </c>
      <c r="U27" s="9" t="str">
        <f t="shared" si="1"/>
        <v/>
      </c>
    </row>
    <row r="28" spans="2:21" s="1" customFormat="1" ht="15" customHeight="1" x14ac:dyDescent="0.25">
      <c r="B28" s="1" t="s">
        <v>630</v>
      </c>
      <c r="C28" s="1" t="s">
        <v>425</v>
      </c>
      <c r="D28" s="1" t="s">
        <v>426</v>
      </c>
      <c r="E28"/>
      <c r="F28" t="s">
        <v>631</v>
      </c>
      <c r="G28" t="s">
        <v>632</v>
      </c>
      <c r="H28" t="s">
        <v>583</v>
      </c>
      <c r="I28" t="s">
        <v>633</v>
      </c>
      <c r="J28" t="s">
        <v>614</v>
      </c>
      <c r="K28" t="s">
        <v>606</v>
      </c>
      <c r="L28"/>
      <c r="M28">
        <v>15</v>
      </c>
      <c r="N28"/>
      <c r="O28"/>
      <c r="P28"/>
      <c r="Q28" s="7"/>
      <c r="R28" s="27" t="str">
        <f t="shared" si="0"/>
        <v/>
      </c>
      <c r="S28" s="27" t="str">
        <f>IF(SUM(COUNTIFS('11_25_12_01'!E:E,'11_25_12_01 Acc Rate'!C28,'11_25_12_01'!O:O,"*M*"),COUNTIFS('11_25_12_01'!E:E,'11_25_12_01 Acc Rate'!C28,'11_25_12_01'!R:R,"*M*"))=0,"",SUM(COUNTIFS('11_25_12_01'!E:E,'11_25_12_01 Acc Rate'!C28,'11_25_12_01'!O:O,"*M*"),COUNTIFS('11_25_12_01'!E:E,'11_25_12_01 Acc Rate'!C28,'11_25_12_01'!R:R,"*M*")))</f>
        <v/>
      </c>
      <c r="T28" s="1" t="str">
        <f>IF(SUM(COUNTIFS('11_25_12_01'!E:E,'11_25_12_01 Acc Rate'!C28,'11_25_12_01'!P:P,"*E*"),COUNTIFS('11_25_12_01'!E:E,'11_25_12_01 Acc Rate'!C28,'11_25_12_01'!S:S,"*E*"))=0,"",SUM(COUNTIFS('11_25_12_01'!E:E,'11_25_12_01 Acc Rate'!C28,'11_25_12_01'!P:P,"*E*"),COUNTIFS('11_25_12_01'!E:E,'11_25_12_01 Acc Rate'!C28,'11_25_12_01'!S:S,"*E*")))</f>
        <v/>
      </c>
      <c r="U28" s="8" t="str">
        <f t="shared" si="1"/>
        <v/>
      </c>
    </row>
    <row r="29" spans="2:21" s="1" customFormat="1" ht="15" customHeight="1" x14ac:dyDescent="0.25">
      <c r="B29" s="1" t="s">
        <v>634</v>
      </c>
      <c r="C29" s="1" t="s">
        <v>635</v>
      </c>
      <c r="D29" s="1" t="s">
        <v>636</v>
      </c>
      <c r="E29"/>
      <c r="F29" t="s">
        <v>21</v>
      </c>
      <c r="G29" t="s">
        <v>637</v>
      </c>
      <c r="H29" t="s">
        <v>583</v>
      </c>
      <c r="I29" t="s">
        <v>638</v>
      </c>
      <c r="J29" t="s">
        <v>607</v>
      </c>
      <c r="K29"/>
      <c r="L29"/>
      <c r="M29">
        <v>1</v>
      </c>
      <c r="N29"/>
      <c r="O29"/>
      <c r="P29"/>
      <c r="Q29" s="7"/>
      <c r="R29" s="27" t="str">
        <f t="shared" si="0"/>
        <v/>
      </c>
      <c r="S29" s="27" t="str">
        <f>IF(SUM(COUNTIFS('11_25_12_01'!E:E,'11_25_12_01 Acc Rate'!C29,'11_25_12_01'!O:O,"*M*"),COUNTIFS('11_25_12_01'!E:E,'11_25_12_01 Acc Rate'!C29,'11_25_12_01'!R:R,"*M*"))=0,"",SUM(COUNTIFS('11_25_12_01'!E:E,'11_25_12_01 Acc Rate'!C29,'11_25_12_01'!O:O,"*M*"),COUNTIFS('11_25_12_01'!E:E,'11_25_12_01 Acc Rate'!C29,'11_25_12_01'!R:R,"*M*")))</f>
        <v/>
      </c>
      <c r="T29" s="1" t="str">
        <f>IF(SUM(COUNTIFS('11_25_12_01'!E:E,'11_25_12_01 Acc Rate'!C29,'11_25_12_01'!P:P,"*E*"),COUNTIFS('11_25_12_01'!E:E,'11_25_12_01 Acc Rate'!C29,'11_25_12_01'!S:S,"*E*"))=0,"",SUM(COUNTIFS('11_25_12_01'!E:E,'11_25_12_01 Acc Rate'!C29,'11_25_12_01'!P:P,"*E*"),COUNTIFS('11_25_12_01'!E:E,'11_25_12_01 Acc Rate'!C29,'11_25_12_01'!S:S,"*E*")))</f>
        <v/>
      </c>
      <c r="U29" s="9" t="str">
        <f t="shared" si="1"/>
        <v/>
      </c>
    </row>
    <row r="30" spans="2:21" s="1" customFormat="1" ht="15" customHeight="1" x14ac:dyDescent="0.25">
      <c r="B30" s="1" t="s">
        <v>1630</v>
      </c>
      <c r="C30" s="1" t="s">
        <v>1631</v>
      </c>
      <c r="D30" s="1" t="s">
        <v>1122</v>
      </c>
      <c r="E30"/>
      <c r="F30" t="s">
        <v>21</v>
      </c>
      <c r="G30" t="s">
        <v>1632</v>
      </c>
      <c r="H30" t="s">
        <v>583</v>
      </c>
      <c r="I30" t="s">
        <v>1633</v>
      </c>
      <c r="J30" t="s">
        <v>1634</v>
      </c>
      <c r="K30" t="s">
        <v>638</v>
      </c>
      <c r="L30"/>
      <c r="M30">
        <v>15</v>
      </c>
      <c r="N30"/>
      <c r="O30"/>
      <c r="P30"/>
      <c r="Q30" s="7"/>
      <c r="R30" s="27" t="str">
        <f t="shared" si="0"/>
        <v/>
      </c>
      <c r="S30" s="27" t="str">
        <f>IF(SUM(COUNTIFS('11_25_12_01'!E:E,'11_25_12_01 Acc Rate'!C30,'11_25_12_01'!O:O,"*M*"),COUNTIFS('11_25_12_01'!E:E,'11_25_12_01 Acc Rate'!C30,'11_25_12_01'!R:R,"*M*"))=0,"",SUM(COUNTIFS('11_25_12_01'!E:E,'11_25_12_01 Acc Rate'!C30,'11_25_12_01'!O:O,"*M*"),COUNTIFS('11_25_12_01'!E:E,'11_25_12_01 Acc Rate'!C30,'11_25_12_01'!R:R,"*M*")))</f>
        <v/>
      </c>
      <c r="T30" s="1" t="str">
        <f>IF(SUM(COUNTIFS('11_25_12_01'!E:E,'11_25_12_01 Acc Rate'!C30,'11_25_12_01'!P:P,"*E*"),COUNTIFS('11_25_12_01'!E:E,'11_25_12_01 Acc Rate'!C30,'11_25_12_01'!S:S,"*E*"))=0,"",SUM(COUNTIFS('11_25_12_01'!E:E,'11_25_12_01 Acc Rate'!C30,'11_25_12_01'!P:P,"*E*"),COUNTIFS('11_25_12_01'!E:E,'11_25_12_01 Acc Rate'!C30,'11_25_12_01'!S:S,"*E*")))</f>
        <v/>
      </c>
      <c r="U30" s="9" t="str">
        <f t="shared" si="1"/>
        <v/>
      </c>
    </row>
    <row r="31" spans="2:21" s="1" customFormat="1" ht="15" customHeight="1" x14ac:dyDescent="0.25">
      <c r="B31" s="1" t="s">
        <v>639</v>
      </c>
      <c r="C31" s="1" t="s">
        <v>635</v>
      </c>
      <c r="D31" s="1" t="s">
        <v>640</v>
      </c>
      <c r="E31"/>
      <c r="F31" t="s">
        <v>641</v>
      </c>
      <c r="G31" t="s">
        <v>642</v>
      </c>
      <c r="H31" t="s">
        <v>583</v>
      </c>
      <c r="I31" t="s">
        <v>643</v>
      </c>
      <c r="J31" t="s">
        <v>607</v>
      </c>
      <c r="K31"/>
      <c r="L31"/>
      <c r="M31">
        <v>1</v>
      </c>
      <c r="N31"/>
      <c r="O31"/>
      <c r="P31"/>
      <c r="Q31" s="7"/>
      <c r="R31" s="27" t="str">
        <f t="shared" si="0"/>
        <v/>
      </c>
      <c r="S31" s="27" t="str">
        <f>IF(SUM(COUNTIFS('11_25_12_01'!E:E,'11_25_12_01 Acc Rate'!C31,'11_25_12_01'!O:O,"*M*"),COUNTIFS('11_25_12_01'!E:E,'11_25_12_01 Acc Rate'!C31,'11_25_12_01'!R:R,"*M*"))=0,"",SUM(COUNTIFS('11_25_12_01'!E:E,'11_25_12_01 Acc Rate'!C31,'11_25_12_01'!O:O,"*M*"),COUNTIFS('11_25_12_01'!E:E,'11_25_12_01 Acc Rate'!C31,'11_25_12_01'!R:R,"*M*")))</f>
        <v/>
      </c>
      <c r="T31" s="1" t="str">
        <f>IF(SUM(COUNTIFS('11_25_12_01'!E:E,'11_25_12_01 Acc Rate'!C31,'11_25_12_01'!P:P,"*E*"),COUNTIFS('11_25_12_01'!E:E,'11_25_12_01 Acc Rate'!C31,'11_25_12_01'!S:S,"*E*"))=0,"",SUM(COUNTIFS('11_25_12_01'!E:E,'11_25_12_01 Acc Rate'!C31,'11_25_12_01'!P:P,"*E*"),COUNTIFS('11_25_12_01'!E:E,'11_25_12_01 Acc Rate'!C31,'11_25_12_01'!S:S,"*E*")))</f>
        <v/>
      </c>
      <c r="U31" s="9" t="str">
        <f t="shared" si="1"/>
        <v/>
      </c>
    </row>
    <row r="32" spans="2:21" ht="15" customHeight="1" x14ac:dyDescent="0.25">
      <c r="B32" s="1" t="s">
        <v>644</v>
      </c>
      <c r="C32" s="1" t="s">
        <v>162</v>
      </c>
      <c r="D32" s="1" t="s">
        <v>163</v>
      </c>
      <c r="E32"/>
      <c r="F32" t="s">
        <v>645</v>
      </c>
      <c r="G32" t="s">
        <v>646</v>
      </c>
      <c r="H32" t="s">
        <v>583</v>
      </c>
      <c r="I32" t="s">
        <v>647</v>
      </c>
      <c r="J32" t="s">
        <v>648</v>
      </c>
      <c r="K32" t="s">
        <v>643</v>
      </c>
      <c r="L32"/>
      <c r="M32">
        <v>1</v>
      </c>
      <c r="N32"/>
      <c r="O32"/>
      <c r="P32"/>
      <c r="Q32" s="7"/>
      <c r="R32" s="27" t="str">
        <f t="shared" si="0"/>
        <v/>
      </c>
      <c r="S32" s="27" t="str">
        <f>IF(SUM(COUNTIFS('11_25_12_01'!E:E,'11_25_12_01 Acc Rate'!C32,'11_25_12_01'!O:O,"*M*"),COUNTIFS('11_25_12_01'!E:E,'11_25_12_01 Acc Rate'!C32,'11_25_12_01'!R:R,"*M*"))=0,"",SUM(COUNTIFS('11_25_12_01'!E:E,'11_25_12_01 Acc Rate'!C32,'11_25_12_01'!O:O,"*M*"),COUNTIFS('11_25_12_01'!E:E,'11_25_12_01 Acc Rate'!C32,'11_25_12_01'!R:R,"*M*")))</f>
        <v/>
      </c>
      <c r="T32" s="1" t="str">
        <f>IF(SUM(COUNTIFS('11_25_12_01'!E:E,'11_25_12_01 Acc Rate'!C32,'11_25_12_01'!P:P,"*E*"),COUNTIFS('11_25_12_01'!E:E,'11_25_12_01 Acc Rate'!C32,'11_25_12_01'!S:S,"*E*"))=0,"",SUM(COUNTIFS('11_25_12_01'!E:E,'11_25_12_01 Acc Rate'!C32,'11_25_12_01'!P:P,"*E*"),COUNTIFS('11_25_12_01'!E:E,'11_25_12_01 Acc Rate'!C32,'11_25_12_01'!S:S,"*E*")))</f>
        <v/>
      </c>
      <c r="U32" s="8" t="str">
        <f t="shared" si="1"/>
        <v/>
      </c>
    </row>
    <row r="33" spans="2:21" ht="15" customHeight="1" x14ac:dyDescent="0.25">
      <c r="B33" s="1" t="s">
        <v>649</v>
      </c>
      <c r="C33" s="1" t="s">
        <v>264</v>
      </c>
      <c r="D33" s="1" t="s">
        <v>650</v>
      </c>
      <c r="E33"/>
      <c r="F33" t="s">
        <v>651</v>
      </c>
      <c r="G33" t="s">
        <v>652</v>
      </c>
      <c r="H33" t="s">
        <v>583</v>
      </c>
      <c r="I33" t="s">
        <v>653</v>
      </c>
      <c r="J33" t="s">
        <v>648</v>
      </c>
      <c r="K33" t="s">
        <v>643</v>
      </c>
      <c r="L33"/>
      <c r="M33">
        <v>1</v>
      </c>
      <c r="N33"/>
      <c r="O33"/>
      <c r="P33"/>
      <c r="Q33" s="7"/>
      <c r="R33" s="27" t="str">
        <f t="shared" si="0"/>
        <v/>
      </c>
      <c r="S33" s="27" t="str">
        <f>IF(SUM(COUNTIFS('11_25_12_01'!E:E,'11_25_12_01 Acc Rate'!C33,'11_25_12_01'!O:O,"*M*"),COUNTIFS('11_25_12_01'!E:E,'11_25_12_01 Acc Rate'!C33,'11_25_12_01'!R:R,"*M*"))=0,"",SUM(COUNTIFS('11_25_12_01'!E:E,'11_25_12_01 Acc Rate'!C33,'11_25_12_01'!O:O,"*M*"),COUNTIFS('11_25_12_01'!E:E,'11_25_12_01 Acc Rate'!C33,'11_25_12_01'!R:R,"*M*")))</f>
        <v/>
      </c>
      <c r="T33" s="1" t="str">
        <f>IF(SUM(COUNTIFS('11_25_12_01'!E:E,'11_25_12_01 Acc Rate'!C33,'11_25_12_01'!P:P,"*E*"),COUNTIFS('11_25_12_01'!E:E,'11_25_12_01 Acc Rate'!C33,'11_25_12_01'!S:S,"*E*"))=0,"",SUM(COUNTIFS('11_25_12_01'!E:E,'11_25_12_01 Acc Rate'!C33,'11_25_12_01'!P:P,"*E*"),COUNTIFS('11_25_12_01'!E:E,'11_25_12_01 Acc Rate'!C33,'11_25_12_01'!S:S,"*E*")))</f>
        <v/>
      </c>
      <c r="U33" s="8" t="str">
        <f t="shared" si="1"/>
        <v/>
      </c>
    </row>
    <row r="34" spans="2:21" ht="15" customHeight="1" x14ac:dyDescent="0.25">
      <c r="B34" s="1" t="s">
        <v>654</v>
      </c>
      <c r="C34" s="1" t="s">
        <v>417</v>
      </c>
      <c r="D34" s="1" t="s">
        <v>418</v>
      </c>
      <c r="E34"/>
      <c r="F34" t="s">
        <v>655</v>
      </c>
      <c r="G34" t="s">
        <v>656</v>
      </c>
      <c r="H34" t="s">
        <v>583</v>
      </c>
      <c r="I34" t="s">
        <v>657</v>
      </c>
      <c r="J34" t="s">
        <v>648</v>
      </c>
      <c r="K34" t="s">
        <v>643</v>
      </c>
      <c r="L34"/>
      <c r="M34">
        <v>1</v>
      </c>
      <c r="N34"/>
      <c r="O34"/>
      <c r="P34"/>
      <c r="Q34" s="7"/>
      <c r="R34" s="27" t="str">
        <f t="shared" si="0"/>
        <v/>
      </c>
      <c r="S34" s="27" t="str">
        <f>IF(SUM(COUNTIFS('11_25_12_01'!E:E,'11_25_12_01 Acc Rate'!C34,'11_25_12_01'!O:O,"*M*"),COUNTIFS('11_25_12_01'!E:E,'11_25_12_01 Acc Rate'!C34,'11_25_12_01'!R:R,"*M*"))=0,"",SUM(COUNTIFS('11_25_12_01'!E:E,'11_25_12_01 Acc Rate'!C34,'11_25_12_01'!O:O,"*M*"),COUNTIFS('11_25_12_01'!E:E,'11_25_12_01 Acc Rate'!C34,'11_25_12_01'!R:R,"*M*")))</f>
        <v/>
      </c>
      <c r="T34" s="1" t="str">
        <f>IF(SUM(COUNTIFS('11_25_12_01'!E:E,'11_25_12_01 Acc Rate'!C34,'11_25_12_01'!P:P,"*E*"),COUNTIFS('11_25_12_01'!E:E,'11_25_12_01 Acc Rate'!C34,'11_25_12_01'!S:S,"*E*"))=0,"",SUM(COUNTIFS('11_25_12_01'!E:E,'11_25_12_01 Acc Rate'!C34,'11_25_12_01'!P:P,"*E*"),COUNTIFS('11_25_12_01'!E:E,'11_25_12_01 Acc Rate'!C34,'11_25_12_01'!S:S,"*E*")))</f>
        <v/>
      </c>
      <c r="U34" s="8" t="str">
        <f t="shared" si="1"/>
        <v/>
      </c>
    </row>
    <row r="35" spans="2:21" ht="15" customHeight="1" x14ac:dyDescent="0.25">
      <c r="B35" s="1" t="s">
        <v>1641</v>
      </c>
      <c r="C35" s="1" t="s">
        <v>345</v>
      </c>
      <c r="D35" s="1" t="s">
        <v>1642</v>
      </c>
      <c r="E35"/>
      <c r="F35" t="s">
        <v>1643</v>
      </c>
      <c r="G35" t="s">
        <v>1644</v>
      </c>
      <c r="H35" t="s">
        <v>583</v>
      </c>
      <c r="I35" t="s">
        <v>1645</v>
      </c>
      <c r="J35" t="s">
        <v>648</v>
      </c>
      <c r="K35" t="s">
        <v>643</v>
      </c>
      <c r="L35"/>
      <c r="M35">
        <v>15</v>
      </c>
      <c r="N35"/>
      <c r="O35"/>
      <c r="P35"/>
      <c r="Q35" s="7"/>
      <c r="R35" s="27" t="str">
        <f t="shared" si="0"/>
        <v/>
      </c>
      <c r="S35" s="27" t="str">
        <f>IF(SUM(COUNTIFS('11_25_12_01'!E:E,'11_25_12_01 Acc Rate'!C35,'11_25_12_01'!O:O,"*M*"),COUNTIFS('11_25_12_01'!E:E,'11_25_12_01 Acc Rate'!C35,'11_25_12_01'!R:R,"*M*"))=0,"",SUM(COUNTIFS('11_25_12_01'!E:E,'11_25_12_01 Acc Rate'!C35,'11_25_12_01'!O:O,"*M*"),COUNTIFS('11_25_12_01'!E:E,'11_25_12_01 Acc Rate'!C35,'11_25_12_01'!R:R,"*M*")))</f>
        <v/>
      </c>
      <c r="T35" s="1" t="str">
        <f>IF(SUM(COUNTIFS('11_25_12_01'!E:E,'11_25_12_01 Acc Rate'!C35,'11_25_12_01'!P:P,"*E*"),COUNTIFS('11_25_12_01'!E:E,'11_25_12_01 Acc Rate'!C35,'11_25_12_01'!S:S,"*E*"))=0,"",SUM(COUNTIFS('11_25_12_01'!E:E,'11_25_12_01 Acc Rate'!C35,'11_25_12_01'!P:P,"*E*"),COUNTIFS('11_25_12_01'!E:E,'11_25_12_01 Acc Rate'!C35,'11_25_12_01'!S:S,"*E*")))</f>
        <v/>
      </c>
      <c r="U35" s="8" t="str">
        <f t="shared" si="1"/>
        <v/>
      </c>
    </row>
    <row r="36" spans="2:21" ht="15" customHeight="1" x14ac:dyDescent="0.25">
      <c r="B36" s="1" t="s">
        <v>658</v>
      </c>
      <c r="C36" s="1" t="s">
        <v>659</v>
      </c>
      <c r="D36" s="1" t="s">
        <v>660</v>
      </c>
      <c r="E36"/>
      <c r="F36" t="s">
        <v>661</v>
      </c>
      <c r="G36" t="s">
        <v>662</v>
      </c>
      <c r="H36" t="s">
        <v>583</v>
      </c>
      <c r="I36" t="s">
        <v>663</v>
      </c>
      <c r="J36" t="s">
        <v>607</v>
      </c>
      <c r="K36"/>
      <c r="L36"/>
      <c r="M36">
        <v>1</v>
      </c>
      <c r="N36"/>
      <c r="O36"/>
      <c r="P36"/>
      <c r="Q36" s="7"/>
      <c r="R36" s="27" t="str">
        <f t="shared" si="0"/>
        <v/>
      </c>
      <c r="S36" s="27" t="str">
        <f>IF(SUM(COUNTIFS('11_25_12_01'!E:E,'11_25_12_01 Acc Rate'!C36,'11_25_12_01'!O:O,"*M*"),COUNTIFS('11_25_12_01'!E:E,'11_25_12_01 Acc Rate'!C36,'11_25_12_01'!R:R,"*M*"))=0,"",SUM(COUNTIFS('11_25_12_01'!E:E,'11_25_12_01 Acc Rate'!C36,'11_25_12_01'!O:O,"*M*"),COUNTIFS('11_25_12_01'!E:E,'11_25_12_01 Acc Rate'!C36,'11_25_12_01'!R:R,"*M*")))</f>
        <v/>
      </c>
      <c r="T36" s="1" t="str">
        <f>IF(SUM(COUNTIFS('11_25_12_01'!E:E,'11_25_12_01 Acc Rate'!C36,'11_25_12_01'!P:P,"*E*"),COUNTIFS('11_25_12_01'!E:E,'11_25_12_01 Acc Rate'!C36,'11_25_12_01'!S:S,"*E*"))=0,"",SUM(COUNTIFS('11_25_12_01'!E:E,'11_25_12_01 Acc Rate'!C36,'11_25_12_01'!P:P,"*E*"),COUNTIFS('11_25_12_01'!E:E,'11_25_12_01 Acc Rate'!C36,'11_25_12_01'!S:S,"*E*")))</f>
        <v/>
      </c>
      <c r="U36" s="8" t="str">
        <f t="shared" si="1"/>
        <v/>
      </c>
    </row>
    <row r="37" spans="2:21" ht="15" customHeight="1" x14ac:dyDescent="0.25">
      <c r="B37" s="1" t="s">
        <v>664</v>
      </c>
      <c r="C37" s="1" t="s">
        <v>155</v>
      </c>
      <c r="D37" s="1" t="s">
        <v>156</v>
      </c>
      <c r="E37"/>
      <c r="F37" t="s">
        <v>550</v>
      </c>
      <c r="G37" t="s">
        <v>665</v>
      </c>
      <c r="H37" t="s">
        <v>583</v>
      </c>
      <c r="I37" t="s">
        <v>666</v>
      </c>
      <c r="J37" t="s">
        <v>667</v>
      </c>
      <c r="K37" t="s">
        <v>663</v>
      </c>
      <c r="L37"/>
      <c r="M37">
        <v>1</v>
      </c>
      <c r="N37"/>
      <c r="O37"/>
      <c r="P37"/>
      <c r="Q37" s="7"/>
      <c r="R37" s="27" t="str">
        <f t="shared" si="0"/>
        <v/>
      </c>
      <c r="S37" s="27" t="str">
        <f>IF(SUM(COUNTIFS('11_25_12_01'!E:E,'11_25_12_01 Acc Rate'!C37,'11_25_12_01'!O:O,"*M*"),COUNTIFS('11_25_12_01'!E:E,'11_25_12_01 Acc Rate'!C37,'11_25_12_01'!R:R,"*M*"))=0,"",SUM(COUNTIFS('11_25_12_01'!E:E,'11_25_12_01 Acc Rate'!C37,'11_25_12_01'!O:O,"*M*"),COUNTIFS('11_25_12_01'!E:E,'11_25_12_01 Acc Rate'!C37,'11_25_12_01'!R:R,"*M*")))</f>
        <v/>
      </c>
      <c r="T37" s="1" t="str">
        <f>IF(SUM(COUNTIFS('11_25_12_01'!E:E,'11_25_12_01 Acc Rate'!C37,'11_25_12_01'!P:P,"*E*"),COUNTIFS('11_25_12_01'!E:E,'11_25_12_01 Acc Rate'!C37,'11_25_12_01'!S:S,"*E*"))=0,"",SUM(COUNTIFS('11_25_12_01'!E:E,'11_25_12_01 Acc Rate'!C37,'11_25_12_01'!P:P,"*E*"),COUNTIFS('11_25_12_01'!E:E,'11_25_12_01 Acc Rate'!C37,'11_25_12_01'!S:S,"*E*")))</f>
        <v/>
      </c>
      <c r="U37" s="8" t="str">
        <f t="shared" si="1"/>
        <v/>
      </c>
    </row>
    <row r="38" spans="2:21" ht="15" customHeight="1" x14ac:dyDescent="0.25">
      <c r="B38" s="1" t="s">
        <v>668</v>
      </c>
      <c r="C38" s="1" t="s">
        <v>669</v>
      </c>
      <c r="D38" s="1" t="s">
        <v>670</v>
      </c>
      <c r="E38"/>
      <c r="F38" t="s">
        <v>671</v>
      </c>
      <c r="G38" t="s">
        <v>672</v>
      </c>
      <c r="H38" t="s">
        <v>583</v>
      </c>
      <c r="I38" t="s">
        <v>673</v>
      </c>
      <c r="J38" t="s">
        <v>667</v>
      </c>
      <c r="K38" t="s">
        <v>663</v>
      </c>
      <c r="L38"/>
      <c r="M38">
        <v>1</v>
      </c>
      <c r="N38"/>
      <c r="O38"/>
      <c r="P38"/>
      <c r="Q38" s="7"/>
      <c r="R38" s="27" t="str">
        <f t="shared" si="0"/>
        <v/>
      </c>
      <c r="S38" s="27" t="str">
        <f>IF(SUM(COUNTIFS('11_25_12_01'!E:E,'11_25_12_01 Acc Rate'!C38,'11_25_12_01'!O:O,"*M*"),COUNTIFS('11_25_12_01'!E:E,'11_25_12_01 Acc Rate'!C38,'11_25_12_01'!R:R,"*M*"))=0,"",SUM(COUNTIFS('11_25_12_01'!E:E,'11_25_12_01 Acc Rate'!C38,'11_25_12_01'!O:O,"*M*"),COUNTIFS('11_25_12_01'!E:E,'11_25_12_01 Acc Rate'!C38,'11_25_12_01'!R:R,"*M*")))</f>
        <v/>
      </c>
      <c r="T38" s="1" t="str">
        <f>IF(SUM(COUNTIFS('11_25_12_01'!E:E,'11_25_12_01 Acc Rate'!C38,'11_25_12_01'!P:P,"*E*"),COUNTIFS('11_25_12_01'!E:E,'11_25_12_01 Acc Rate'!C38,'11_25_12_01'!S:S,"*E*"))=0,"",SUM(COUNTIFS('11_25_12_01'!E:E,'11_25_12_01 Acc Rate'!C38,'11_25_12_01'!P:P,"*E*"),COUNTIFS('11_25_12_01'!E:E,'11_25_12_01 Acc Rate'!C38,'11_25_12_01'!S:S,"*E*")))</f>
        <v/>
      </c>
      <c r="U38" s="8" t="str">
        <f t="shared" si="1"/>
        <v/>
      </c>
    </row>
    <row r="39" spans="2:21" ht="15" customHeight="1" x14ac:dyDescent="0.25">
      <c r="B39" s="1" t="s">
        <v>701</v>
      </c>
      <c r="C39" s="1" t="s">
        <v>696</v>
      </c>
      <c r="D39" s="1" t="s">
        <v>702</v>
      </c>
      <c r="E39"/>
      <c r="F39" t="s">
        <v>703</v>
      </c>
      <c r="G39" t="s">
        <v>704</v>
      </c>
      <c r="H39" t="s">
        <v>583</v>
      </c>
      <c r="I39" t="s">
        <v>705</v>
      </c>
      <c r="J39" t="s">
        <v>667</v>
      </c>
      <c r="K39" t="s">
        <v>663</v>
      </c>
      <c r="L39"/>
      <c r="M39">
        <v>1</v>
      </c>
      <c r="N39"/>
      <c r="O39"/>
      <c r="P39"/>
      <c r="Q39" s="7"/>
      <c r="R39" s="27" t="str">
        <f t="shared" si="0"/>
        <v/>
      </c>
      <c r="S39" s="27" t="str">
        <f>IF(SUM(COUNTIFS('11_25_12_01'!E:E,'11_25_12_01 Acc Rate'!C39,'11_25_12_01'!O:O,"*M*"),COUNTIFS('11_25_12_01'!E:E,'11_25_12_01 Acc Rate'!C39,'11_25_12_01'!R:R,"*M*"))=0,"",SUM(COUNTIFS('11_25_12_01'!E:E,'11_25_12_01 Acc Rate'!C39,'11_25_12_01'!O:O,"*M*"),COUNTIFS('11_25_12_01'!E:E,'11_25_12_01 Acc Rate'!C39,'11_25_12_01'!R:R,"*M*")))</f>
        <v/>
      </c>
      <c r="T39" s="1" t="str">
        <f>IF(SUM(COUNTIFS('11_25_12_01'!E:E,'11_25_12_01 Acc Rate'!C39,'11_25_12_01'!P:P,"*E*"),COUNTIFS('11_25_12_01'!E:E,'11_25_12_01 Acc Rate'!C39,'11_25_12_01'!S:S,"*E*"))=0,"",SUM(COUNTIFS('11_25_12_01'!E:E,'11_25_12_01 Acc Rate'!C39,'11_25_12_01'!P:P,"*E*"),COUNTIFS('11_25_12_01'!E:E,'11_25_12_01 Acc Rate'!C39,'11_25_12_01'!S:S,"*E*")))</f>
        <v/>
      </c>
      <c r="U39" s="8" t="str">
        <f t="shared" si="1"/>
        <v/>
      </c>
    </row>
    <row r="40" spans="2:21" ht="15" customHeight="1" x14ac:dyDescent="0.25">
      <c r="B40" s="1" t="s">
        <v>674</v>
      </c>
      <c r="C40" s="1" t="s">
        <v>411</v>
      </c>
      <c r="D40" s="1" t="s">
        <v>412</v>
      </c>
      <c r="E40"/>
      <c r="F40" t="s">
        <v>675</v>
      </c>
      <c r="G40" t="s">
        <v>676</v>
      </c>
      <c r="H40" t="s">
        <v>583</v>
      </c>
      <c r="I40" t="s">
        <v>677</v>
      </c>
      <c r="J40" t="s">
        <v>667</v>
      </c>
      <c r="K40" t="s">
        <v>663</v>
      </c>
      <c r="L40"/>
      <c r="M40">
        <v>1</v>
      </c>
      <c r="N40"/>
      <c r="O40"/>
      <c r="P40"/>
      <c r="Q40" s="7"/>
      <c r="R40" s="27" t="str">
        <f t="shared" si="0"/>
        <v/>
      </c>
      <c r="S40" s="27" t="str">
        <f>IF(SUM(COUNTIFS('11_25_12_01'!E:E,'11_25_12_01 Acc Rate'!C40,'11_25_12_01'!O:O,"*M*"),COUNTIFS('11_25_12_01'!E:E,'11_25_12_01 Acc Rate'!C40,'11_25_12_01'!R:R,"*M*"))=0,"",SUM(COUNTIFS('11_25_12_01'!E:E,'11_25_12_01 Acc Rate'!C40,'11_25_12_01'!O:O,"*M*"),COUNTIFS('11_25_12_01'!E:E,'11_25_12_01 Acc Rate'!C40,'11_25_12_01'!R:R,"*M*")))</f>
        <v/>
      </c>
      <c r="T40" s="1" t="str">
        <f>IF(SUM(COUNTIFS('11_25_12_01'!E:E,'11_25_12_01 Acc Rate'!C40,'11_25_12_01'!P:P,"*E*"),COUNTIFS('11_25_12_01'!E:E,'11_25_12_01 Acc Rate'!C40,'11_25_12_01'!S:S,"*E*"))=0,"",SUM(COUNTIFS('11_25_12_01'!E:E,'11_25_12_01 Acc Rate'!C40,'11_25_12_01'!P:P,"*E*"),COUNTIFS('11_25_12_01'!E:E,'11_25_12_01 Acc Rate'!C40,'11_25_12_01'!S:S,"*E*")))</f>
        <v/>
      </c>
      <c r="U40" s="8" t="str">
        <f t="shared" si="1"/>
        <v/>
      </c>
    </row>
    <row r="41" spans="2:21" ht="15" customHeight="1" x14ac:dyDescent="0.25">
      <c r="B41" s="1" t="s">
        <v>678</v>
      </c>
      <c r="C41" s="1" t="s">
        <v>679</v>
      </c>
      <c r="D41" s="1" t="s">
        <v>680</v>
      </c>
      <c r="E41"/>
      <c r="F41" t="s">
        <v>681</v>
      </c>
      <c r="G41" t="s">
        <v>682</v>
      </c>
      <c r="H41" t="s">
        <v>583</v>
      </c>
      <c r="I41" t="s">
        <v>683</v>
      </c>
      <c r="J41" t="s">
        <v>607</v>
      </c>
      <c r="K41"/>
      <c r="L41"/>
      <c r="M41">
        <v>1</v>
      </c>
      <c r="N41"/>
      <c r="O41"/>
      <c r="P41"/>
      <c r="Q41" s="7"/>
      <c r="R41" s="27" t="str">
        <f t="shared" si="0"/>
        <v/>
      </c>
      <c r="S41" s="27" t="str">
        <f>IF(SUM(COUNTIFS('11_25_12_01'!E:E,'11_25_12_01 Acc Rate'!C41,'11_25_12_01'!O:O,"*M*"),COUNTIFS('11_25_12_01'!E:E,'11_25_12_01 Acc Rate'!C41,'11_25_12_01'!R:R,"*M*"))=0,"",SUM(COUNTIFS('11_25_12_01'!E:E,'11_25_12_01 Acc Rate'!C41,'11_25_12_01'!O:O,"*M*"),COUNTIFS('11_25_12_01'!E:E,'11_25_12_01 Acc Rate'!C41,'11_25_12_01'!R:R,"*M*")))</f>
        <v/>
      </c>
      <c r="T41" s="1" t="str">
        <f>IF(SUM(COUNTIFS('11_25_12_01'!E:E,'11_25_12_01 Acc Rate'!C41,'11_25_12_01'!P:P,"*E*"),COUNTIFS('11_25_12_01'!E:E,'11_25_12_01 Acc Rate'!C41,'11_25_12_01'!S:S,"*E*"))=0,"",SUM(COUNTIFS('11_25_12_01'!E:E,'11_25_12_01 Acc Rate'!C41,'11_25_12_01'!P:P,"*E*"),COUNTIFS('11_25_12_01'!E:E,'11_25_12_01 Acc Rate'!C41,'11_25_12_01'!S:S,"*E*")))</f>
        <v/>
      </c>
      <c r="U41" s="8" t="str">
        <f t="shared" si="1"/>
        <v/>
      </c>
    </row>
    <row r="42" spans="2:21" ht="15" customHeight="1" x14ac:dyDescent="0.25">
      <c r="B42" s="1" t="s">
        <v>684</v>
      </c>
      <c r="C42" s="1" t="s">
        <v>84</v>
      </c>
      <c r="D42" s="1" t="s">
        <v>273</v>
      </c>
      <c r="E42"/>
      <c r="F42" t="s">
        <v>685</v>
      </c>
      <c r="G42" t="s">
        <v>686</v>
      </c>
      <c r="H42" t="s">
        <v>583</v>
      </c>
      <c r="I42" t="s">
        <v>687</v>
      </c>
      <c r="J42" t="s">
        <v>688</v>
      </c>
      <c r="K42" t="s">
        <v>683</v>
      </c>
      <c r="L42"/>
      <c r="M42">
        <v>1</v>
      </c>
      <c r="N42"/>
      <c r="O42"/>
      <c r="P42"/>
      <c r="Q42" s="7"/>
      <c r="R42" s="27" t="str">
        <f t="shared" si="0"/>
        <v/>
      </c>
      <c r="S42" s="27" t="str">
        <f>IF(SUM(COUNTIFS('11_25_12_01'!E:E,'11_25_12_01 Acc Rate'!C42,'11_25_12_01'!O:O,"*M*"),COUNTIFS('11_25_12_01'!E:E,'11_25_12_01 Acc Rate'!C42,'11_25_12_01'!R:R,"*M*"))=0,"",SUM(COUNTIFS('11_25_12_01'!E:E,'11_25_12_01 Acc Rate'!C42,'11_25_12_01'!O:O,"*M*"),COUNTIFS('11_25_12_01'!E:E,'11_25_12_01 Acc Rate'!C42,'11_25_12_01'!R:R,"*M*")))</f>
        <v/>
      </c>
      <c r="T42" s="1" t="str">
        <f>IF(SUM(COUNTIFS('11_25_12_01'!E:E,'11_25_12_01 Acc Rate'!C42,'11_25_12_01'!P:P,"*E*"),COUNTIFS('11_25_12_01'!E:E,'11_25_12_01 Acc Rate'!C42,'11_25_12_01'!S:S,"*E*"))=0,"",SUM(COUNTIFS('11_25_12_01'!E:E,'11_25_12_01 Acc Rate'!C42,'11_25_12_01'!P:P,"*E*"),COUNTIFS('11_25_12_01'!E:E,'11_25_12_01 Acc Rate'!C42,'11_25_12_01'!S:S,"*E*")))</f>
        <v/>
      </c>
      <c r="U42" s="8" t="str">
        <f t="shared" si="1"/>
        <v/>
      </c>
    </row>
    <row r="43" spans="2:21" ht="15" customHeight="1" x14ac:dyDescent="0.25">
      <c r="B43" s="1" t="s">
        <v>689</v>
      </c>
      <c r="C43" s="1" t="s">
        <v>690</v>
      </c>
      <c r="D43" s="1" t="s">
        <v>691</v>
      </c>
      <c r="E43"/>
      <c r="F43" t="s">
        <v>692</v>
      </c>
      <c r="G43" t="s">
        <v>693</v>
      </c>
      <c r="H43" t="s">
        <v>583</v>
      </c>
      <c r="I43" t="s">
        <v>694</v>
      </c>
      <c r="J43" t="s">
        <v>688</v>
      </c>
      <c r="K43" t="s">
        <v>683</v>
      </c>
      <c r="L43"/>
      <c r="M43">
        <v>1</v>
      </c>
      <c r="N43"/>
      <c r="O43"/>
      <c r="P43"/>
      <c r="Q43" s="7"/>
      <c r="R43" s="27" t="str">
        <f t="shared" si="0"/>
        <v/>
      </c>
      <c r="S43" s="27" t="str">
        <f>IF(SUM(COUNTIFS('11_25_12_01'!E:E,'11_25_12_01 Acc Rate'!C43,'11_25_12_01'!O:O,"*M*"),COUNTIFS('11_25_12_01'!E:E,'11_25_12_01 Acc Rate'!C43,'11_25_12_01'!R:R,"*M*"))=0,"",SUM(COUNTIFS('11_25_12_01'!E:E,'11_25_12_01 Acc Rate'!C43,'11_25_12_01'!O:O,"*M*"),COUNTIFS('11_25_12_01'!E:E,'11_25_12_01 Acc Rate'!C43,'11_25_12_01'!R:R,"*M*")))</f>
        <v/>
      </c>
      <c r="T43" s="1" t="str">
        <f>IF(SUM(COUNTIFS('11_25_12_01'!E:E,'11_25_12_01 Acc Rate'!C43,'11_25_12_01'!P:P,"*E*"),COUNTIFS('11_25_12_01'!E:E,'11_25_12_01 Acc Rate'!C43,'11_25_12_01'!S:S,"*E*"))=0,"",SUM(COUNTIFS('11_25_12_01'!E:E,'11_25_12_01 Acc Rate'!C43,'11_25_12_01'!P:P,"*E*"),COUNTIFS('11_25_12_01'!E:E,'11_25_12_01 Acc Rate'!C43,'11_25_12_01'!S:S,"*E*")))</f>
        <v/>
      </c>
      <c r="U43" s="8" t="str">
        <f t="shared" si="1"/>
        <v/>
      </c>
    </row>
    <row r="44" spans="2:21" ht="15" customHeight="1" x14ac:dyDescent="0.25">
      <c r="B44" s="1" t="s">
        <v>695</v>
      </c>
      <c r="C44" s="1" t="s">
        <v>696</v>
      </c>
      <c r="D44" s="1" t="s">
        <v>697</v>
      </c>
      <c r="E44"/>
      <c r="F44" t="s">
        <v>698</v>
      </c>
      <c r="G44" t="s">
        <v>699</v>
      </c>
      <c r="H44" t="s">
        <v>583</v>
      </c>
      <c r="I44" t="s">
        <v>700</v>
      </c>
      <c r="J44" t="s">
        <v>607</v>
      </c>
      <c r="K44"/>
      <c r="L44"/>
      <c r="M44">
        <v>1</v>
      </c>
      <c r="N44"/>
      <c r="O44"/>
      <c r="P44"/>
      <c r="Q44" s="7"/>
      <c r="R44" s="27" t="str">
        <f t="shared" si="0"/>
        <v/>
      </c>
      <c r="S44" s="27" t="str">
        <f>IF(SUM(COUNTIFS('11_25_12_01'!E:E,'11_25_12_01 Acc Rate'!C44,'11_25_12_01'!O:O,"*M*"),COUNTIFS('11_25_12_01'!E:E,'11_25_12_01 Acc Rate'!C44,'11_25_12_01'!R:R,"*M*"))=0,"",SUM(COUNTIFS('11_25_12_01'!E:E,'11_25_12_01 Acc Rate'!C44,'11_25_12_01'!O:O,"*M*"),COUNTIFS('11_25_12_01'!E:E,'11_25_12_01 Acc Rate'!C44,'11_25_12_01'!R:R,"*M*")))</f>
        <v/>
      </c>
      <c r="T44" s="1" t="str">
        <f>IF(SUM(COUNTIFS('11_25_12_01'!E:E,'11_25_12_01 Acc Rate'!C44,'11_25_12_01'!P:P,"*E*"),COUNTIFS('11_25_12_01'!E:E,'11_25_12_01 Acc Rate'!C44,'11_25_12_01'!S:S,"*E*"))=0,"",SUM(COUNTIFS('11_25_12_01'!E:E,'11_25_12_01 Acc Rate'!C44,'11_25_12_01'!P:P,"*E*"),COUNTIFS('11_25_12_01'!E:E,'11_25_12_01 Acc Rate'!C44,'11_25_12_01'!S:S,"*E*")))</f>
        <v/>
      </c>
      <c r="U44" s="8" t="str">
        <f t="shared" si="1"/>
        <v/>
      </c>
    </row>
    <row r="45" spans="2:21" ht="15" customHeight="1" x14ac:dyDescent="0.25">
      <c r="B45" s="1" t="s">
        <v>707</v>
      </c>
      <c r="C45" s="1" t="s">
        <v>708</v>
      </c>
      <c r="D45" s="1" t="s">
        <v>709</v>
      </c>
      <c r="E45"/>
      <c r="F45" t="s">
        <v>710</v>
      </c>
      <c r="G45" t="s">
        <v>711</v>
      </c>
      <c r="H45" t="s">
        <v>583</v>
      </c>
      <c r="I45" t="s">
        <v>712</v>
      </c>
      <c r="J45" t="s">
        <v>706</v>
      </c>
      <c r="K45" t="s">
        <v>700</v>
      </c>
      <c r="L45"/>
      <c r="M45">
        <v>1</v>
      </c>
      <c r="N45"/>
      <c r="O45"/>
      <c r="P45"/>
      <c r="Q45" s="7"/>
      <c r="R45" s="27" t="str">
        <f t="shared" si="0"/>
        <v/>
      </c>
      <c r="S45" s="27" t="str">
        <f>IF(SUM(COUNTIFS('11_25_12_01'!E:E,'11_25_12_01 Acc Rate'!C45,'11_25_12_01'!O:O,"*M*"),COUNTIFS('11_25_12_01'!E:E,'11_25_12_01 Acc Rate'!C45,'11_25_12_01'!R:R,"*M*"))=0,"",SUM(COUNTIFS('11_25_12_01'!E:E,'11_25_12_01 Acc Rate'!C45,'11_25_12_01'!O:O,"*M*"),COUNTIFS('11_25_12_01'!E:E,'11_25_12_01 Acc Rate'!C45,'11_25_12_01'!R:R,"*M*")))</f>
        <v/>
      </c>
      <c r="T45" s="1" t="str">
        <f>IF(SUM(COUNTIFS('11_25_12_01'!E:E,'11_25_12_01 Acc Rate'!C45,'11_25_12_01'!P:P,"*E*"),COUNTIFS('11_25_12_01'!E:E,'11_25_12_01 Acc Rate'!C45,'11_25_12_01'!S:S,"*E*"))=0,"",SUM(COUNTIFS('11_25_12_01'!E:E,'11_25_12_01 Acc Rate'!C45,'11_25_12_01'!P:P,"*E*"),COUNTIFS('11_25_12_01'!E:E,'11_25_12_01 Acc Rate'!C45,'11_25_12_01'!S:S,"*E*")))</f>
        <v/>
      </c>
      <c r="U45" s="8" t="str">
        <f t="shared" si="1"/>
        <v/>
      </c>
    </row>
    <row r="46" spans="2:21" ht="15" customHeight="1" x14ac:dyDescent="0.25">
      <c r="B46" s="1" t="s">
        <v>713</v>
      </c>
      <c r="C46" s="1" t="s">
        <v>714</v>
      </c>
      <c r="D46" s="1" t="s">
        <v>715</v>
      </c>
      <c r="E46"/>
      <c r="F46" t="s">
        <v>716</v>
      </c>
      <c r="G46" t="s">
        <v>717</v>
      </c>
      <c r="H46" t="s">
        <v>583</v>
      </c>
      <c r="I46" t="s">
        <v>718</v>
      </c>
      <c r="J46" t="s">
        <v>706</v>
      </c>
      <c r="K46" t="s">
        <v>700</v>
      </c>
      <c r="L46"/>
      <c r="M46">
        <v>1</v>
      </c>
      <c r="N46"/>
      <c r="O46"/>
      <c r="P46"/>
      <c r="Q46" s="7"/>
      <c r="R46" s="27" t="str">
        <f t="shared" si="0"/>
        <v/>
      </c>
      <c r="S46" s="27" t="str">
        <f>IF(SUM(COUNTIFS('11_25_12_01'!E:E,'11_25_12_01 Acc Rate'!C46,'11_25_12_01'!O:O,"*M*"),COUNTIFS('11_25_12_01'!E:E,'11_25_12_01 Acc Rate'!C46,'11_25_12_01'!R:R,"*M*"))=0,"",SUM(COUNTIFS('11_25_12_01'!E:E,'11_25_12_01 Acc Rate'!C46,'11_25_12_01'!O:O,"*M*"),COUNTIFS('11_25_12_01'!E:E,'11_25_12_01 Acc Rate'!C46,'11_25_12_01'!R:R,"*M*")))</f>
        <v/>
      </c>
      <c r="T46" s="1" t="str">
        <f>IF(SUM(COUNTIFS('11_25_12_01'!E:E,'11_25_12_01 Acc Rate'!C46,'11_25_12_01'!P:P,"*E*"),COUNTIFS('11_25_12_01'!E:E,'11_25_12_01 Acc Rate'!C46,'11_25_12_01'!S:S,"*E*"))=0,"",SUM(COUNTIFS('11_25_12_01'!E:E,'11_25_12_01 Acc Rate'!C46,'11_25_12_01'!P:P,"*E*"),COUNTIFS('11_25_12_01'!E:E,'11_25_12_01 Acc Rate'!C46,'11_25_12_01'!S:S,"*E*")))</f>
        <v/>
      </c>
      <c r="U46" s="8" t="str">
        <f t="shared" si="1"/>
        <v/>
      </c>
    </row>
    <row r="47" spans="2:21" ht="15" customHeight="1" x14ac:dyDescent="0.25">
      <c r="B47" s="1" t="s">
        <v>2034</v>
      </c>
      <c r="C47" s="1" t="s">
        <v>848</v>
      </c>
      <c r="D47" s="1" t="s">
        <v>2035</v>
      </c>
      <c r="E47"/>
      <c r="F47" t="s">
        <v>2036</v>
      </c>
      <c r="G47" t="s">
        <v>2037</v>
      </c>
      <c r="H47" t="s">
        <v>583</v>
      </c>
      <c r="I47" t="s">
        <v>2038</v>
      </c>
      <c r="J47" t="s">
        <v>706</v>
      </c>
      <c r="K47" t="s">
        <v>700</v>
      </c>
      <c r="L47"/>
      <c r="M47">
        <v>1</v>
      </c>
      <c r="N47"/>
      <c r="O47"/>
      <c r="P47"/>
      <c r="Q47" s="7"/>
      <c r="R47" s="27" t="str">
        <f t="shared" si="0"/>
        <v/>
      </c>
      <c r="S47" s="27" t="str">
        <f>IF(SUM(COUNTIFS('11_25_12_01'!E:E,'11_25_12_01 Acc Rate'!C47,'11_25_12_01'!O:O,"*M*"),COUNTIFS('11_25_12_01'!E:E,'11_25_12_01 Acc Rate'!C47,'11_25_12_01'!R:R,"*M*"))=0,"",SUM(COUNTIFS('11_25_12_01'!E:E,'11_25_12_01 Acc Rate'!C47,'11_25_12_01'!O:O,"*M*"),COUNTIFS('11_25_12_01'!E:E,'11_25_12_01 Acc Rate'!C47,'11_25_12_01'!R:R,"*M*")))</f>
        <v/>
      </c>
      <c r="T47" s="1" t="str">
        <f>IF(SUM(COUNTIFS('11_25_12_01'!E:E,'11_25_12_01 Acc Rate'!C47,'11_25_12_01'!P:P,"*E*"),COUNTIFS('11_25_12_01'!E:E,'11_25_12_01 Acc Rate'!C47,'11_25_12_01'!S:S,"*E*"))=0,"",SUM(COUNTIFS('11_25_12_01'!E:E,'11_25_12_01 Acc Rate'!C47,'11_25_12_01'!P:P,"*E*"),COUNTIFS('11_25_12_01'!E:E,'11_25_12_01 Acc Rate'!C47,'11_25_12_01'!S:S,"*E*")))</f>
        <v/>
      </c>
      <c r="U47" s="8" t="str">
        <f t="shared" si="1"/>
        <v/>
      </c>
    </row>
    <row r="48" spans="2:21" ht="15" customHeight="1" x14ac:dyDescent="0.25">
      <c r="B48" s="1" t="s">
        <v>719</v>
      </c>
      <c r="C48" s="1" t="s">
        <v>556</v>
      </c>
      <c r="D48" s="1" t="s">
        <v>720</v>
      </c>
      <c r="E48"/>
      <c r="F48" t="s">
        <v>721</v>
      </c>
      <c r="G48" t="s">
        <v>722</v>
      </c>
      <c r="H48" t="s">
        <v>583</v>
      </c>
      <c r="I48" t="s">
        <v>723</v>
      </c>
      <c r="J48" t="s">
        <v>706</v>
      </c>
      <c r="K48" t="s">
        <v>700</v>
      </c>
      <c r="L48"/>
      <c r="M48">
        <v>1</v>
      </c>
      <c r="N48"/>
      <c r="O48"/>
      <c r="P48"/>
      <c r="Q48" s="7"/>
      <c r="R48" s="27" t="str">
        <f t="shared" si="0"/>
        <v/>
      </c>
      <c r="S48" s="27" t="str">
        <f>IF(SUM(COUNTIFS('11_25_12_01'!E:E,'11_25_12_01 Acc Rate'!C48,'11_25_12_01'!O:O,"*M*"),COUNTIFS('11_25_12_01'!E:E,'11_25_12_01 Acc Rate'!C48,'11_25_12_01'!R:R,"*M*"))=0,"",SUM(COUNTIFS('11_25_12_01'!E:E,'11_25_12_01 Acc Rate'!C48,'11_25_12_01'!O:O,"*M*"),COUNTIFS('11_25_12_01'!E:E,'11_25_12_01 Acc Rate'!C48,'11_25_12_01'!R:R,"*M*")))</f>
        <v/>
      </c>
      <c r="T48" s="1" t="str">
        <f>IF(SUM(COUNTIFS('11_25_12_01'!E:E,'11_25_12_01 Acc Rate'!C48,'11_25_12_01'!P:P,"*E*"),COUNTIFS('11_25_12_01'!E:E,'11_25_12_01 Acc Rate'!C48,'11_25_12_01'!S:S,"*E*"))=0,"",SUM(COUNTIFS('11_25_12_01'!E:E,'11_25_12_01 Acc Rate'!C48,'11_25_12_01'!P:P,"*E*"),COUNTIFS('11_25_12_01'!E:E,'11_25_12_01 Acc Rate'!C48,'11_25_12_01'!S:S,"*E*")))</f>
        <v/>
      </c>
      <c r="U48" s="8"/>
    </row>
    <row r="49" spans="5:21" ht="15" customHeight="1" x14ac:dyDescent="0.25">
      <c r="E49"/>
      <c r="F49"/>
      <c r="G49"/>
      <c r="H49"/>
      <c r="I49"/>
      <c r="J49"/>
      <c r="K49"/>
      <c r="L49"/>
      <c r="M49" t="s">
        <v>724</v>
      </c>
      <c r="N49"/>
      <c r="O49"/>
      <c r="P49"/>
      <c r="Q49" s="1">
        <f>SUM(Q3:Q47)</f>
        <v>0</v>
      </c>
      <c r="R49" s="27">
        <f>SUM(R3:R47)</f>
        <v>-8</v>
      </c>
      <c r="S49" s="27">
        <f>SUM(S3:S47)</f>
        <v>5</v>
      </c>
      <c r="T49" s="1">
        <f>SUM(T3:T47)</f>
        <v>3</v>
      </c>
      <c r="U49" s="2">
        <f>IFERROR(SUM(S48*8+T48*2)/Q48,0)</f>
        <v>0</v>
      </c>
    </row>
    <row r="50" spans="5:21" ht="15" customHeight="1" x14ac:dyDescent="0.25">
      <c r="E50"/>
      <c r="F50"/>
      <c r="G50"/>
      <c r="H50"/>
      <c r="I50"/>
      <c r="J50"/>
      <c r="K50"/>
      <c r="L50"/>
      <c r="M50"/>
      <c r="N50"/>
      <c r="O50"/>
      <c r="P50"/>
    </row>
  </sheetData>
  <mergeCells count="3">
    <mergeCell ref="W3:X3"/>
    <mergeCell ref="W7:X7"/>
    <mergeCell ref="W8:X8"/>
  </mergeCells>
  <conditionalFormatting sqref="B1:P1048576">
    <cfRule type="expression" dxfId="98" priority="6">
      <formula>$H1="Service Center"</formula>
    </cfRule>
    <cfRule type="expression" dxfId="97" priority="7">
      <formula>$H1="COBRA"</formula>
    </cfRule>
    <cfRule type="expression" dxfId="96" priority="8">
      <formula>$H1="Claims"</formula>
    </cfRule>
  </conditionalFormatting>
  <conditionalFormatting sqref="B1:U1048576">
    <cfRule type="expression" dxfId="95" priority="4">
      <formula>NOT(ISBLANK($B1))</formula>
    </cfRule>
    <cfRule type="expression" dxfId="94" priority="5">
      <formula>AND($H1="Service Center",$M1=15)</formula>
    </cfRule>
    <cfRule type="expression" dxfId="93" priority="9">
      <formula>$B1="Full Name"</formula>
    </cfRule>
    <cfRule type="expression" dxfId="92" priority="10">
      <formula>$M1="Totals"</formula>
    </cfRule>
  </conditionalFormatting>
  <conditionalFormatting sqref="Q2">
    <cfRule type="expression" dxfId="91" priority="1">
      <formula>$H2="Service Center"</formula>
    </cfRule>
    <cfRule type="expression" dxfId="90" priority="2">
      <formula>$H2="COBRA"</formula>
    </cfRule>
    <cfRule type="expression" dxfId="89" priority="3">
      <formula>$H2="Claims"</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855E55-B198-479F-980E-F9C4C53CD890}">
  <dimension ref="A1:U197"/>
  <sheetViews>
    <sheetView topLeftCell="A177" workbookViewId="0">
      <selection activeCell="N79" sqref="N79"/>
    </sheetView>
  </sheetViews>
  <sheetFormatPr defaultRowHeight="15" x14ac:dyDescent="0.25"/>
  <cols>
    <col min="1" max="1" width="7.5703125" customWidth="1"/>
    <col min="2" max="2" width="10.5703125" customWidth="1"/>
    <col min="3" max="4" width="7.5703125" customWidth="1"/>
    <col min="5" max="6" width="15.7109375" customWidth="1"/>
    <col min="7" max="7" width="30.7109375" customWidth="1"/>
    <col min="8" max="9" width="15.7109375" customWidth="1"/>
    <col min="10" max="12" width="10.7109375" customWidth="1"/>
    <col min="13" max="13" width="13.7109375" style="21" customWidth="1"/>
    <col min="14" max="14" width="12.7109375" customWidth="1"/>
    <col min="15" max="16" width="10.7109375" customWidth="1"/>
    <col min="17" max="17" width="30.7109375" customWidth="1"/>
    <col min="18" max="19" width="17.7109375" customWidth="1"/>
    <col min="20" max="20" width="30.7109375" customWidth="1"/>
    <col min="21" max="21" width="8.7109375" customWidth="1"/>
  </cols>
  <sheetData>
    <row r="1" spans="1:21" ht="38.25" x14ac:dyDescent="0.25">
      <c r="A1" s="42" t="s">
        <v>0</v>
      </c>
      <c r="B1" s="42" t="s">
        <v>1</v>
      </c>
      <c r="C1" s="42" t="s">
        <v>2</v>
      </c>
      <c r="D1" s="42" t="s">
        <v>3</v>
      </c>
      <c r="E1" s="42" t="s">
        <v>4</v>
      </c>
      <c r="F1" s="42" t="s">
        <v>5</v>
      </c>
      <c r="G1" s="42" t="s">
        <v>6</v>
      </c>
      <c r="H1" s="42" t="s">
        <v>7</v>
      </c>
      <c r="I1" s="42" t="s">
        <v>8</v>
      </c>
      <c r="J1" s="42" t="s">
        <v>9</v>
      </c>
      <c r="K1" s="42" t="s">
        <v>10</v>
      </c>
      <c r="L1" s="42" t="s">
        <v>11</v>
      </c>
      <c r="M1" s="43" t="s">
        <v>12</v>
      </c>
      <c r="N1" s="42" t="s">
        <v>13</v>
      </c>
      <c r="O1" s="42" t="s">
        <v>14</v>
      </c>
      <c r="P1" s="42" t="s">
        <v>15</v>
      </c>
      <c r="Q1" s="42" t="s">
        <v>16</v>
      </c>
      <c r="R1" s="42" t="s">
        <v>17</v>
      </c>
      <c r="S1" s="42" t="s">
        <v>18</v>
      </c>
      <c r="T1" s="42" t="s">
        <v>16</v>
      </c>
      <c r="U1" s="44" t="s">
        <v>19</v>
      </c>
    </row>
    <row r="2" spans="1:21" ht="25.5" x14ac:dyDescent="0.25">
      <c r="A2" s="45" t="s">
        <v>29</v>
      </c>
      <c r="B2" s="46">
        <v>45762</v>
      </c>
      <c r="C2" s="45" t="s">
        <v>168</v>
      </c>
      <c r="D2" s="47" t="s">
        <v>352</v>
      </c>
      <c r="E2" s="45" t="s">
        <v>563</v>
      </c>
      <c r="F2" s="45" t="s">
        <v>564</v>
      </c>
      <c r="G2" s="45" t="s">
        <v>2180</v>
      </c>
      <c r="H2" s="45" t="s">
        <v>1096</v>
      </c>
      <c r="I2" s="45" t="s">
        <v>2408</v>
      </c>
      <c r="J2" s="45">
        <v>118729334</v>
      </c>
      <c r="K2" s="45" t="s">
        <v>1702</v>
      </c>
      <c r="L2" s="48">
        <v>200</v>
      </c>
      <c r="M2" s="49">
        <v>20241206773</v>
      </c>
      <c r="N2" s="50" t="s">
        <v>28</v>
      </c>
      <c r="O2" s="50"/>
      <c r="P2" s="50"/>
      <c r="Q2" s="51"/>
      <c r="R2" s="50"/>
      <c r="S2" s="50"/>
      <c r="T2" s="51"/>
      <c r="U2" s="50"/>
    </row>
    <row r="3" spans="1:21" x14ac:dyDescent="0.25">
      <c r="A3" s="45" t="s">
        <v>20</v>
      </c>
      <c r="B3" s="46">
        <v>45762</v>
      </c>
      <c r="C3" s="45" t="s">
        <v>168</v>
      </c>
      <c r="D3" s="47" t="s">
        <v>352</v>
      </c>
      <c r="E3" s="45" t="s">
        <v>563</v>
      </c>
      <c r="F3" s="45" t="s">
        <v>564</v>
      </c>
      <c r="G3" s="45" t="s">
        <v>178</v>
      </c>
      <c r="H3" s="45" t="s">
        <v>2409</v>
      </c>
      <c r="I3" s="45" t="s">
        <v>2410</v>
      </c>
      <c r="J3" s="45">
        <v>474114744</v>
      </c>
      <c r="K3" s="45" t="s">
        <v>1347</v>
      </c>
      <c r="L3" s="48">
        <v>1041.04</v>
      </c>
      <c r="M3" s="49">
        <v>20241206790</v>
      </c>
      <c r="N3" s="50" t="s">
        <v>28</v>
      </c>
      <c r="O3" s="50"/>
      <c r="P3" s="50"/>
      <c r="Q3" s="51"/>
      <c r="R3" s="50"/>
      <c r="S3" s="50"/>
      <c r="T3" s="51"/>
      <c r="U3" s="50"/>
    </row>
    <row r="4" spans="1:21" ht="25.5" x14ac:dyDescent="0.25">
      <c r="A4" s="45" t="s">
        <v>314</v>
      </c>
      <c r="B4" s="46">
        <v>45762</v>
      </c>
      <c r="C4" s="45" t="s">
        <v>168</v>
      </c>
      <c r="D4" s="47" t="s">
        <v>352</v>
      </c>
      <c r="E4" s="45" t="s">
        <v>679</v>
      </c>
      <c r="F4" s="45" t="s">
        <v>680</v>
      </c>
      <c r="G4" s="45" t="s">
        <v>798</v>
      </c>
      <c r="H4" s="45" t="s">
        <v>2411</v>
      </c>
      <c r="I4" s="45" t="s">
        <v>2412</v>
      </c>
      <c r="J4" s="45">
        <v>767890505</v>
      </c>
      <c r="K4" s="45" t="s">
        <v>1358</v>
      </c>
      <c r="L4" s="48">
        <v>280</v>
      </c>
      <c r="M4" s="49">
        <v>202412031024</v>
      </c>
      <c r="N4" s="50" t="s">
        <v>28</v>
      </c>
      <c r="O4" s="50"/>
      <c r="P4" s="50"/>
      <c r="Q4" s="51"/>
      <c r="R4" s="50"/>
      <c r="S4" s="50"/>
      <c r="T4" s="51"/>
      <c r="U4" s="50"/>
    </row>
    <row r="5" spans="1:21" x14ac:dyDescent="0.25">
      <c r="A5" s="45" t="s">
        <v>29</v>
      </c>
      <c r="B5" s="46">
        <v>45762</v>
      </c>
      <c r="C5" s="45" t="s">
        <v>168</v>
      </c>
      <c r="D5" s="47" t="s">
        <v>352</v>
      </c>
      <c r="E5" s="45" t="s">
        <v>22</v>
      </c>
      <c r="F5" s="45" t="s">
        <v>23</v>
      </c>
      <c r="G5" s="45" t="s">
        <v>178</v>
      </c>
      <c r="H5" s="45" t="s">
        <v>1970</v>
      </c>
      <c r="I5" s="45" t="s">
        <v>829</v>
      </c>
      <c r="J5" s="45">
        <v>40808295</v>
      </c>
      <c r="K5" s="45" t="s">
        <v>27</v>
      </c>
      <c r="L5" s="48">
        <v>4600</v>
      </c>
      <c r="M5" s="49">
        <v>202412021568</v>
      </c>
      <c r="N5" s="50" t="s">
        <v>28</v>
      </c>
      <c r="O5" s="50"/>
      <c r="P5" s="50"/>
      <c r="Q5" s="51"/>
      <c r="R5" s="50"/>
      <c r="S5" s="50"/>
      <c r="T5" s="51"/>
      <c r="U5" s="50"/>
    </row>
    <row r="6" spans="1:21" x14ac:dyDescent="0.25">
      <c r="A6" s="45" t="s">
        <v>29</v>
      </c>
      <c r="B6" s="46">
        <v>45762</v>
      </c>
      <c r="C6" s="45" t="s">
        <v>168</v>
      </c>
      <c r="D6" s="47" t="s">
        <v>352</v>
      </c>
      <c r="E6" s="45" t="s">
        <v>22</v>
      </c>
      <c r="F6" s="45" t="s">
        <v>23</v>
      </c>
      <c r="G6" s="45" t="s">
        <v>178</v>
      </c>
      <c r="H6" s="45" t="s">
        <v>1970</v>
      </c>
      <c r="I6" s="45" t="s">
        <v>829</v>
      </c>
      <c r="J6" s="45">
        <v>40808295</v>
      </c>
      <c r="K6" s="45" t="s">
        <v>27</v>
      </c>
      <c r="L6" s="48">
        <v>4600</v>
      </c>
      <c r="M6" s="49">
        <v>202412021568</v>
      </c>
      <c r="N6" s="50" t="s">
        <v>28</v>
      </c>
      <c r="O6" s="50"/>
      <c r="P6" s="50"/>
      <c r="Q6" s="51"/>
      <c r="R6" s="50"/>
      <c r="S6" s="50"/>
      <c r="T6" s="51"/>
      <c r="U6" s="50"/>
    </row>
    <row r="7" spans="1:21" x14ac:dyDescent="0.25">
      <c r="A7" s="45" t="s">
        <v>20</v>
      </c>
      <c r="B7" s="46">
        <v>45762</v>
      </c>
      <c r="C7" s="45" t="s">
        <v>168</v>
      </c>
      <c r="D7" s="47" t="s">
        <v>352</v>
      </c>
      <c r="E7" s="45" t="s">
        <v>22</v>
      </c>
      <c r="F7" s="45" t="s">
        <v>23</v>
      </c>
      <c r="G7" s="45" t="s">
        <v>30</v>
      </c>
      <c r="H7" s="45" t="s">
        <v>2413</v>
      </c>
      <c r="I7" s="45" t="s">
        <v>2414</v>
      </c>
      <c r="J7" s="45">
        <v>42643456</v>
      </c>
      <c r="K7" s="45" t="s">
        <v>2142</v>
      </c>
      <c r="L7" s="48">
        <v>15</v>
      </c>
      <c r="M7" s="49">
        <v>202412021612</v>
      </c>
      <c r="N7" s="50" t="s">
        <v>28</v>
      </c>
      <c r="O7" s="50"/>
      <c r="P7" s="50"/>
      <c r="Q7" s="51"/>
      <c r="R7" s="50"/>
      <c r="S7" s="50"/>
      <c r="T7" s="51"/>
      <c r="U7" s="50"/>
    </row>
    <row r="8" spans="1:21" x14ac:dyDescent="0.25">
      <c r="A8" s="45" t="s">
        <v>20</v>
      </c>
      <c r="B8" s="46">
        <v>45762</v>
      </c>
      <c r="C8" s="45" t="s">
        <v>168</v>
      </c>
      <c r="D8" s="47" t="s">
        <v>352</v>
      </c>
      <c r="E8" s="45" t="s">
        <v>22</v>
      </c>
      <c r="F8" s="45" t="s">
        <v>23</v>
      </c>
      <c r="G8" s="45" t="s">
        <v>30</v>
      </c>
      <c r="H8" s="45" t="s">
        <v>2413</v>
      </c>
      <c r="I8" s="45" t="s">
        <v>2414</v>
      </c>
      <c r="J8" s="45">
        <v>42643456</v>
      </c>
      <c r="K8" s="45" t="s">
        <v>2142</v>
      </c>
      <c r="L8" s="48">
        <v>15</v>
      </c>
      <c r="M8" s="49">
        <v>202412021612</v>
      </c>
      <c r="N8" s="50" t="s">
        <v>28</v>
      </c>
      <c r="O8" s="50"/>
      <c r="P8" s="50"/>
      <c r="Q8" s="51"/>
      <c r="R8" s="50"/>
      <c r="S8" s="50"/>
      <c r="T8" s="51"/>
      <c r="U8" s="50"/>
    </row>
    <row r="9" spans="1:21" x14ac:dyDescent="0.25">
      <c r="A9" s="45" t="s">
        <v>20</v>
      </c>
      <c r="B9" s="46">
        <v>45762</v>
      </c>
      <c r="C9" s="45" t="s">
        <v>168</v>
      </c>
      <c r="D9" s="47" t="s">
        <v>352</v>
      </c>
      <c r="E9" s="45" t="s">
        <v>22</v>
      </c>
      <c r="F9" s="45" t="s">
        <v>23</v>
      </c>
      <c r="G9" s="45" t="s">
        <v>30</v>
      </c>
      <c r="H9" s="45" t="s">
        <v>2413</v>
      </c>
      <c r="I9" s="45" t="s">
        <v>2414</v>
      </c>
      <c r="J9" s="45">
        <v>42643456</v>
      </c>
      <c r="K9" s="45" t="s">
        <v>59</v>
      </c>
      <c r="L9" s="48">
        <v>30</v>
      </c>
      <c r="M9" s="49">
        <v>202412021635</v>
      </c>
      <c r="N9" s="50" t="s">
        <v>28</v>
      </c>
      <c r="O9" s="50"/>
      <c r="P9" s="50"/>
      <c r="Q9" s="51"/>
      <c r="R9" s="50"/>
      <c r="S9" s="50"/>
      <c r="T9" s="51"/>
      <c r="U9" s="50"/>
    </row>
    <row r="10" spans="1:21" x14ac:dyDescent="0.25">
      <c r="A10" s="45" t="s">
        <v>29</v>
      </c>
      <c r="B10" s="46">
        <v>45762</v>
      </c>
      <c r="C10" s="45" t="s">
        <v>168</v>
      </c>
      <c r="D10" s="47" t="s">
        <v>352</v>
      </c>
      <c r="E10" s="45" t="s">
        <v>22</v>
      </c>
      <c r="F10" s="45" t="s">
        <v>23</v>
      </c>
      <c r="G10" s="45" t="s">
        <v>1099</v>
      </c>
      <c r="H10" s="45" t="s">
        <v>870</v>
      </c>
      <c r="I10" s="45" t="s">
        <v>2415</v>
      </c>
      <c r="J10" s="45">
        <v>46648517</v>
      </c>
      <c r="K10" s="45" t="s">
        <v>237</v>
      </c>
      <c r="L10" s="48">
        <v>244</v>
      </c>
      <c r="M10" s="49">
        <v>20241113667</v>
      </c>
      <c r="N10" s="50" t="s">
        <v>28</v>
      </c>
      <c r="O10" s="50"/>
      <c r="P10" s="50"/>
      <c r="Q10" s="51"/>
      <c r="R10" s="50"/>
      <c r="S10" s="50"/>
      <c r="T10" s="51"/>
      <c r="U10" s="50"/>
    </row>
    <row r="11" spans="1:21" x14ac:dyDescent="0.25">
      <c r="A11" s="45" t="s">
        <v>29</v>
      </c>
      <c r="B11" s="46">
        <v>45762</v>
      </c>
      <c r="C11" s="45" t="s">
        <v>168</v>
      </c>
      <c r="D11" s="47" t="s">
        <v>352</v>
      </c>
      <c r="E11" s="45" t="s">
        <v>22</v>
      </c>
      <c r="F11" s="45" t="s">
        <v>23</v>
      </c>
      <c r="G11" s="45" t="s">
        <v>1099</v>
      </c>
      <c r="H11" s="45" t="s">
        <v>870</v>
      </c>
      <c r="I11" s="45" t="s">
        <v>2415</v>
      </c>
      <c r="J11" s="45">
        <v>46648517</v>
      </c>
      <c r="K11" s="45" t="s">
        <v>972</v>
      </c>
      <c r="L11" s="48">
        <v>244</v>
      </c>
      <c r="M11" s="49">
        <v>20241113668</v>
      </c>
      <c r="N11" s="50" t="s">
        <v>28</v>
      </c>
      <c r="O11" s="50"/>
      <c r="P11" s="50"/>
      <c r="Q11" s="51"/>
      <c r="R11" s="50"/>
      <c r="S11" s="50"/>
      <c r="T11" s="51"/>
      <c r="U11" s="50"/>
    </row>
    <row r="12" spans="1:21" x14ac:dyDescent="0.25">
      <c r="A12" s="45" t="s">
        <v>29</v>
      </c>
      <c r="B12" s="46">
        <v>45762</v>
      </c>
      <c r="C12" s="45" t="s">
        <v>244</v>
      </c>
      <c r="D12" s="47" t="s">
        <v>352</v>
      </c>
      <c r="E12" s="45" t="s">
        <v>22</v>
      </c>
      <c r="F12" s="45" t="s">
        <v>23</v>
      </c>
      <c r="G12" s="45" t="s">
        <v>1099</v>
      </c>
      <c r="H12" s="45" t="s">
        <v>870</v>
      </c>
      <c r="I12" s="45" t="s">
        <v>2415</v>
      </c>
      <c r="J12" s="45">
        <v>46648517</v>
      </c>
      <c r="K12" s="45" t="s">
        <v>422</v>
      </c>
      <c r="L12" s="48">
        <v>244</v>
      </c>
      <c r="M12" s="49">
        <v>20241113669</v>
      </c>
      <c r="N12" s="50" t="s">
        <v>28</v>
      </c>
      <c r="O12" s="50"/>
      <c r="P12" s="50"/>
      <c r="Q12" s="51"/>
      <c r="R12" s="50"/>
      <c r="S12" s="50"/>
      <c r="T12" s="51"/>
      <c r="U12" s="50"/>
    </row>
    <row r="13" spans="1:21" x14ac:dyDescent="0.25">
      <c r="A13" s="45" t="s">
        <v>29</v>
      </c>
      <c r="B13" s="46">
        <v>45762</v>
      </c>
      <c r="C13" s="45" t="s">
        <v>244</v>
      </c>
      <c r="D13" s="47" t="s">
        <v>352</v>
      </c>
      <c r="E13" s="45" t="s">
        <v>22</v>
      </c>
      <c r="F13" s="45" t="s">
        <v>23</v>
      </c>
      <c r="G13" s="45" t="s">
        <v>1099</v>
      </c>
      <c r="H13" s="45" t="s">
        <v>870</v>
      </c>
      <c r="I13" s="45" t="s">
        <v>2415</v>
      </c>
      <c r="J13" s="45">
        <v>46648517</v>
      </c>
      <c r="K13" s="45" t="s">
        <v>318</v>
      </c>
      <c r="L13" s="48">
        <v>244</v>
      </c>
      <c r="M13" s="49">
        <v>20241113670</v>
      </c>
      <c r="N13" s="50" t="s">
        <v>28</v>
      </c>
      <c r="O13" s="50"/>
      <c r="P13" s="50"/>
      <c r="Q13" s="51"/>
      <c r="R13" s="50"/>
      <c r="S13" s="50"/>
      <c r="T13" s="51"/>
      <c r="U13" s="50"/>
    </row>
    <row r="14" spans="1:21" x14ac:dyDescent="0.25">
      <c r="A14" s="45" t="s">
        <v>29</v>
      </c>
      <c r="B14" s="46">
        <v>45762</v>
      </c>
      <c r="C14" s="45" t="s">
        <v>244</v>
      </c>
      <c r="D14" s="47" t="s">
        <v>352</v>
      </c>
      <c r="E14" s="45" t="s">
        <v>22</v>
      </c>
      <c r="F14" s="45" t="s">
        <v>23</v>
      </c>
      <c r="G14" s="45" t="s">
        <v>1099</v>
      </c>
      <c r="H14" s="45" t="s">
        <v>870</v>
      </c>
      <c r="I14" s="45" t="s">
        <v>2415</v>
      </c>
      <c r="J14" s="45">
        <v>46648517</v>
      </c>
      <c r="K14" s="45" t="s">
        <v>241</v>
      </c>
      <c r="L14" s="48">
        <v>244</v>
      </c>
      <c r="M14" s="49">
        <v>20241113671</v>
      </c>
      <c r="N14" s="50" t="s">
        <v>28</v>
      </c>
      <c r="O14" s="50"/>
      <c r="P14" s="50"/>
      <c r="Q14" s="51"/>
      <c r="R14" s="50"/>
      <c r="S14" s="50"/>
      <c r="T14" s="51"/>
      <c r="U14" s="50"/>
    </row>
    <row r="15" spans="1:21" x14ac:dyDescent="0.25">
      <c r="A15" s="45" t="s">
        <v>29</v>
      </c>
      <c r="B15" s="46">
        <v>45762</v>
      </c>
      <c r="C15" s="45" t="s">
        <v>244</v>
      </c>
      <c r="D15" s="47" t="s">
        <v>352</v>
      </c>
      <c r="E15" s="45" t="s">
        <v>22</v>
      </c>
      <c r="F15" s="45" t="s">
        <v>23</v>
      </c>
      <c r="G15" s="45" t="s">
        <v>1099</v>
      </c>
      <c r="H15" s="45" t="s">
        <v>870</v>
      </c>
      <c r="I15" s="45" t="s">
        <v>2415</v>
      </c>
      <c r="J15" s="45">
        <v>46648517</v>
      </c>
      <c r="K15" s="45" t="s">
        <v>978</v>
      </c>
      <c r="L15" s="48">
        <v>244</v>
      </c>
      <c r="M15" s="49">
        <v>20241113672</v>
      </c>
      <c r="N15" s="50" t="s">
        <v>28</v>
      </c>
      <c r="O15" s="50"/>
      <c r="P15" s="50"/>
      <c r="Q15" s="51"/>
      <c r="R15" s="50"/>
      <c r="S15" s="50"/>
      <c r="T15" s="51"/>
      <c r="U15" s="50"/>
    </row>
    <row r="16" spans="1:21" x14ac:dyDescent="0.25">
      <c r="A16" s="45" t="s">
        <v>314</v>
      </c>
      <c r="B16" s="46">
        <v>45762</v>
      </c>
      <c r="C16" s="45" t="s">
        <v>244</v>
      </c>
      <c r="D16" s="47" t="s">
        <v>352</v>
      </c>
      <c r="E16" s="45" t="s">
        <v>22</v>
      </c>
      <c r="F16" s="45" t="s">
        <v>23</v>
      </c>
      <c r="G16" s="45" t="s">
        <v>131</v>
      </c>
      <c r="H16" s="45" t="s">
        <v>2416</v>
      </c>
      <c r="I16" s="45" t="s">
        <v>2417</v>
      </c>
      <c r="J16" s="45">
        <v>49193988</v>
      </c>
      <c r="K16" s="45" t="s">
        <v>2418</v>
      </c>
      <c r="L16" s="48">
        <v>160</v>
      </c>
      <c r="M16" s="49">
        <v>20241203712</v>
      </c>
      <c r="N16" s="50" t="s">
        <v>28</v>
      </c>
      <c r="O16" s="50"/>
      <c r="P16" s="50"/>
      <c r="Q16" s="51"/>
      <c r="R16" s="50"/>
      <c r="S16" s="50"/>
      <c r="T16" s="51"/>
      <c r="U16" s="50"/>
    </row>
    <row r="17" spans="1:21" x14ac:dyDescent="0.25">
      <c r="A17" s="45" t="s">
        <v>70</v>
      </c>
      <c r="B17" s="46">
        <v>45762</v>
      </c>
      <c r="C17" s="45" t="s">
        <v>244</v>
      </c>
      <c r="D17" s="47" t="s">
        <v>352</v>
      </c>
      <c r="E17" s="45" t="s">
        <v>22</v>
      </c>
      <c r="F17" s="45" t="s">
        <v>23</v>
      </c>
      <c r="G17" s="45" t="s">
        <v>178</v>
      </c>
      <c r="H17" s="45" t="s">
        <v>1873</v>
      </c>
      <c r="I17" s="45" t="s">
        <v>2419</v>
      </c>
      <c r="J17" s="45">
        <v>51627619</v>
      </c>
      <c r="K17" s="45" t="s">
        <v>1358</v>
      </c>
      <c r="L17" s="48">
        <v>195</v>
      </c>
      <c r="M17" s="49">
        <v>202412021149</v>
      </c>
      <c r="N17" s="50" t="s">
        <v>28</v>
      </c>
      <c r="O17" s="50"/>
      <c r="P17" s="50"/>
      <c r="Q17" s="51"/>
      <c r="R17" s="50"/>
      <c r="S17" s="50"/>
      <c r="T17" s="51"/>
      <c r="U17" s="50"/>
    </row>
    <row r="18" spans="1:21" x14ac:dyDescent="0.25">
      <c r="A18" s="45" t="s">
        <v>70</v>
      </c>
      <c r="B18" s="46">
        <v>45762</v>
      </c>
      <c r="C18" s="45" t="s">
        <v>244</v>
      </c>
      <c r="D18" s="47" t="s">
        <v>352</v>
      </c>
      <c r="E18" s="45" t="s">
        <v>22</v>
      </c>
      <c r="F18" s="45" t="s">
        <v>23</v>
      </c>
      <c r="G18" s="45" t="s">
        <v>178</v>
      </c>
      <c r="H18" s="45" t="s">
        <v>1873</v>
      </c>
      <c r="I18" s="45" t="s">
        <v>2419</v>
      </c>
      <c r="J18" s="45">
        <v>51627619</v>
      </c>
      <c r="K18" s="45" t="s">
        <v>2372</v>
      </c>
      <c r="L18" s="48">
        <v>195</v>
      </c>
      <c r="M18" s="49">
        <v>202412021195</v>
      </c>
      <c r="N18" s="50" t="s">
        <v>28</v>
      </c>
      <c r="O18" s="50"/>
      <c r="P18" s="50"/>
      <c r="Q18" s="51"/>
      <c r="R18" s="50"/>
      <c r="S18" s="50"/>
      <c r="T18" s="51"/>
      <c r="U18" s="50"/>
    </row>
    <row r="19" spans="1:21" x14ac:dyDescent="0.25">
      <c r="A19" s="45" t="s">
        <v>20</v>
      </c>
      <c r="B19" s="46">
        <v>45762</v>
      </c>
      <c r="C19" s="45" t="s">
        <v>244</v>
      </c>
      <c r="D19" s="47" t="s">
        <v>352</v>
      </c>
      <c r="E19" s="45" t="s">
        <v>22</v>
      </c>
      <c r="F19" s="45" t="s">
        <v>23</v>
      </c>
      <c r="G19" s="45" t="s">
        <v>2420</v>
      </c>
      <c r="H19" s="45" t="s">
        <v>1172</v>
      </c>
      <c r="I19" s="45" t="s">
        <v>2421</v>
      </c>
      <c r="J19" s="45">
        <v>53888389</v>
      </c>
      <c r="K19" s="45" t="s">
        <v>213</v>
      </c>
      <c r="L19" s="48">
        <v>100</v>
      </c>
      <c r="M19" s="49">
        <v>202412021092</v>
      </c>
      <c r="N19" s="50" t="s">
        <v>28</v>
      </c>
      <c r="O19" s="50"/>
      <c r="P19" s="50"/>
      <c r="Q19" s="51"/>
      <c r="R19" s="50"/>
      <c r="S19" s="50"/>
      <c r="T19" s="51"/>
      <c r="U19" s="50"/>
    </row>
    <row r="20" spans="1:21" x14ac:dyDescent="0.25">
      <c r="A20" s="45" t="s">
        <v>20</v>
      </c>
      <c r="B20" s="46">
        <v>45762</v>
      </c>
      <c r="C20" s="45" t="s">
        <v>244</v>
      </c>
      <c r="D20" s="47" t="s">
        <v>352</v>
      </c>
      <c r="E20" s="45" t="s">
        <v>64</v>
      </c>
      <c r="F20" s="45" t="s">
        <v>65</v>
      </c>
      <c r="G20" s="45" t="s">
        <v>298</v>
      </c>
      <c r="H20" s="45" t="s">
        <v>2422</v>
      </c>
      <c r="I20" s="45" t="s">
        <v>2423</v>
      </c>
      <c r="J20" s="45">
        <v>2924</v>
      </c>
      <c r="K20" s="45" t="s">
        <v>2424</v>
      </c>
      <c r="L20" s="48">
        <v>131.52000000000001</v>
      </c>
      <c r="M20" s="49">
        <v>20241202635</v>
      </c>
      <c r="N20" s="50" t="s">
        <v>28</v>
      </c>
      <c r="O20" s="50"/>
      <c r="P20" s="50"/>
      <c r="Q20" s="51"/>
      <c r="R20" s="50"/>
      <c r="S20" s="50"/>
      <c r="T20" s="51"/>
      <c r="U20" s="50"/>
    </row>
    <row r="21" spans="1:21" x14ac:dyDescent="0.25">
      <c r="A21" s="45" t="s">
        <v>20</v>
      </c>
      <c r="B21" s="46">
        <v>45762</v>
      </c>
      <c r="C21" s="45" t="s">
        <v>244</v>
      </c>
      <c r="D21" s="47" t="s">
        <v>352</v>
      </c>
      <c r="E21" s="45" t="s">
        <v>64</v>
      </c>
      <c r="F21" s="45" t="s">
        <v>65</v>
      </c>
      <c r="G21" s="45" t="s">
        <v>298</v>
      </c>
      <c r="H21" s="45" t="s">
        <v>2422</v>
      </c>
      <c r="I21" s="45" t="s">
        <v>2423</v>
      </c>
      <c r="J21" s="45">
        <v>2924</v>
      </c>
      <c r="K21" s="45" t="s">
        <v>1197</v>
      </c>
      <c r="L21" s="48">
        <v>29.76</v>
      </c>
      <c r="M21" s="49">
        <v>20241202668</v>
      </c>
      <c r="N21" s="50" t="s">
        <v>28</v>
      </c>
      <c r="O21" s="50"/>
      <c r="P21" s="50"/>
      <c r="Q21" s="51"/>
      <c r="R21" s="50"/>
      <c r="S21" s="50"/>
      <c r="T21" s="51"/>
      <c r="U21" s="50"/>
    </row>
    <row r="22" spans="1:21" x14ac:dyDescent="0.25">
      <c r="A22" s="45" t="s">
        <v>20</v>
      </c>
      <c r="B22" s="46">
        <v>45762</v>
      </c>
      <c r="C22" s="45" t="s">
        <v>244</v>
      </c>
      <c r="D22" s="47" t="s">
        <v>352</v>
      </c>
      <c r="E22" s="45" t="s">
        <v>64</v>
      </c>
      <c r="F22" s="45" t="s">
        <v>65</v>
      </c>
      <c r="G22" s="45" t="s">
        <v>298</v>
      </c>
      <c r="H22" s="45" t="s">
        <v>2422</v>
      </c>
      <c r="I22" s="45" t="s">
        <v>2423</v>
      </c>
      <c r="J22" s="45">
        <v>2924</v>
      </c>
      <c r="K22" s="45" t="s">
        <v>2425</v>
      </c>
      <c r="L22" s="48">
        <v>30.01</v>
      </c>
      <c r="M22" s="49">
        <v>20241202739</v>
      </c>
      <c r="N22" s="50" t="s">
        <v>28</v>
      </c>
      <c r="O22" s="50"/>
      <c r="P22" s="50"/>
      <c r="Q22" s="51"/>
      <c r="R22" s="50"/>
      <c r="S22" s="50"/>
      <c r="T22" s="51"/>
      <c r="U22" s="50"/>
    </row>
    <row r="23" spans="1:21" x14ac:dyDescent="0.25">
      <c r="A23" s="45" t="s">
        <v>20</v>
      </c>
      <c r="B23" s="46">
        <v>45762</v>
      </c>
      <c r="C23" s="45" t="s">
        <v>244</v>
      </c>
      <c r="D23" s="47" t="s">
        <v>352</v>
      </c>
      <c r="E23" s="45" t="s">
        <v>64</v>
      </c>
      <c r="F23" s="45" t="s">
        <v>65</v>
      </c>
      <c r="G23" s="45" t="s">
        <v>949</v>
      </c>
      <c r="H23" s="45" t="s">
        <v>2426</v>
      </c>
      <c r="I23" s="45" t="s">
        <v>2427</v>
      </c>
      <c r="J23" s="45">
        <v>646332316</v>
      </c>
      <c r="K23" s="45" t="s">
        <v>282</v>
      </c>
      <c r="L23" s="48">
        <v>19.88</v>
      </c>
      <c r="M23" s="49">
        <v>20241203612</v>
      </c>
      <c r="N23" s="50" t="s">
        <v>28</v>
      </c>
      <c r="O23" s="50"/>
      <c r="P23" s="50"/>
      <c r="Q23" s="51"/>
      <c r="R23" s="50"/>
      <c r="S23" s="50"/>
      <c r="T23" s="51"/>
      <c r="U23" s="50"/>
    </row>
    <row r="24" spans="1:21" x14ac:dyDescent="0.25">
      <c r="A24" s="45" t="s">
        <v>20</v>
      </c>
      <c r="B24" s="46">
        <v>45762</v>
      </c>
      <c r="C24" s="45" t="s">
        <v>244</v>
      </c>
      <c r="D24" s="47" t="s">
        <v>352</v>
      </c>
      <c r="E24" s="45" t="s">
        <v>64</v>
      </c>
      <c r="F24" s="45" t="s">
        <v>65</v>
      </c>
      <c r="G24" s="45" t="s">
        <v>949</v>
      </c>
      <c r="H24" s="45" t="s">
        <v>2426</v>
      </c>
      <c r="I24" s="45" t="s">
        <v>2427</v>
      </c>
      <c r="J24" s="45">
        <v>646332316</v>
      </c>
      <c r="K24" s="45" t="s">
        <v>892</v>
      </c>
      <c r="L24" s="48">
        <v>139.99</v>
      </c>
      <c r="M24" s="49">
        <v>20241203649</v>
      </c>
      <c r="N24" s="50" t="s">
        <v>28</v>
      </c>
      <c r="O24" s="50"/>
      <c r="P24" s="50"/>
      <c r="Q24" s="51"/>
      <c r="R24" s="50"/>
      <c r="S24" s="50"/>
      <c r="T24" s="51"/>
      <c r="U24" s="50"/>
    </row>
    <row r="25" spans="1:21" x14ac:dyDescent="0.25">
      <c r="A25" s="45" t="s">
        <v>20</v>
      </c>
      <c r="B25" s="46">
        <v>45762</v>
      </c>
      <c r="C25" s="45" t="s">
        <v>244</v>
      </c>
      <c r="D25" s="47" t="s">
        <v>352</v>
      </c>
      <c r="E25" s="45" t="s">
        <v>64</v>
      </c>
      <c r="F25" s="45" t="s">
        <v>65</v>
      </c>
      <c r="G25" s="45" t="s">
        <v>949</v>
      </c>
      <c r="H25" s="45" t="s">
        <v>2426</v>
      </c>
      <c r="I25" s="45" t="s">
        <v>2427</v>
      </c>
      <c r="J25" s="45">
        <v>646332316</v>
      </c>
      <c r="K25" s="45" t="s">
        <v>1721</v>
      </c>
      <c r="L25" s="48">
        <v>31.92</v>
      </c>
      <c r="M25" s="49">
        <v>20241203616</v>
      </c>
      <c r="N25" s="50" t="s">
        <v>28</v>
      </c>
      <c r="O25" s="50"/>
      <c r="P25" s="50"/>
      <c r="Q25" s="51"/>
      <c r="R25" s="50"/>
      <c r="S25" s="50"/>
      <c r="T25" s="51"/>
      <c r="U25" s="50"/>
    </row>
    <row r="26" spans="1:21" x14ac:dyDescent="0.25">
      <c r="A26" s="45" t="s">
        <v>314</v>
      </c>
      <c r="B26" s="46">
        <v>45762</v>
      </c>
      <c r="C26" s="45" t="s">
        <v>34</v>
      </c>
      <c r="D26" s="47" t="s">
        <v>352</v>
      </c>
      <c r="E26" s="45" t="s">
        <v>64</v>
      </c>
      <c r="F26" s="45" t="s">
        <v>65</v>
      </c>
      <c r="G26" s="45" t="s">
        <v>178</v>
      </c>
      <c r="H26" s="45" t="s">
        <v>2428</v>
      </c>
      <c r="I26" s="45" t="s">
        <v>2429</v>
      </c>
      <c r="J26" s="45">
        <v>673079905</v>
      </c>
      <c r="K26" s="45" t="s">
        <v>1358</v>
      </c>
      <c r="L26" s="48">
        <v>112.9</v>
      </c>
      <c r="M26" s="49">
        <v>20241203764</v>
      </c>
      <c r="N26" s="50" t="s">
        <v>28</v>
      </c>
      <c r="O26" s="50"/>
      <c r="P26" s="50"/>
      <c r="Q26" s="51"/>
      <c r="R26" s="50"/>
      <c r="S26" s="50"/>
      <c r="T26" s="51"/>
      <c r="U26" s="50"/>
    </row>
    <row r="27" spans="1:21" x14ac:dyDescent="0.25">
      <c r="A27" s="45" t="s">
        <v>20</v>
      </c>
      <c r="B27" s="46">
        <v>45762</v>
      </c>
      <c r="C27" s="45" t="s">
        <v>34</v>
      </c>
      <c r="D27" s="47" t="s">
        <v>352</v>
      </c>
      <c r="E27" s="45" t="s">
        <v>64</v>
      </c>
      <c r="F27" s="45" t="s">
        <v>65</v>
      </c>
      <c r="G27" s="45" t="s">
        <v>1152</v>
      </c>
      <c r="H27" s="45" t="s">
        <v>2430</v>
      </c>
      <c r="I27" s="45" t="s">
        <v>1057</v>
      </c>
      <c r="J27" s="45">
        <v>751016225</v>
      </c>
      <c r="K27" s="45" t="s">
        <v>2431</v>
      </c>
      <c r="L27" s="48">
        <v>16.53</v>
      </c>
      <c r="M27" s="49">
        <v>202412021392</v>
      </c>
      <c r="N27" s="50" t="s">
        <v>28</v>
      </c>
      <c r="O27" s="50"/>
      <c r="P27" s="50"/>
      <c r="Q27" s="51"/>
      <c r="R27" s="50"/>
      <c r="S27" s="50"/>
      <c r="T27" s="51"/>
      <c r="U27" s="50"/>
    </row>
    <row r="28" spans="1:21" x14ac:dyDescent="0.25">
      <c r="A28" s="45" t="s">
        <v>29</v>
      </c>
      <c r="B28" s="46">
        <v>45762</v>
      </c>
      <c r="C28" s="45" t="s">
        <v>34</v>
      </c>
      <c r="D28" s="47" t="s">
        <v>352</v>
      </c>
      <c r="E28" s="45" t="s">
        <v>64</v>
      </c>
      <c r="F28" s="45" t="s">
        <v>65</v>
      </c>
      <c r="G28" s="45" t="s">
        <v>1359</v>
      </c>
      <c r="H28" s="45" t="s">
        <v>341</v>
      </c>
      <c r="I28" s="45" t="s">
        <v>2432</v>
      </c>
      <c r="J28" s="45" t="s">
        <v>2433</v>
      </c>
      <c r="K28" s="45" t="s">
        <v>237</v>
      </c>
      <c r="L28" s="48">
        <v>2796</v>
      </c>
      <c r="M28" s="49">
        <v>202412021403</v>
      </c>
      <c r="N28" s="50" t="s">
        <v>28</v>
      </c>
      <c r="O28" s="50"/>
      <c r="P28" s="50"/>
      <c r="Q28" s="51"/>
      <c r="R28" s="50"/>
      <c r="S28" s="50"/>
      <c r="T28" s="51"/>
      <c r="U28" s="50"/>
    </row>
    <row r="29" spans="1:21" x14ac:dyDescent="0.25">
      <c r="A29" s="45" t="s">
        <v>29</v>
      </c>
      <c r="B29" s="46">
        <v>45762</v>
      </c>
      <c r="C29" s="45" t="s">
        <v>34</v>
      </c>
      <c r="D29" s="47" t="s">
        <v>352</v>
      </c>
      <c r="E29" s="45" t="s">
        <v>64</v>
      </c>
      <c r="F29" s="45" t="s">
        <v>65</v>
      </c>
      <c r="G29" s="45" t="s">
        <v>1359</v>
      </c>
      <c r="H29" s="45" t="s">
        <v>2434</v>
      </c>
      <c r="I29" s="45" t="s">
        <v>2435</v>
      </c>
      <c r="J29" s="45" t="s">
        <v>2436</v>
      </c>
      <c r="K29" s="45" t="s">
        <v>422</v>
      </c>
      <c r="L29" s="48">
        <v>2166.36</v>
      </c>
      <c r="M29" s="49">
        <v>202412021407</v>
      </c>
      <c r="N29" s="50" t="s">
        <v>28</v>
      </c>
      <c r="O29" s="50"/>
      <c r="P29" s="50"/>
      <c r="Q29" s="51"/>
      <c r="R29" s="50"/>
      <c r="S29" s="50"/>
      <c r="T29" s="51"/>
      <c r="U29" s="50"/>
    </row>
    <row r="30" spans="1:21" x14ac:dyDescent="0.25">
      <c r="A30" s="45" t="s">
        <v>20</v>
      </c>
      <c r="B30" s="46">
        <v>45762</v>
      </c>
      <c r="C30" s="45" t="s">
        <v>34</v>
      </c>
      <c r="D30" s="47" t="s">
        <v>352</v>
      </c>
      <c r="E30" s="45" t="s">
        <v>64</v>
      </c>
      <c r="F30" s="45" t="s">
        <v>65</v>
      </c>
      <c r="G30" s="45" t="s">
        <v>1359</v>
      </c>
      <c r="H30" s="45" t="s">
        <v>2437</v>
      </c>
      <c r="I30" s="45" t="s">
        <v>2438</v>
      </c>
      <c r="J30" s="45" t="s">
        <v>2439</v>
      </c>
      <c r="K30" s="45" t="s">
        <v>1142</v>
      </c>
      <c r="L30" s="48">
        <v>295</v>
      </c>
      <c r="M30" s="49">
        <v>202412021079</v>
      </c>
      <c r="N30" s="50" t="s">
        <v>28</v>
      </c>
      <c r="O30" s="50"/>
      <c r="P30" s="50"/>
      <c r="Q30" s="51"/>
      <c r="R30" s="50"/>
      <c r="S30" s="50"/>
      <c r="T30" s="51"/>
      <c r="U30" s="50"/>
    </row>
    <row r="31" spans="1:21" x14ac:dyDescent="0.25">
      <c r="A31" s="45" t="s">
        <v>20</v>
      </c>
      <c r="B31" s="46">
        <v>45762</v>
      </c>
      <c r="C31" s="45" t="s">
        <v>34</v>
      </c>
      <c r="D31" s="47" t="s">
        <v>352</v>
      </c>
      <c r="E31" s="45" t="s">
        <v>64</v>
      </c>
      <c r="F31" s="45" t="s">
        <v>65</v>
      </c>
      <c r="G31" s="45" t="s">
        <v>1359</v>
      </c>
      <c r="H31" s="45" t="s">
        <v>2437</v>
      </c>
      <c r="I31" s="45" t="s">
        <v>2438</v>
      </c>
      <c r="J31" s="45" t="s">
        <v>2439</v>
      </c>
      <c r="K31" s="45" t="s">
        <v>1338</v>
      </c>
      <c r="L31" s="48">
        <v>324.76</v>
      </c>
      <c r="M31" s="49">
        <v>202412021082</v>
      </c>
      <c r="N31" s="50" t="s">
        <v>28</v>
      </c>
      <c r="O31" s="50"/>
      <c r="P31" s="50"/>
      <c r="Q31" s="51"/>
      <c r="R31" s="50"/>
      <c r="S31" s="50"/>
      <c r="T31" s="51"/>
      <c r="U31" s="50"/>
    </row>
    <row r="32" spans="1:21" x14ac:dyDescent="0.25">
      <c r="A32" s="45" t="s">
        <v>20</v>
      </c>
      <c r="B32" s="46">
        <v>45762</v>
      </c>
      <c r="C32" s="45" t="s">
        <v>34</v>
      </c>
      <c r="D32" s="47" t="s">
        <v>352</v>
      </c>
      <c r="E32" s="45" t="s">
        <v>64</v>
      </c>
      <c r="F32" s="45" t="s">
        <v>65</v>
      </c>
      <c r="G32" s="45" t="s">
        <v>1359</v>
      </c>
      <c r="H32" s="45" t="s">
        <v>2437</v>
      </c>
      <c r="I32" s="45" t="s">
        <v>2438</v>
      </c>
      <c r="J32" s="45" t="s">
        <v>2439</v>
      </c>
      <c r="K32" s="45" t="s">
        <v>284</v>
      </c>
      <c r="L32" s="48">
        <v>304.76</v>
      </c>
      <c r="M32" s="49">
        <v>202412021084</v>
      </c>
      <c r="N32" s="50" t="s">
        <v>28</v>
      </c>
      <c r="O32" s="50"/>
      <c r="P32" s="50"/>
      <c r="Q32" s="51"/>
      <c r="R32" s="50"/>
      <c r="S32" s="50"/>
      <c r="T32" s="51"/>
      <c r="U32" s="50"/>
    </row>
    <row r="33" spans="1:21" x14ac:dyDescent="0.25">
      <c r="A33" s="45" t="s">
        <v>20</v>
      </c>
      <c r="B33" s="46">
        <v>45762</v>
      </c>
      <c r="C33" s="45" t="s">
        <v>34</v>
      </c>
      <c r="D33" s="47" t="s">
        <v>352</v>
      </c>
      <c r="E33" s="45" t="s">
        <v>64</v>
      </c>
      <c r="F33" s="45" t="s">
        <v>65</v>
      </c>
      <c r="G33" s="45" t="s">
        <v>1359</v>
      </c>
      <c r="H33" s="45" t="s">
        <v>2437</v>
      </c>
      <c r="I33" s="45" t="s">
        <v>2438</v>
      </c>
      <c r="J33" s="45" t="s">
        <v>2439</v>
      </c>
      <c r="K33" s="45" t="s">
        <v>379</v>
      </c>
      <c r="L33" s="48">
        <v>227.38</v>
      </c>
      <c r="M33" s="49">
        <v>202412021086</v>
      </c>
      <c r="N33" s="50" t="s">
        <v>28</v>
      </c>
      <c r="O33" s="50"/>
      <c r="P33" s="50"/>
      <c r="Q33" s="51"/>
      <c r="R33" s="50"/>
      <c r="S33" s="50"/>
      <c r="T33" s="51"/>
      <c r="U33" s="50"/>
    </row>
    <row r="34" spans="1:21" x14ac:dyDescent="0.25">
      <c r="A34" s="45" t="s">
        <v>20</v>
      </c>
      <c r="B34" s="46">
        <v>45762</v>
      </c>
      <c r="C34" s="45" t="s">
        <v>34</v>
      </c>
      <c r="D34" s="47" t="s">
        <v>352</v>
      </c>
      <c r="E34" s="45" t="s">
        <v>64</v>
      </c>
      <c r="F34" s="45" t="s">
        <v>65</v>
      </c>
      <c r="G34" s="45" t="s">
        <v>1359</v>
      </c>
      <c r="H34" s="45" t="s">
        <v>2440</v>
      </c>
      <c r="I34" s="45" t="s">
        <v>2441</v>
      </c>
      <c r="J34" s="45" t="s">
        <v>2442</v>
      </c>
      <c r="K34" s="45" t="s">
        <v>2244</v>
      </c>
      <c r="L34" s="48">
        <v>170.52</v>
      </c>
      <c r="M34" s="49">
        <v>202412021414</v>
      </c>
      <c r="N34" s="50" t="s">
        <v>28</v>
      </c>
      <c r="O34" s="50"/>
      <c r="P34" s="50"/>
      <c r="Q34" s="51"/>
      <c r="R34" s="50"/>
      <c r="S34" s="50"/>
      <c r="T34" s="51"/>
      <c r="U34" s="50"/>
    </row>
    <row r="35" spans="1:21" ht="25.5" x14ac:dyDescent="0.25">
      <c r="A35" s="45" t="s">
        <v>20</v>
      </c>
      <c r="B35" s="46">
        <v>45762</v>
      </c>
      <c r="C35" s="45" t="s">
        <v>34</v>
      </c>
      <c r="D35" s="47" t="s">
        <v>352</v>
      </c>
      <c r="E35" s="45" t="s">
        <v>107</v>
      </c>
      <c r="F35" s="45" t="s">
        <v>108</v>
      </c>
      <c r="G35" s="45" t="s">
        <v>263</v>
      </c>
      <c r="H35" s="45" t="s">
        <v>2443</v>
      </c>
      <c r="I35" s="45" t="s">
        <v>969</v>
      </c>
      <c r="J35" s="45">
        <v>418822339</v>
      </c>
      <c r="K35" s="45" t="s">
        <v>1702</v>
      </c>
      <c r="L35" s="48">
        <v>97</v>
      </c>
      <c r="M35" s="49">
        <v>20241204452</v>
      </c>
      <c r="N35" s="50" t="s">
        <v>28</v>
      </c>
      <c r="O35" s="50"/>
      <c r="P35" s="50"/>
      <c r="Q35" s="51"/>
      <c r="R35" s="50"/>
      <c r="S35" s="50"/>
      <c r="T35" s="51"/>
      <c r="U35" s="50"/>
    </row>
    <row r="36" spans="1:21" x14ac:dyDescent="0.25">
      <c r="A36" s="45" t="s">
        <v>29</v>
      </c>
      <c r="B36" s="46">
        <v>45762</v>
      </c>
      <c r="C36" s="45" t="s">
        <v>34</v>
      </c>
      <c r="D36" s="47" t="s">
        <v>352</v>
      </c>
      <c r="E36" s="45" t="s">
        <v>107</v>
      </c>
      <c r="F36" s="45" t="s">
        <v>108</v>
      </c>
      <c r="G36" s="45" t="s">
        <v>368</v>
      </c>
      <c r="H36" s="45" t="s">
        <v>1775</v>
      </c>
      <c r="I36" s="45" t="s">
        <v>2444</v>
      </c>
      <c r="J36" s="45">
        <v>428776768</v>
      </c>
      <c r="K36" s="45" t="s">
        <v>1358</v>
      </c>
      <c r="L36" s="48">
        <v>360</v>
      </c>
      <c r="M36" s="49">
        <v>202412031143</v>
      </c>
      <c r="N36" s="50" t="s">
        <v>28</v>
      </c>
      <c r="O36" s="50"/>
      <c r="P36" s="50"/>
      <c r="Q36" s="51"/>
      <c r="R36" s="50"/>
      <c r="S36" s="50"/>
      <c r="T36" s="51"/>
      <c r="U36" s="50"/>
    </row>
    <row r="37" spans="1:21" x14ac:dyDescent="0.25">
      <c r="A37" s="45" t="s">
        <v>29</v>
      </c>
      <c r="B37" s="46">
        <v>45762</v>
      </c>
      <c r="C37" s="45" t="s">
        <v>34</v>
      </c>
      <c r="D37" s="47" t="s">
        <v>352</v>
      </c>
      <c r="E37" s="45" t="s">
        <v>107</v>
      </c>
      <c r="F37" s="45" t="s">
        <v>108</v>
      </c>
      <c r="G37" s="45" t="s">
        <v>368</v>
      </c>
      <c r="H37" s="45" t="s">
        <v>1775</v>
      </c>
      <c r="I37" s="45" t="s">
        <v>2444</v>
      </c>
      <c r="J37" s="45">
        <v>428776768</v>
      </c>
      <c r="K37" s="45" t="s">
        <v>1358</v>
      </c>
      <c r="L37" s="48">
        <v>360</v>
      </c>
      <c r="M37" s="49">
        <v>20241205311</v>
      </c>
      <c r="N37" s="50" t="s">
        <v>28</v>
      </c>
      <c r="O37" s="50"/>
      <c r="P37" s="50"/>
      <c r="Q37" s="51"/>
      <c r="R37" s="50"/>
      <c r="S37" s="50"/>
      <c r="T37" s="51"/>
      <c r="U37" s="50"/>
    </row>
    <row r="38" spans="1:21" x14ac:dyDescent="0.25">
      <c r="A38" s="45" t="s">
        <v>20</v>
      </c>
      <c r="B38" s="46">
        <v>45762</v>
      </c>
      <c r="C38" s="45" t="s">
        <v>34</v>
      </c>
      <c r="D38" s="47" t="s">
        <v>352</v>
      </c>
      <c r="E38" s="45" t="s">
        <v>107</v>
      </c>
      <c r="F38" s="45" t="s">
        <v>108</v>
      </c>
      <c r="G38" s="45" t="s">
        <v>2445</v>
      </c>
      <c r="H38" s="45" t="s">
        <v>1814</v>
      </c>
      <c r="I38" s="45" t="s">
        <v>2446</v>
      </c>
      <c r="J38" s="45">
        <v>432357217</v>
      </c>
      <c r="K38" s="45" t="s">
        <v>2447</v>
      </c>
      <c r="L38" s="48">
        <v>83</v>
      </c>
      <c r="M38" s="49">
        <v>20241204416</v>
      </c>
      <c r="N38" s="50" t="s">
        <v>28</v>
      </c>
      <c r="O38" s="50"/>
      <c r="P38" s="50"/>
      <c r="Q38" s="51"/>
      <c r="R38" s="50"/>
      <c r="S38" s="50"/>
      <c r="T38" s="51"/>
      <c r="U38" s="50"/>
    </row>
    <row r="39" spans="1:21" x14ac:dyDescent="0.25">
      <c r="A39" s="45" t="s">
        <v>20</v>
      </c>
      <c r="B39" s="46">
        <v>45762</v>
      </c>
      <c r="C39" s="45" t="s">
        <v>34</v>
      </c>
      <c r="D39" s="47" t="s">
        <v>352</v>
      </c>
      <c r="E39" s="45" t="s">
        <v>107</v>
      </c>
      <c r="F39" s="45" t="s">
        <v>108</v>
      </c>
      <c r="G39" s="45" t="s">
        <v>763</v>
      </c>
      <c r="H39" s="45" t="s">
        <v>2448</v>
      </c>
      <c r="I39" s="45" t="s">
        <v>2449</v>
      </c>
      <c r="J39" s="45">
        <v>436437118</v>
      </c>
      <c r="K39" s="45" t="s">
        <v>2087</v>
      </c>
      <c r="L39" s="48">
        <v>30</v>
      </c>
      <c r="M39" s="49">
        <v>20241203310</v>
      </c>
      <c r="N39" s="50" t="s">
        <v>28</v>
      </c>
      <c r="O39" s="50"/>
      <c r="P39" s="50"/>
      <c r="Q39" s="51"/>
      <c r="R39" s="50"/>
      <c r="S39" s="50"/>
      <c r="T39" s="51"/>
      <c r="U39" s="50"/>
    </row>
    <row r="40" spans="1:21" ht="25.5" x14ac:dyDescent="0.25">
      <c r="A40" s="45" t="s">
        <v>20</v>
      </c>
      <c r="B40" s="46">
        <v>45762</v>
      </c>
      <c r="C40" s="45" t="s">
        <v>34</v>
      </c>
      <c r="D40" s="47" t="s">
        <v>352</v>
      </c>
      <c r="E40" s="45" t="s">
        <v>107</v>
      </c>
      <c r="F40" s="45" t="s">
        <v>108</v>
      </c>
      <c r="G40" s="45" t="s">
        <v>263</v>
      </c>
      <c r="H40" s="45" t="s">
        <v>1373</v>
      </c>
      <c r="I40" s="45" t="s">
        <v>2450</v>
      </c>
      <c r="J40" s="45">
        <v>440727591</v>
      </c>
      <c r="K40" s="45" t="s">
        <v>1227</v>
      </c>
      <c r="L40" s="48">
        <v>6.43</v>
      </c>
      <c r="M40" s="49">
        <v>20241202425</v>
      </c>
      <c r="N40" s="50" t="s">
        <v>28</v>
      </c>
      <c r="O40" s="50"/>
      <c r="P40" s="50"/>
      <c r="Q40" s="51"/>
      <c r="R40" s="50"/>
      <c r="S40" s="50"/>
      <c r="T40" s="51"/>
      <c r="U40" s="50"/>
    </row>
    <row r="41" spans="1:21" ht="25.5" x14ac:dyDescent="0.25">
      <c r="A41" s="45" t="s">
        <v>29</v>
      </c>
      <c r="B41" s="46">
        <v>45762</v>
      </c>
      <c r="C41" s="45" t="s">
        <v>34</v>
      </c>
      <c r="D41" s="47" t="s">
        <v>352</v>
      </c>
      <c r="E41" s="45" t="s">
        <v>107</v>
      </c>
      <c r="F41" s="45" t="s">
        <v>108</v>
      </c>
      <c r="G41" s="45" t="s">
        <v>869</v>
      </c>
      <c r="H41" s="45" t="s">
        <v>2451</v>
      </c>
      <c r="I41" s="45" t="s">
        <v>2452</v>
      </c>
      <c r="J41" s="45">
        <v>440921438</v>
      </c>
      <c r="K41" s="45" t="s">
        <v>1511</v>
      </c>
      <c r="L41" s="48">
        <v>190</v>
      </c>
      <c r="M41" s="49">
        <v>20241206972</v>
      </c>
      <c r="N41" s="50" t="s">
        <v>28</v>
      </c>
      <c r="O41" s="50"/>
      <c r="P41" s="50"/>
      <c r="Q41" s="51"/>
      <c r="R41" s="50"/>
      <c r="S41" s="50"/>
      <c r="T41" s="51"/>
      <c r="U41" s="50"/>
    </row>
    <row r="42" spans="1:21" x14ac:dyDescent="0.25">
      <c r="A42" s="45" t="s">
        <v>29</v>
      </c>
      <c r="B42" s="46">
        <v>45762</v>
      </c>
      <c r="C42" s="45" t="s">
        <v>34</v>
      </c>
      <c r="D42" s="47" t="s">
        <v>352</v>
      </c>
      <c r="E42" s="45" t="s">
        <v>107</v>
      </c>
      <c r="F42" s="45" t="s">
        <v>108</v>
      </c>
      <c r="G42" s="45" t="s">
        <v>763</v>
      </c>
      <c r="H42" s="45" t="s">
        <v>2453</v>
      </c>
      <c r="I42" s="45" t="s">
        <v>2454</v>
      </c>
      <c r="J42" s="45">
        <v>443351983</v>
      </c>
      <c r="K42" s="45" t="s">
        <v>1358</v>
      </c>
      <c r="L42" s="48">
        <v>1380</v>
      </c>
      <c r="M42" s="49">
        <v>20241205236</v>
      </c>
      <c r="N42" s="50" t="s">
        <v>28</v>
      </c>
      <c r="O42" s="50"/>
      <c r="P42" s="50"/>
      <c r="Q42" s="51"/>
      <c r="R42" s="50"/>
      <c r="S42" s="50"/>
      <c r="T42" s="51"/>
      <c r="U42" s="50"/>
    </row>
    <row r="43" spans="1:21" x14ac:dyDescent="0.25">
      <c r="A43" s="45" t="s">
        <v>20</v>
      </c>
      <c r="B43" s="46">
        <v>45762</v>
      </c>
      <c r="C43" s="45" t="s">
        <v>34</v>
      </c>
      <c r="D43" s="47" t="s">
        <v>352</v>
      </c>
      <c r="E43" s="45" t="s">
        <v>107</v>
      </c>
      <c r="F43" s="45" t="s">
        <v>108</v>
      </c>
      <c r="G43" s="45" t="s">
        <v>178</v>
      </c>
      <c r="H43" s="45" t="s">
        <v>1517</v>
      </c>
      <c r="I43" s="45" t="s">
        <v>1518</v>
      </c>
      <c r="J43" s="45">
        <v>447785616</v>
      </c>
      <c r="K43" s="45" t="s">
        <v>2455</v>
      </c>
      <c r="L43" s="48">
        <v>7.61</v>
      </c>
      <c r="M43" s="49">
        <v>20241205828</v>
      </c>
      <c r="N43" s="50" t="s">
        <v>28</v>
      </c>
      <c r="O43" s="50"/>
      <c r="P43" s="50"/>
      <c r="Q43" s="51"/>
      <c r="R43" s="50"/>
      <c r="S43" s="50"/>
      <c r="T43" s="51"/>
      <c r="U43" s="50"/>
    </row>
    <row r="44" spans="1:21" x14ac:dyDescent="0.25">
      <c r="A44" s="45" t="s">
        <v>20</v>
      </c>
      <c r="B44" s="46">
        <v>45762</v>
      </c>
      <c r="C44" s="45" t="s">
        <v>34</v>
      </c>
      <c r="D44" s="47" t="s">
        <v>352</v>
      </c>
      <c r="E44" s="45" t="s">
        <v>107</v>
      </c>
      <c r="F44" s="45" t="s">
        <v>108</v>
      </c>
      <c r="G44" s="45" t="s">
        <v>178</v>
      </c>
      <c r="H44" s="45" t="s">
        <v>1517</v>
      </c>
      <c r="I44" s="45" t="s">
        <v>1518</v>
      </c>
      <c r="J44" s="45">
        <v>447785616</v>
      </c>
      <c r="K44" s="45" t="s">
        <v>2239</v>
      </c>
      <c r="L44" s="48">
        <v>1</v>
      </c>
      <c r="M44" s="49">
        <v>20241205825</v>
      </c>
      <c r="N44" s="50" t="s">
        <v>28</v>
      </c>
      <c r="O44" s="50"/>
      <c r="P44" s="50"/>
      <c r="Q44" s="51"/>
      <c r="R44" s="50"/>
      <c r="S44" s="50"/>
      <c r="T44" s="51"/>
      <c r="U44" s="50"/>
    </row>
    <row r="45" spans="1:21" x14ac:dyDescent="0.25">
      <c r="A45" s="45" t="s">
        <v>20</v>
      </c>
      <c r="B45" s="46">
        <v>45762</v>
      </c>
      <c r="C45" s="45" t="s">
        <v>34</v>
      </c>
      <c r="D45" s="47" t="s">
        <v>352</v>
      </c>
      <c r="E45" s="45" t="s">
        <v>107</v>
      </c>
      <c r="F45" s="45" t="s">
        <v>108</v>
      </c>
      <c r="G45" s="45" t="s">
        <v>368</v>
      </c>
      <c r="H45" s="45" t="s">
        <v>2374</v>
      </c>
      <c r="I45" s="45" t="s">
        <v>2456</v>
      </c>
      <c r="J45" s="45">
        <v>448601623</v>
      </c>
      <c r="K45" s="45" t="s">
        <v>1593</v>
      </c>
      <c r="L45" s="48">
        <v>28.27</v>
      </c>
      <c r="M45" s="49">
        <v>20241202257</v>
      </c>
      <c r="N45" s="50" t="s">
        <v>28</v>
      </c>
      <c r="O45" s="50"/>
      <c r="P45" s="50"/>
      <c r="Q45" s="51"/>
      <c r="R45" s="50"/>
      <c r="S45" s="50"/>
      <c r="T45" s="51"/>
      <c r="U45" s="50"/>
    </row>
    <row r="46" spans="1:21" ht="25.5" x14ac:dyDescent="0.25">
      <c r="A46" s="45" t="s">
        <v>29</v>
      </c>
      <c r="B46" s="46">
        <v>45762</v>
      </c>
      <c r="C46" s="45" t="s">
        <v>34</v>
      </c>
      <c r="D46" s="47" t="s">
        <v>352</v>
      </c>
      <c r="E46" s="45" t="s">
        <v>107</v>
      </c>
      <c r="F46" s="45" t="s">
        <v>108</v>
      </c>
      <c r="G46" s="45" t="s">
        <v>2457</v>
      </c>
      <c r="H46" s="45" t="s">
        <v>2458</v>
      </c>
      <c r="I46" s="45" t="s">
        <v>2459</v>
      </c>
      <c r="J46" s="45">
        <v>449797981</v>
      </c>
      <c r="K46" s="45" t="s">
        <v>2460</v>
      </c>
      <c r="L46" s="48">
        <v>416.66</v>
      </c>
      <c r="M46" s="49">
        <v>20241205369</v>
      </c>
      <c r="N46" s="50" t="s">
        <v>28</v>
      </c>
      <c r="O46" s="50"/>
      <c r="P46" s="50"/>
      <c r="Q46" s="51"/>
      <c r="R46" s="50"/>
      <c r="S46" s="50"/>
      <c r="T46" s="51"/>
      <c r="U46" s="50"/>
    </row>
    <row r="47" spans="1:21" x14ac:dyDescent="0.25">
      <c r="A47" s="45" t="s">
        <v>20</v>
      </c>
      <c r="B47" s="46">
        <v>45762</v>
      </c>
      <c r="C47" s="45" t="s">
        <v>34</v>
      </c>
      <c r="D47" s="47" t="s">
        <v>352</v>
      </c>
      <c r="E47" s="45" t="s">
        <v>107</v>
      </c>
      <c r="F47" s="45" t="s">
        <v>108</v>
      </c>
      <c r="G47" s="45" t="s">
        <v>2461</v>
      </c>
      <c r="H47" s="45" t="s">
        <v>2462</v>
      </c>
      <c r="I47" s="45" t="s">
        <v>2463</v>
      </c>
      <c r="J47" s="45">
        <v>449832260</v>
      </c>
      <c r="K47" s="45" t="s">
        <v>2464</v>
      </c>
      <c r="L47" s="48">
        <v>200</v>
      </c>
      <c r="M47" s="49">
        <v>20241206970</v>
      </c>
      <c r="N47" s="50" t="s">
        <v>28</v>
      </c>
      <c r="O47" s="50"/>
      <c r="P47" s="50"/>
      <c r="Q47" s="51"/>
      <c r="R47" s="50"/>
      <c r="S47" s="50"/>
      <c r="T47" s="51"/>
      <c r="U47" s="50"/>
    </row>
    <row r="48" spans="1:21" x14ac:dyDescent="0.25">
      <c r="A48" s="45" t="s">
        <v>29</v>
      </c>
      <c r="B48" s="46">
        <v>45762</v>
      </c>
      <c r="C48" s="45" t="s">
        <v>34</v>
      </c>
      <c r="D48" s="47" t="s">
        <v>352</v>
      </c>
      <c r="E48" s="45" t="s">
        <v>107</v>
      </c>
      <c r="F48" s="45" t="s">
        <v>108</v>
      </c>
      <c r="G48" s="45" t="s">
        <v>995</v>
      </c>
      <c r="H48" s="45" t="s">
        <v>2399</v>
      </c>
      <c r="I48" s="45" t="s">
        <v>2465</v>
      </c>
      <c r="J48" s="45">
        <v>449850716</v>
      </c>
      <c r="K48" s="45" t="s">
        <v>2372</v>
      </c>
      <c r="L48" s="48">
        <v>409</v>
      </c>
      <c r="M48" s="49">
        <v>20241206500</v>
      </c>
      <c r="N48" s="50" t="s">
        <v>28</v>
      </c>
      <c r="O48" s="50"/>
      <c r="P48" s="50"/>
      <c r="Q48" s="51"/>
      <c r="R48" s="50"/>
      <c r="S48" s="50"/>
      <c r="T48" s="51"/>
      <c r="U48" s="50"/>
    </row>
    <row r="49" spans="1:21" x14ac:dyDescent="0.25">
      <c r="A49" s="45" t="s">
        <v>20</v>
      </c>
      <c r="B49" s="46">
        <v>45762</v>
      </c>
      <c r="C49" s="45" t="s">
        <v>34</v>
      </c>
      <c r="D49" s="47" t="s">
        <v>352</v>
      </c>
      <c r="E49" s="45" t="s">
        <v>107</v>
      </c>
      <c r="F49" s="45" t="s">
        <v>108</v>
      </c>
      <c r="G49" s="45" t="s">
        <v>2466</v>
      </c>
      <c r="H49" s="45" t="s">
        <v>2467</v>
      </c>
      <c r="I49" s="45" t="s">
        <v>2468</v>
      </c>
      <c r="J49" s="45">
        <v>450632197</v>
      </c>
      <c r="K49" s="45" t="s">
        <v>2447</v>
      </c>
      <c r="L49" s="48">
        <v>21.19</v>
      </c>
      <c r="M49" s="49">
        <v>20241205203</v>
      </c>
      <c r="N49" s="50" t="s">
        <v>28</v>
      </c>
      <c r="O49" s="50"/>
      <c r="P49" s="50"/>
      <c r="Q49" s="51"/>
      <c r="R49" s="50"/>
      <c r="S49" s="50"/>
      <c r="T49" s="51"/>
      <c r="U49" s="50"/>
    </row>
    <row r="50" spans="1:21" x14ac:dyDescent="0.25">
      <c r="A50" s="45" t="s">
        <v>20</v>
      </c>
      <c r="B50" s="46">
        <v>45762</v>
      </c>
      <c r="C50" s="45" t="s">
        <v>34</v>
      </c>
      <c r="D50" s="47" t="s">
        <v>352</v>
      </c>
      <c r="E50" s="45" t="s">
        <v>155</v>
      </c>
      <c r="F50" s="45" t="s">
        <v>156</v>
      </c>
      <c r="G50" s="45" t="s">
        <v>178</v>
      </c>
      <c r="H50" s="45" t="s">
        <v>1362</v>
      </c>
      <c r="I50" s="45" t="s">
        <v>2469</v>
      </c>
      <c r="J50" s="45">
        <v>139829375</v>
      </c>
      <c r="K50" s="45" t="s">
        <v>2255</v>
      </c>
      <c r="L50" s="48">
        <v>25</v>
      </c>
      <c r="M50" s="49">
        <v>20241126544</v>
      </c>
      <c r="N50" s="50" t="s">
        <v>28</v>
      </c>
      <c r="O50" s="50"/>
      <c r="P50" s="50"/>
      <c r="Q50" s="51"/>
      <c r="R50" s="50"/>
      <c r="S50" s="50"/>
      <c r="T50" s="51"/>
      <c r="U50" s="50"/>
    </row>
    <row r="51" spans="1:21" ht="25.5" x14ac:dyDescent="0.25">
      <c r="A51" s="45" t="s">
        <v>20</v>
      </c>
      <c r="B51" s="46">
        <v>45762</v>
      </c>
      <c r="C51" s="45" t="s">
        <v>34</v>
      </c>
      <c r="D51" s="47" t="s">
        <v>352</v>
      </c>
      <c r="E51" s="45" t="s">
        <v>162</v>
      </c>
      <c r="F51" s="45" t="s">
        <v>163</v>
      </c>
      <c r="G51" s="45" t="s">
        <v>263</v>
      </c>
      <c r="H51" s="45" t="s">
        <v>2470</v>
      </c>
      <c r="I51" s="45" t="s">
        <v>2471</v>
      </c>
      <c r="J51" s="45">
        <v>446664257</v>
      </c>
      <c r="K51" s="45" t="s">
        <v>2050</v>
      </c>
      <c r="L51" s="48">
        <v>107.74</v>
      </c>
      <c r="M51" s="49">
        <v>20241127284</v>
      </c>
      <c r="N51" s="50" t="s">
        <v>28</v>
      </c>
      <c r="O51" s="50"/>
      <c r="P51" s="50"/>
      <c r="Q51" s="51"/>
      <c r="R51" s="50"/>
      <c r="S51" s="50"/>
      <c r="T51" s="51"/>
      <c r="U51" s="50"/>
    </row>
    <row r="52" spans="1:21" x14ac:dyDescent="0.25">
      <c r="A52" s="45" t="s">
        <v>20</v>
      </c>
      <c r="B52" s="46">
        <v>45762</v>
      </c>
      <c r="C52" s="45" t="s">
        <v>34</v>
      </c>
      <c r="D52" s="47" t="s">
        <v>352</v>
      </c>
      <c r="E52" s="45" t="s">
        <v>176</v>
      </c>
      <c r="F52" s="45" t="s">
        <v>177</v>
      </c>
      <c r="G52" s="45" t="s">
        <v>2472</v>
      </c>
      <c r="H52" s="45" t="s">
        <v>2473</v>
      </c>
      <c r="I52" s="45" t="s">
        <v>335</v>
      </c>
      <c r="J52" s="45">
        <v>460976496</v>
      </c>
      <c r="K52" s="45" t="s">
        <v>270</v>
      </c>
      <c r="L52" s="48">
        <v>107.4</v>
      </c>
      <c r="M52" s="49">
        <v>20241204465</v>
      </c>
      <c r="N52" s="50" t="s">
        <v>28</v>
      </c>
      <c r="O52" s="50"/>
      <c r="P52" s="50"/>
      <c r="Q52" s="51"/>
      <c r="R52" s="50"/>
      <c r="S52" s="50"/>
      <c r="T52" s="51"/>
      <c r="U52" s="50"/>
    </row>
    <row r="53" spans="1:21" x14ac:dyDescent="0.25">
      <c r="A53" s="45" t="s">
        <v>20</v>
      </c>
      <c r="B53" s="46">
        <v>45762</v>
      </c>
      <c r="C53" s="45" t="s">
        <v>34</v>
      </c>
      <c r="D53" s="47" t="s">
        <v>352</v>
      </c>
      <c r="E53" s="45" t="s">
        <v>176</v>
      </c>
      <c r="F53" s="45" t="s">
        <v>177</v>
      </c>
      <c r="G53" s="45" t="s">
        <v>2472</v>
      </c>
      <c r="H53" s="45" t="s">
        <v>2473</v>
      </c>
      <c r="I53" s="45" t="s">
        <v>335</v>
      </c>
      <c r="J53" s="45">
        <v>460976496</v>
      </c>
      <c r="K53" s="45" t="s">
        <v>2474</v>
      </c>
      <c r="L53" s="48">
        <v>126.17</v>
      </c>
      <c r="M53" s="49">
        <v>20241204475</v>
      </c>
      <c r="N53" s="50" t="s">
        <v>28</v>
      </c>
      <c r="O53" s="50"/>
      <c r="P53" s="50"/>
      <c r="Q53" s="51"/>
      <c r="R53" s="50"/>
      <c r="S53" s="50"/>
      <c r="T53" s="51"/>
      <c r="U53" s="50"/>
    </row>
    <row r="54" spans="1:21" x14ac:dyDescent="0.25">
      <c r="A54" s="45" t="s">
        <v>20</v>
      </c>
      <c r="B54" s="46">
        <v>45762</v>
      </c>
      <c r="C54" s="45" t="s">
        <v>34</v>
      </c>
      <c r="D54" s="47" t="s">
        <v>352</v>
      </c>
      <c r="E54" s="45" t="s">
        <v>176</v>
      </c>
      <c r="F54" s="45" t="s">
        <v>177</v>
      </c>
      <c r="G54" s="45" t="s">
        <v>2472</v>
      </c>
      <c r="H54" s="45" t="s">
        <v>2473</v>
      </c>
      <c r="I54" s="45" t="s">
        <v>335</v>
      </c>
      <c r="J54" s="45">
        <v>460976496</v>
      </c>
      <c r="K54" s="45" t="s">
        <v>2475</v>
      </c>
      <c r="L54" s="48">
        <v>145.99</v>
      </c>
      <c r="M54" s="49">
        <v>20241204487</v>
      </c>
      <c r="N54" s="50" t="s">
        <v>28</v>
      </c>
      <c r="O54" s="50"/>
      <c r="P54" s="50"/>
      <c r="Q54" s="51"/>
      <c r="R54" s="50"/>
      <c r="S54" s="50"/>
      <c r="T54" s="51"/>
      <c r="U54" s="50"/>
    </row>
    <row r="55" spans="1:21" x14ac:dyDescent="0.25">
      <c r="A55" s="45" t="s">
        <v>20</v>
      </c>
      <c r="B55" s="46">
        <v>45762</v>
      </c>
      <c r="C55" s="45" t="s">
        <v>34</v>
      </c>
      <c r="D55" s="47" t="s">
        <v>352</v>
      </c>
      <c r="E55" s="45" t="s">
        <v>176</v>
      </c>
      <c r="F55" s="45" t="s">
        <v>177</v>
      </c>
      <c r="G55" s="45" t="s">
        <v>2472</v>
      </c>
      <c r="H55" s="45" t="s">
        <v>2473</v>
      </c>
      <c r="I55" s="45" t="s">
        <v>335</v>
      </c>
      <c r="J55" s="45">
        <v>460976496</v>
      </c>
      <c r="K55" s="45" t="s">
        <v>2476</v>
      </c>
      <c r="L55" s="48">
        <v>155.32</v>
      </c>
      <c r="M55" s="49">
        <v>20241204523</v>
      </c>
      <c r="N55" s="50" t="s">
        <v>28</v>
      </c>
      <c r="O55" s="50"/>
      <c r="P55" s="50"/>
      <c r="Q55" s="51"/>
      <c r="R55" s="50"/>
      <c r="S55" s="50"/>
      <c r="T55" s="51"/>
      <c r="U55" s="50"/>
    </row>
    <row r="56" spans="1:21" x14ac:dyDescent="0.25">
      <c r="A56" s="45" t="s">
        <v>20</v>
      </c>
      <c r="B56" s="46">
        <v>45762</v>
      </c>
      <c r="C56" s="45" t="s">
        <v>34</v>
      </c>
      <c r="D56" s="47" t="s">
        <v>352</v>
      </c>
      <c r="E56" s="45" t="s">
        <v>176</v>
      </c>
      <c r="F56" s="45" t="s">
        <v>177</v>
      </c>
      <c r="G56" s="45" t="s">
        <v>2472</v>
      </c>
      <c r="H56" s="45" t="s">
        <v>2473</v>
      </c>
      <c r="I56" s="45" t="s">
        <v>335</v>
      </c>
      <c r="J56" s="45">
        <v>460976496</v>
      </c>
      <c r="K56" s="45" t="s">
        <v>2477</v>
      </c>
      <c r="L56" s="48">
        <v>357.85</v>
      </c>
      <c r="M56" s="49">
        <v>20241204266</v>
      </c>
      <c r="N56" s="50" t="s">
        <v>28</v>
      </c>
      <c r="O56" s="50"/>
      <c r="P56" s="50"/>
      <c r="Q56" s="51"/>
      <c r="R56" s="50"/>
      <c r="S56" s="50"/>
      <c r="T56" s="51"/>
      <c r="U56" s="50"/>
    </row>
    <row r="57" spans="1:21" x14ac:dyDescent="0.25">
      <c r="A57" s="45" t="s">
        <v>20</v>
      </c>
      <c r="B57" s="46">
        <v>45762</v>
      </c>
      <c r="C57" s="45" t="s">
        <v>34</v>
      </c>
      <c r="D57" s="47" t="s">
        <v>352</v>
      </c>
      <c r="E57" s="45" t="s">
        <v>176</v>
      </c>
      <c r="F57" s="45" t="s">
        <v>177</v>
      </c>
      <c r="G57" s="45" t="s">
        <v>2472</v>
      </c>
      <c r="H57" s="45" t="s">
        <v>2473</v>
      </c>
      <c r="I57" s="45" t="s">
        <v>335</v>
      </c>
      <c r="J57" s="45">
        <v>460976496</v>
      </c>
      <c r="K57" s="45" t="s">
        <v>269</v>
      </c>
      <c r="L57" s="48">
        <v>422.52</v>
      </c>
      <c r="M57" s="49">
        <v>20241204267</v>
      </c>
      <c r="N57" s="50" t="s">
        <v>28</v>
      </c>
      <c r="O57" s="50"/>
      <c r="P57" s="50"/>
      <c r="Q57" s="51"/>
      <c r="R57" s="50"/>
      <c r="S57" s="50"/>
      <c r="T57" s="51"/>
      <c r="U57" s="50"/>
    </row>
    <row r="58" spans="1:21" x14ac:dyDescent="0.25">
      <c r="A58" s="45" t="s">
        <v>20</v>
      </c>
      <c r="B58" s="46">
        <v>45762</v>
      </c>
      <c r="C58" s="45" t="s">
        <v>34</v>
      </c>
      <c r="D58" s="47" t="s">
        <v>352</v>
      </c>
      <c r="E58" s="45" t="s">
        <v>176</v>
      </c>
      <c r="F58" s="45" t="s">
        <v>177</v>
      </c>
      <c r="G58" s="45" t="s">
        <v>2472</v>
      </c>
      <c r="H58" s="45" t="s">
        <v>2473</v>
      </c>
      <c r="I58" s="45" t="s">
        <v>335</v>
      </c>
      <c r="J58" s="45">
        <v>460976496</v>
      </c>
      <c r="K58" s="45" t="s">
        <v>2478</v>
      </c>
      <c r="L58" s="48">
        <v>141.63999999999999</v>
      </c>
      <c r="M58" s="49">
        <v>20241204271</v>
      </c>
      <c r="N58" s="50" t="s">
        <v>28</v>
      </c>
      <c r="O58" s="50"/>
      <c r="P58" s="50"/>
      <c r="Q58" s="51"/>
      <c r="R58" s="50"/>
      <c r="S58" s="50"/>
      <c r="T58" s="51"/>
      <c r="U58" s="50"/>
    </row>
    <row r="59" spans="1:21" x14ac:dyDescent="0.25">
      <c r="A59" s="45" t="s">
        <v>20</v>
      </c>
      <c r="B59" s="46">
        <v>45762</v>
      </c>
      <c r="C59" s="45" t="s">
        <v>34</v>
      </c>
      <c r="D59" s="47" t="s">
        <v>352</v>
      </c>
      <c r="E59" s="45" t="s">
        <v>176</v>
      </c>
      <c r="F59" s="45" t="s">
        <v>177</v>
      </c>
      <c r="G59" s="45" t="s">
        <v>2472</v>
      </c>
      <c r="H59" s="45" t="s">
        <v>2473</v>
      </c>
      <c r="I59" s="45" t="s">
        <v>335</v>
      </c>
      <c r="J59" s="45">
        <v>460976496</v>
      </c>
      <c r="K59" s="45" t="s">
        <v>2125</v>
      </c>
      <c r="L59" s="48">
        <v>26.08</v>
      </c>
      <c r="M59" s="49">
        <v>20241204262</v>
      </c>
      <c r="N59" s="50" t="s">
        <v>28</v>
      </c>
      <c r="O59" s="50"/>
      <c r="P59" s="50"/>
      <c r="Q59" s="51"/>
      <c r="R59" s="50"/>
      <c r="S59" s="50"/>
      <c r="T59" s="51"/>
      <c r="U59" s="50"/>
    </row>
    <row r="60" spans="1:21" x14ac:dyDescent="0.25">
      <c r="A60" s="45" t="s">
        <v>20</v>
      </c>
      <c r="B60" s="46">
        <v>45762</v>
      </c>
      <c r="C60" s="45" t="s">
        <v>34</v>
      </c>
      <c r="D60" s="47" t="s">
        <v>352</v>
      </c>
      <c r="E60" s="45" t="s">
        <v>176</v>
      </c>
      <c r="F60" s="45" t="s">
        <v>177</v>
      </c>
      <c r="G60" s="45" t="s">
        <v>2479</v>
      </c>
      <c r="H60" s="45" t="s">
        <v>2480</v>
      </c>
      <c r="I60" s="45" t="s">
        <v>2481</v>
      </c>
      <c r="J60" s="45">
        <v>462170514</v>
      </c>
      <c r="K60" s="45" t="s">
        <v>2418</v>
      </c>
      <c r="L60" s="48">
        <v>190</v>
      </c>
      <c r="M60" s="49">
        <v>20241206348</v>
      </c>
      <c r="N60" s="50" t="s">
        <v>28</v>
      </c>
      <c r="O60" s="50"/>
      <c r="P60" s="50"/>
      <c r="Q60" s="51"/>
      <c r="R60" s="50"/>
      <c r="S60" s="50"/>
      <c r="T60" s="51"/>
      <c r="U60" s="50"/>
    </row>
    <row r="61" spans="1:21" ht="25.5" x14ac:dyDescent="0.25">
      <c r="A61" s="45" t="s">
        <v>29</v>
      </c>
      <c r="B61" s="46">
        <v>45762</v>
      </c>
      <c r="C61" s="45" t="s">
        <v>34</v>
      </c>
      <c r="D61" s="47" t="s">
        <v>352</v>
      </c>
      <c r="E61" s="45" t="s">
        <v>176</v>
      </c>
      <c r="F61" s="45" t="s">
        <v>177</v>
      </c>
      <c r="G61" s="45" t="s">
        <v>834</v>
      </c>
      <c r="H61" s="45" t="s">
        <v>2161</v>
      </c>
      <c r="I61" s="45" t="s">
        <v>2482</v>
      </c>
      <c r="J61" s="45">
        <v>462710503</v>
      </c>
      <c r="K61" s="45" t="s">
        <v>1358</v>
      </c>
      <c r="L61" s="48">
        <v>355</v>
      </c>
      <c r="M61" s="49">
        <v>202412021305</v>
      </c>
      <c r="N61" s="50" t="s">
        <v>28</v>
      </c>
      <c r="O61" s="50"/>
      <c r="P61" s="50"/>
      <c r="Q61" s="51"/>
      <c r="R61" s="50"/>
      <c r="S61" s="50"/>
      <c r="T61" s="51"/>
      <c r="U61" s="50"/>
    </row>
    <row r="62" spans="1:21" x14ac:dyDescent="0.25">
      <c r="A62" s="45" t="s">
        <v>756</v>
      </c>
      <c r="B62" s="46">
        <v>45762</v>
      </c>
      <c r="C62" s="45" t="s">
        <v>34</v>
      </c>
      <c r="D62" s="47" t="s">
        <v>352</v>
      </c>
      <c r="E62" s="45" t="s">
        <v>176</v>
      </c>
      <c r="F62" s="45" t="s">
        <v>177</v>
      </c>
      <c r="G62" s="45" t="s">
        <v>2483</v>
      </c>
      <c r="H62" s="45" t="s">
        <v>1811</v>
      </c>
      <c r="I62" s="45" t="s">
        <v>2484</v>
      </c>
      <c r="J62" s="45">
        <v>463897527</v>
      </c>
      <c r="K62" s="45" t="s">
        <v>2125</v>
      </c>
      <c r="L62" s="48">
        <v>1646.94</v>
      </c>
      <c r="M62" s="49">
        <v>20241204376</v>
      </c>
      <c r="N62" s="50" t="s">
        <v>28</v>
      </c>
      <c r="O62" s="50"/>
      <c r="P62" s="50"/>
      <c r="Q62" s="51"/>
      <c r="R62" s="50"/>
      <c r="S62" s="50"/>
      <c r="T62" s="51"/>
      <c r="U62" s="50"/>
    </row>
    <row r="63" spans="1:21" x14ac:dyDescent="0.25">
      <c r="A63" s="45" t="s">
        <v>20</v>
      </c>
      <c r="B63" s="46">
        <v>45762</v>
      </c>
      <c r="C63" s="45" t="s">
        <v>34</v>
      </c>
      <c r="D63" s="47" t="s">
        <v>352</v>
      </c>
      <c r="E63" s="45" t="s">
        <v>176</v>
      </c>
      <c r="F63" s="45" t="s">
        <v>177</v>
      </c>
      <c r="G63" s="45" t="s">
        <v>2485</v>
      </c>
      <c r="H63" s="45" t="s">
        <v>1340</v>
      </c>
      <c r="I63" s="45" t="s">
        <v>2486</v>
      </c>
      <c r="J63" s="45">
        <v>465930377</v>
      </c>
      <c r="K63" s="45" t="s">
        <v>2487</v>
      </c>
      <c r="L63" s="48">
        <v>50</v>
      </c>
      <c r="M63" s="49">
        <v>20241205164</v>
      </c>
      <c r="N63" s="50" t="s">
        <v>28</v>
      </c>
      <c r="O63" s="50"/>
      <c r="P63" s="50"/>
      <c r="Q63" s="51"/>
      <c r="R63" s="50"/>
      <c r="S63" s="50"/>
      <c r="T63" s="51"/>
      <c r="U63" s="50"/>
    </row>
    <row r="64" spans="1:21" x14ac:dyDescent="0.25">
      <c r="A64" s="45" t="s">
        <v>20</v>
      </c>
      <c r="B64" s="46">
        <v>45648</v>
      </c>
      <c r="C64" s="45" t="s">
        <v>175</v>
      </c>
      <c r="D64" s="47"/>
      <c r="E64" s="45" t="s">
        <v>176</v>
      </c>
      <c r="F64" s="45" t="s">
        <v>177</v>
      </c>
      <c r="G64" s="45" t="s">
        <v>2485</v>
      </c>
      <c r="H64" s="45" t="s">
        <v>1340</v>
      </c>
      <c r="I64" s="45" t="s">
        <v>2486</v>
      </c>
      <c r="J64" s="45">
        <v>465930377</v>
      </c>
      <c r="K64" s="45" t="s">
        <v>1230</v>
      </c>
      <c r="L64" s="48">
        <v>3.02</v>
      </c>
      <c r="M64" s="49">
        <v>20241205162</v>
      </c>
      <c r="N64" s="50" t="s">
        <v>13</v>
      </c>
      <c r="O64" s="50"/>
      <c r="P64" s="50"/>
      <c r="Q64" s="51"/>
      <c r="R64" s="50"/>
      <c r="S64" s="50"/>
      <c r="T64" s="51"/>
      <c r="U64" s="50"/>
    </row>
    <row r="65" spans="1:21" x14ac:dyDescent="0.25">
      <c r="A65" s="45" t="s">
        <v>20</v>
      </c>
      <c r="B65" s="46">
        <v>45648</v>
      </c>
      <c r="C65" s="45" t="s">
        <v>175</v>
      </c>
      <c r="D65" s="47"/>
      <c r="E65" s="45" t="s">
        <v>176</v>
      </c>
      <c r="F65" s="45" t="s">
        <v>177</v>
      </c>
      <c r="G65" s="45" t="s">
        <v>2485</v>
      </c>
      <c r="H65" s="45" t="s">
        <v>1340</v>
      </c>
      <c r="I65" s="45" t="s">
        <v>2486</v>
      </c>
      <c r="J65" s="45">
        <v>465930377</v>
      </c>
      <c r="K65" s="45" t="s">
        <v>2142</v>
      </c>
      <c r="L65" s="48">
        <v>5</v>
      </c>
      <c r="M65" s="49">
        <v>20241205163</v>
      </c>
      <c r="N65" s="50" t="s">
        <v>13</v>
      </c>
      <c r="O65" s="50"/>
      <c r="P65" s="50"/>
      <c r="Q65" s="51"/>
      <c r="R65" s="50"/>
      <c r="S65" s="50"/>
      <c r="T65" s="51"/>
      <c r="U65" s="50"/>
    </row>
    <row r="66" spans="1:21" x14ac:dyDescent="0.25">
      <c r="A66" s="45" t="s">
        <v>20</v>
      </c>
      <c r="B66" s="46">
        <v>45648</v>
      </c>
      <c r="C66" s="45" t="s">
        <v>175</v>
      </c>
      <c r="D66" s="47"/>
      <c r="E66" s="45" t="s">
        <v>176</v>
      </c>
      <c r="F66" s="45" t="s">
        <v>177</v>
      </c>
      <c r="G66" s="45" t="s">
        <v>2488</v>
      </c>
      <c r="H66" s="45" t="s">
        <v>2489</v>
      </c>
      <c r="I66" s="45" t="s">
        <v>2490</v>
      </c>
      <c r="J66" s="45">
        <v>466510036</v>
      </c>
      <c r="K66" s="45" t="s">
        <v>147</v>
      </c>
      <c r="L66" s="48">
        <v>354</v>
      </c>
      <c r="M66" s="49">
        <v>20241203206</v>
      </c>
      <c r="N66" s="50" t="s">
        <v>13</v>
      </c>
      <c r="O66" s="50"/>
      <c r="P66" s="50"/>
      <c r="Q66" s="51"/>
      <c r="R66" s="50"/>
      <c r="S66" s="50"/>
      <c r="T66" s="51"/>
      <c r="U66" s="50"/>
    </row>
    <row r="67" spans="1:21" x14ac:dyDescent="0.25">
      <c r="A67" s="45" t="s">
        <v>20</v>
      </c>
      <c r="B67" s="46">
        <v>45648</v>
      </c>
      <c r="C67" s="45" t="s">
        <v>175</v>
      </c>
      <c r="D67" s="47"/>
      <c r="E67" s="45" t="s">
        <v>1631</v>
      </c>
      <c r="F67" s="45" t="s">
        <v>1122</v>
      </c>
      <c r="G67" s="45" t="s">
        <v>2491</v>
      </c>
      <c r="H67" s="45" t="s">
        <v>1107</v>
      </c>
      <c r="I67" s="45" t="s">
        <v>2492</v>
      </c>
      <c r="J67" s="45">
        <v>47569385</v>
      </c>
      <c r="K67" s="45" t="s">
        <v>358</v>
      </c>
      <c r="L67" s="48">
        <v>1589.01</v>
      </c>
      <c r="M67" s="49">
        <v>20241202842</v>
      </c>
      <c r="N67" s="50" t="s">
        <v>13</v>
      </c>
      <c r="O67" s="50"/>
      <c r="P67" s="50"/>
      <c r="Q67" s="51"/>
      <c r="R67" s="50"/>
      <c r="S67" s="50"/>
      <c r="T67" s="51"/>
      <c r="U67" s="50"/>
    </row>
    <row r="68" spans="1:21" x14ac:dyDescent="0.25">
      <c r="A68" s="45" t="s">
        <v>20</v>
      </c>
      <c r="B68" s="46">
        <v>45648</v>
      </c>
      <c r="C68" s="45" t="s">
        <v>175</v>
      </c>
      <c r="D68" s="47"/>
      <c r="E68" s="45" t="s">
        <v>1631</v>
      </c>
      <c r="F68" s="45" t="s">
        <v>1122</v>
      </c>
      <c r="G68" s="45" t="s">
        <v>2491</v>
      </c>
      <c r="H68" s="45" t="s">
        <v>1107</v>
      </c>
      <c r="I68" s="45" t="s">
        <v>2492</v>
      </c>
      <c r="J68" s="45">
        <v>47569385</v>
      </c>
      <c r="K68" s="45" t="s">
        <v>1543</v>
      </c>
      <c r="L68" s="48">
        <v>849.22</v>
      </c>
      <c r="M68" s="49">
        <v>20241202843</v>
      </c>
      <c r="N68" s="50" t="s">
        <v>13</v>
      </c>
      <c r="O68" s="50"/>
      <c r="P68" s="50"/>
      <c r="Q68" s="51"/>
      <c r="R68" s="50"/>
      <c r="S68" s="50"/>
      <c r="T68" s="51"/>
      <c r="U68" s="50"/>
    </row>
    <row r="69" spans="1:21" ht="25.5" x14ac:dyDescent="0.25">
      <c r="A69" s="45" t="s">
        <v>20</v>
      </c>
      <c r="B69" s="46">
        <v>45648</v>
      </c>
      <c r="C69" s="45" t="s">
        <v>175</v>
      </c>
      <c r="D69" s="47"/>
      <c r="E69" s="45" t="s">
        <v>1631</v>
      </c>
      <c r="F69" s="45" t="s">
        <v>1122</v>
      </c>
      <c r="G69" s="45" t="s">
        <v>869</v>
      </c>
      <c r="H69" s="45" t="s">
        <v>2493</v>
      </c>
      <c r="I69" s="45" t="s">
        <v>2494</v>
      </c>
      <c r="J69" s="45">
        <v>461971833</v>
      </c>
      <c r="K69" s="45" t="s">
        <v>2495</v>
      </c>
      <c r="L69" s="48">
        <v>1758</v>
      </c>
      <c r="M69" s="49">
        <v>20241205853</v>
      </c>
      <c r="N69" s="50" t="s">
        <v>13</v>
      </c>
      <c r="O69" s="50"/>
      <c r="P69" s="50"/>
      <c r="Q69" s="51"/>
      <c r="R69" s="50"/>
      <c r="S69" s="50"/>
      <c r="T69" s="51"/>
      <c r="U69" s="50"/>
    </row>
    <row r="70" spans="1:21" x14ac:dyDescent="0.25">
      <c r="A70" s="45" t="s">
        <v>20</v>
      </c>
      <c r="B70" s="46">
        <v>45648</v>
      </c>
      <c r="C70" s="45" t="s">
        <v>175</v>
      </c>
      <c r="D70" s="47"/>
      <c r="E70" s="45" t="s">
        <v>1631</v>
      </c>
      <c r="F70" s="45" t="s">
        <v>1122</v>
      </c>
      <c r="G70" s="45" t="s">
        <v>1000</v>
      </c>
      <c r="H70" s="45" t="s">
        <v>2138</v>
      </c>
      <c r="I70" s="45" t="s">
        <v>2496</v>
      </c>
      <c r="J70" s="45">
        <v>466915264</v>
      </c>
      <c r="K70" s="45" t="s">
        <v>939</v>
      </c>
      <c r="L70" s="48">
        <v>211</v>
      </c>
      <c r="M70" s="49">
        <v>20241202894</v>
      </c>
      <c r="N70" s="50" t="s">
        <v>13</v>
      </c>
      <c r="O70" s="50"/>
      <c r="P70" s="50"/>
      <c r="Q70" s="51"/>
      <c r="R70" s="50"/>
      <c r="S70" s="50"/>
      <c r="T70" s="51"/>
      <c r="U70" s="50"/>
    </row>
    <row r="71" spans="1:21" x14ac:dyDescent="0.25">
      <c r="A71" s="45" t="s">
        <v>20</v>
      </c>
      <c r="B71" s="46">
        <v>45648</v>
      </c>
      <c r="C71" s="45" t="s">
        <v>175</v>
      </c>
      <c r="D71" s="47"/>
      <c r="E71" s="45" t="s">
        <v>1631</v>
      </c>
      <c r="F71" s="45" t="s">
        <v>1122</v>
      </c>
      <c r="G71" s="45" t="s">
        <v>1000</v>
      </c>
      <c r="H71" s="45" t="s">
        <v>2138</v>
      </c>
      <c r="I71" s="45" t="s">
        <v>2496</v>
      </c>
      <c r="J71" s="45">
        <v>466915264</v>
      </c>
      <c r="K71" s="45" t="s">
        <v>301</v>
      </c>
      <c r="L71" s="48">
        <v>120</v>
      </c>
      <c r="M71" s="49">
        <v>20241202895</v>
      </c>
      <c r="N71" s="50" t="s">
        <v>13</v>
      </c>
      <c r="O71" s="50"/>
      <c r="P71" s="50"/>
      <c r="Q71" s="51"/>
      <c r="R71" s="50"/>
      <c r="S71" s="50"/>
      <c r="T71" s="51"/>
      <c r="U71" s="50"/>
    </row>
    <row r="72" spans="1:21" x14ac:dyDescent="0.25">
      <c r="A72" s="45" t="s">
        <v>20</v>
      </c>
      <c r="B72" s="46">
        <v>45648</v>
      </c>
      <c r="C72" s="45" t="s">
        <v>175</v>
      </c>
      <c r="D72" s="47"/>
      <c r="E72" s="45" t="s">
        <v>1631</v>
      </c>
      <c r="F72" s="45" t="s">
        <v>1122</v>
      </c>
      <c r="G72" s="45" t="s">
        <v>1000</v>
      </c>
      <c r="H72" s="45" t="s">
        <v>2138</v>
      </c>
      <c r="I72" s="45" t="s">
        <v>2496</v>
      </c>
      <c r="J72" s="45">
        <v>466915264</v>
      </c>
      <c r="K72" s="45" t="s">
        <v>406</v>
      </c>
      <c r="L72" s="48">
        <v>61.5</v>
      </c>
      <c r="M72" s="49">
        <v>20241202896</v>
      </c>
      <c r="N72" s="50" t="s">
        <v>13</v>
      </c>
      <c r="O72" s="50"/>
      <c r="P72" s="50"/>
      <c r="Q72" s="51"/>
      <c r="R72" s="50"/>
      <c r="S72" s="50"/>
      <c r="T72" s="51"/>
      <c r="U72" s="50"/>
    </row>
    <row r="73" spans="1:21" ht="25.5" x14ac:dyDescent="0.25">
      <c r="A73" s="45" t="s">
        <v>20</v>
      </c>
      <c r="B73" s="46">
        <v>45648</v>
      </c>
      <c r="C73" s="45" t="s">
        <v>175</v>
      </c>
      <c r="D73" s="47"/>
      <c r="E73" s="45" t="s">
        <v>1631</v>
      </c>
      <c r="F73" s="45" t="s">
        <v>1122</v>
      </c>
      <c r="G73" s="45" t="s">
        <v>2497</v>
      </c>
      <c r="H73" s="45" t="s">
        <v>1787</v>
      </c>
      <c r="I73" s="45" t="s">
        <v>2498</v>
      </c>
      <c r="J73" s="45">
        <v>528539871</v>
      </c>
      <c r="K73" s="45" t="s">
        <v>101</v>
      </c>
      <c r="L73" s="48">
        <v>300</v>
      </c>
      <c r="M73" s="49">
        <v>20241203815</v>
      </c>
      <c r="N73" s="50" t="s">
        <v>13</v>
      </c>
      <c r="O73" s="50"/>
      <c r="P73" s="50"/>
      <c r="Q73" s="51"/>
      <c r="R73" s="50"/>
      <c r="S73" s="50"/>
      <c r="T73" s="51"/>
      <c r="U73" s="50"/>
    </row>
    <row r="74" spans="1:21" x14ac:dyDescent="0.25">
      <c r="A74" s="45" t="s">
        <v>20</v>
      </c>
      <c r="B74" s="46">
        <v>45648</v>
      </c>
      <c r="C74" s="45" t="s">
        <v>175</v>
      </c>
      <c r="D74" s="47"/>
      <c r="E74" s="45" t="s">
        <v>1631</v>
      </c>
      <c r="F74" s="45" t="s">
        <v>1122</v>
      </c>
      <c r="G74" s="45" t="s">
        <v>900</v>
      </c>
      <c r="H74" s="45" t="s">
        <v>2499</v>
      </c>
      <c r="I74" s="45" t="s">
        <v>2500</v>
      </c>
      <c r="J74" s="45">
        <v>529454768</v>
      </c>
      <c r="K74" s="45" t="s">
        <v>1033</v>
      </c>
      <c r="L74" s="48">
        <v>361.92</v>
      </c>
      <c r="M74" s="49">
        <v>20241204781</v>
      </c>
      <c r="N74" s="50" t="s">
        <v>13</v>
      </c>
      <c r="O74" s="50"/>
      <c r="P74" s="50"/>
      <c r="Q74" s="51"/>
      <c r="R74" s="50"/>
      <c r="S74" s="50"/>
      <c r="T74" s="51"/>
      <c r="U74" s="50"/>
    </row>
    <row r="75" spans="1:21" x14ac:dyDescent="0.25">
      <c r="A75" s="45" t="s">
        <v>20</v>
      </c>
      <c r="B75" s="46">
        <v>45648</v>
      </c>
      <c r="C75" s="45" t="s">
        <v>175</v>
      </c>
      <c r="D75" s="47"/>
      <c r="E75" s="45" t="s">
        <v>1631</v>
      </c>
      <c r="F75" s="45" t="s">
        <v>1122</v>
      </c>
      <c r="G75" s="45" t="s">
        <v>900</v>
      </c>
      <c r="H75" s="45" t="s">
        <v>2499</v>
      </c>
      <c r="I75" s="45" t="s">
        <v>2500</v>
      </c>
      <c r="J75" s="45">
        <v>529454768</v>
      </c>
      <c r="K75" s="45" t="s">
        <v>2501</v>
      </c>
      <c r="L75" s="48">
        <v>922.96</v>
      </c>
      <c r="M75" s="49">
        <v>20241204780</v>
      </c>
      <c r="N75" s="50" t="s">
        <v>13</v>
      </c>
      <c r="O75" s="50"/>
      <c r="P75" s="50"/>
      <c r="Q75" s="51"/>
      <c r="R75" s="50"/>
      <c r="S75" s="50"/>
      <c r="T75" s="51"/>
      <c r="U75" s="50"/>
    </row>
    <row r="76" spans="1:21" x14ac:dyDescent="0.25">
      <c r="A76" s="45" t="s">
        <v>20</v>
      </c>
      <c r="B76" s="46">
        <v>45648</v>
      </c>
      <c r="C76" s="45" t="s">
        <v>175</v>
      </c>
      <c r="D76" s="47"/>
      <c r="E76" s="45" t="s">
        <v>1631</v>
      </c>
      <c r="F76" s="45" t="s">
        <v>1122</v>
      </c>
      <c r="G76" s="45" t="s">
        <v>1955</v>
      </c>
      <c r="H76" s="45" t="s">
        <v>1956</v>
      </c>
      <c r="I76" s="45" t="s">
        <v>1957</v>
      </c>
      <c r="J76" s="45">
        <v>529883118</v>
      </c>
      <c r="K76" s="45" t="s">
        <v>1005</v>
      </c>
      <c r="L76" s="48">
        <v>466.3</v>
      </c>
      <c r="M76" s="49">
        <v>20241203925</v>
      </c>
      <c r="N76" s="50" t="s">
        <v>13</v>
      </c>
      <c r="O76" s="50"/>
      <c r="P76" s="50"/>
      <c r="Q76" s="51"/>
      <c r="R76" s="50"/>
      <c r="S76" s="50"/>
      <c r="T76" s="51"/>
      <c r="U76" s="50"/>
    </row>
    <row r="77" spans="1:21" x14ac:dyDescent="0.25">
      <c r="A77" s="45" t="s">
        <v>20</v>
      </c>
      <c r="B77" s="46">
        <v>45648</v>
      </c>
      <c r="C77" s="45" t="s">
        <v>175</v>
      </c>
      <c r="D77" s="47"/>
      <c r="E77" s="45" t="s">
        <v>1631</v>
      </c>
      <c r="F77" s="45" t="s">
        <v>1122</v>
      </c>
      <c r="G77" s="45" t="s">
        <v>1955</v>
      </c>
      <c r="H77" s="45" t="s">
        <v>1956</v>
      </c>
      <c r="I77" s="45" t="s">
        <v>1957</v>
      </c>
      <c r="J77" s="45">
        <v>529883118</v>
      </c>
      <c r="K77" s="45" t="s">
        <v>1908</v>
      </c>
      <c r="L77" s="48">
        <v>5</v>
      </c>
      <c r="M77" s="49">
        <v>20241203921</v>
      </c>
      <c r="N77" s="50" t="s">
        <v>13</v>
      </c>
      <c r="O77" s="50"/>
      <c r="P77" s="50"/>
      <c r="Q77" s="51"/>
      <c r="R77" s="50"/>
      <c r="S77" s="50"/>
      <c r="T77" s="51"/>
      <c r="U77" s="50"/>
    </row>
    <row r="78" spans="1:21" x14ac:dyDescent="0.25">
      <c r="A78" s="45" t="s">
        <v>20</v>
      </c>
      <c r="B78" s="46">
        <v>45648</v>
      </c>
      <c r="C78" s="45" t="s">
        <v>175</v>
      </c>
      <c r="D78" s="47"/>
      <c r="E78" s="45" t="s">
        <v>1631</v>
      </c>
      <c r="F78" s="45" t="s">
        <v>1122</v>
      </c>
      <c r="G78" s="45" t="s">
        <v>1955</v>
      </c>
      <c r="H78" s="45" t="s">
        <v>1956</v>
      </c>
      <c r="I78" s="45" t="s">
        <v>1957</v>
      </c>
      <c r="J78" s="45">
        <v>529883118</v>
      </c>
      <c r="K78" s="45" t="s">
        <v>2142</v>
      </c>
      <c r="L78" s="48">
        <v>5</v>
      </c>
      <c r="M78" s="49">
        <v>20241203922</v>
      </c>
      <c r="N78" s="50" t="s">
        <v>13</v>
      </c>
      <c r="O78" s="50"/>
      <c r="P78" s="50"/>
      <c r="Q78" s="51"/>
      <c r="R78" s="50"/>
      <c r="S78" s="50"/>
      <c r="T78" s="51"/>
      <c r="U78" s="50"/>
    </row>
    <row r="79" spans="1:21" x14ac:dyDescent="0.25">
      <c r="A79" s="45" t="s">
        <v>20</v>
      </c>
      <c r="B79" s="46">
        <v>45763</v>
      </c>
      <c r="C79" s="45" t="s">
        <v>352</v>
      </c>
      <c r="D79" s="47" t="s">
        <v>168</v>
      </c>
      <c r="E79" s="45" t="s">
        <v>1631</v>
      </c>
      <c r="F79" s="45" t="s">
        <v>1122</v>
      </c>
      <c r="G79" s="45" t="s">
        <v>1955</v>
      </c>
      <c r="H79" s="45" t="s">
        <v>1956</v>
      </c>
      <c r="I79" s="45" t="s">
        <v>1957</v>
      </c>
      <c r="J79" s="45">
        <v>529883118</v>
      </c>
      <c r="K79" s="45" t="s">
        <v>2087</v>
      </c>
      <c r="L79" s="48">
        <v>5</v>
      </c>
      <c r="M79" s="49">
        <v>20241203923</v>
      </c>
      <c r="N79" s="50" t="s">
        <v>28</v>
      </c>
      <c r="O79" s="50"/>
      <c r="P79" s="50"/>
      <c r="Q79" s="51"/>
      <c r="R79" s="50"/>
      <c r="S79" s="50"/>
      <c r="T79" s="51"/>
      <c r="U79" s="50"/>
    </row>
    <row r="80" spans="1:21" x14ac:dyDescent="0.25">
      <c r="A80" s="45" t="s">
        <v>20</v>
      </c>
      <c r="B80" s="46">
        <v>45763</v>
      </c>
      <c r="C80" s="45" t="s">
        <v>352</v>
      </c>
      <c r="D80" s="47" t="s">
        <v>168</v>
      </c>
      <c r="E80" s="45" t="s">
        <v>1631</v>
      </c>
      <c r="F80" s="45" t="s">
        <v>1122</v>
      </c>
      <c r="G80" s="45" t="s">
        <v>1955</v>
      </c>
      <c r="H80" s="45" t="s">
        <v>1956</v>
      </c>
      <c r="I80" s="45" t="s">
        <v>1957</v>
      </c>
      <c r="J80" s="45">
        <v>529883118</v>
      </c>
      <c r="K80" s="45" t="s">
        <v>76</v>
      </c>
      <c r="L80" s="48">
        <v>28.26</v>
      </c>
      <c r="M80" s="49">
        <v>20241203924</v>
      </c>
      <c r="N80" s="50" t="s">
        <v>28</v>
      </c>
      <c r="O80" s="50"/>
      <c r="P80" s="50"/>
      <c r="Q80" s="51"/>
      <c r="R80" s="50"/>
      <c r="S80" s="50"/>
      <c r="T80" s="51"/>
      <c r="U80" s="50"/>
    </row>
    <row r="81" spans="1:21" ht="25.5" x14ac:dyDescent="0.25">
      <c r="A81" s="45" t="s">
        <v>29</v>
      </c>
      <c r="B81" s="46">
        <v>45763</v>
      </c>
      <c r="C81" s="45" t="s">
        <v>352</v>
      </c>
      <c r="D81" s="47" t="s">
        <v>168</v>
      </c>
      <c r="E81" s="45" t="s">
        <v>208</v>
      </c>
      <c r="F81" s="45" t="s">
        <v>209</v>
      </c>
      <c r="G81" s="45" t="s">
        <v>2502</v>
      </c>
      <c r="H81" s="45" t="s">
        <v>2503</v>
      </c>
      <c r="I81" s="45" t="s">
        <v>969</v>
      </c>
      <c r="J81" s="45">
        <v>514083094</v>
      </c>
      <c r="K81" s="45" t="s">
        <v>160</v>
      </c>
      <c r="L81" s="48">
        <v>310</v>
      </c>
      <c r="M81" s="49">
        <v>20241004258</v>
      </c>
      <c r="N81" s="50" t="s">
        <v>28</v>
      </c>
      <c r="O81" s="50"/>
      <c r="P81" s="50"/>
      <c r="Q81" s="51"/>
      <c r="R81" s="50"/>
      <c r="S81" s="50"/>
      <c r="T81" s="51"/>
      <c r="U81" s="50"/>
    </row>
    <row r="82" spans="1:21" ht="25.5" x14ac:dyDescent="0.25">
      <c r="A82" s="45" t="s">
        <v>29</v>
      </c>
      <c r="B82" s="46">
        <v>45763</v>
      </c>
      <c r="C82" s="45" t="s">
        <v>352</v>
      </c>
      <c r="D82" s="47" t="s">
        <v>168</v>
      </c>
      <c r="E82" s="45" t="s">
        <v>208</v>
      </c>
      <c r="F82" s="45" t="s">
        <v>209</v>
      </c>
      <c r="G82" s="45" t="s">
        <v>2502</v>
      </c>
      <c r="H82" s="45" t="s">
        <v>2503</v>
      </c>
      <c r="I82" s="45" t="s">
        <v>969</v>
      </c>
      <c r="J82" s="45">
        <v>514083094</v>
      </c>
      <c r="K82" s="45" t="s">
        <v>301</v>
      </c>
      <c r="L82" s="48">
        <v>2115.41</v>
      </c>
      <c r="M82" s="49">
        <v>20241206896</v>
      </c>
      <c r="N82" s="50" t="s">
        <v>28</v>
      </c>
      <c r="O82" s="50"/>
      <c r="P82" s="50"/>
      <c r="Q82" s="51"/>
      <c r="R82" s="50"/>
      <c r="S82" s="50"/>
      <c r="T82" s="51"/>
      <c r="U82" s="50"/>
    </row>
    <row r="83" spans="1:21" x14ac:dyDescent="0.25">
      <c r="A83" s="45" t="s">
        <v>20</v>
      </c>
      <c r="B83" s="46">
        <v>45763</v>
      </c>
      <c r="C83" s="45" t="s">
        <v>352</v>
      </c>
      <c r="D83" s="47" t="s">
        <v>168</v>
      </c>
      <c r="E83" s="45" t="s">
        <v>208</v>
      </c>
      <c r="F83" s="45" t="s">
        <v>209</v>
      </c>
      <c r="G83" s="45" t="s">
        <v>2504</v>
      </c>
      <c r="H83" s="45" t="s">
        <v>1793</v>
      </c>
      <c r="I83" s="45" t="s">
        <v>994</v>
      </c>
      <c r="J83" s="45">
        <v>518410764</v>
      </c>
      <c r="K83" s="45" t="s">
        <v>2239</v>
      </c>
      <c r="L83" s="48">
        <v>10.51</v>
      </c>
      <c r="M83" s="49">
        <v>20241205264</v>
      </c>
      <c r="N83" s="50" t="s">
        <v>28</v>
      </c>
      <c r="O83" s="50"/>
      <c r="P83" s="50"/>
      <c r="Q83" s="51"/>
      <c r="R83" s="50"/>
      <c r="S83" s="50"/>
      <c r="T83" s="51"/>
      <c r="U83" s="50"/>
    </row>
    <row r="84" spans="1:21" x14ac:dyDescent="0.25">
      <c r="A84" s="45" t="s">
        <v>20</v>
      </c>
      <c r="B84" s="46">
        <v>45763</v>
      </c>
      <c r="C84" s="45" t="s">
        <v>352</v>
      </c>
      <c r="D84" s="47" t="s">
        <v>168</v>
      </c>
      <c r="E84" s="45" t="s">
        <v>208</v>
      </c>
      <c r="F84" s="45" t="s">
        <v>209</v>
      </c>
      <c r="G84" s="45" t="s">
        <v>2504</v>
      </c>
      <c r="H84" s="45" t="s">
        <v>1793</v>
      </c>
      <c r="I84" s="45" t="s">
        <v>994</v>
      </c>
      <c r="J84" s="45">
        <v>518410764</v>
      </c>
      <c r="K84" s="45" t="s">
        <v>2505</v>
      </c>
      <c r="L84" s="48">
        <v>202.93</v>
      </c>
      <c r="M84" s="49">
        <v>20241205252</v>
      </c>
      <c r="N84" s="50" t="s">
        <v>28</v>
      </c>
      <c r="O84" s="50"/>
      <c r="P84" s="50"/>
      <c r="Q84" s="51"/>
      <c r="R84" s="50"/>
      <c r="S84" s="50"/>
      <c r="T84" s="51"/>
      <c r="U84" s="50"/>
    </row>
    <row r="85" spans="1:21" ht="30" x14ac:dyDescent="0.25">
      <c r="A85" s="45" t="s">
        <v>20</v>
      </c>
      <c r="B85" s="46">
        <v>45763</v>
      </c>
      <c r="C85" s="45" t="s">
        <v>352</v>
      </c>
      <c r="D85" s="47" t="s">
        <v>168</v>
      </c>
      <c r="E85" s="45" t="s">
        <v>208</v>
      </c>
      <c r="F85" s="45" t="s">
        <v>209</v>
      </c>
      <c r="G85" s="45" t="s">
        <v>2504</v>
      </c>
      <c r="H85" s="45" t="s">
        <v>1793</v>
      </c>
      <c r="I85" s="45" t="s">
        <v>994</v>
      </c>
      <c r="J85" s="45">
        <v>518410764</v>
      </c>
      <c r="K85" s="45" t="s">
        <v>1888</v>
      </c>
      <c r="L85" s="48">
        <v>24.65</v>
      </c>
      <c r="M85" s="49">
        <v>20241205275</v>
      </c>
      <c r="N85" s="50"/>
      <c r="O85" s="50"/>
      <c r="P85" s="50" t="s">
        <v>304</v>
      </c>
      <c r="Q85" s="51" t="s">
        <v>2506</v>
      </c>
      <c r="R85" s="50"/>
      <c r="S85" s="50"/>
      <c r="T85" s="51"/>
      <c r="U85" s="50"/>
    </row>
    <row r="86" spans="1:21" ht="30" x14ac:dyDescent="0.25">
      <c r="A86" s="45" t="s">
        <v>20</v>
      </c>
      <c r="B86" s="46">
        <v>45763</v>
      </c>
      <c r="C86" s="45" t="s">
        <v>352</v>
      </c>
      <c r="D86" s="47" t="s">
        <v>168</v>
      </c>
      <c r="E86" s="45" t="s">
        <v>208</v>
      </c>
      <c r="F86" s="45" t="s">
        <v>209</v>
      </c>
      <c r="G86" s="45" t="s">
        <v>2504</v>
      </c>
      <c r="H86" s="45" t="s">
        <v>1793</v>
      </c>
      <c r="I86" s="45" t="s">
        <v>994</v>
      </c>
      <c r="J86" s="45">
        <v>518410764</v>
      </c>
      <c r="K86" s="45" t="s">
        <v>928</v>
      </c>
      <c r="L86" s="48">
        <v>28.61</v>
      </c>
      <c r="M86" s="49">
        <v>20241205277</v>
      </c>
      <c r="N86" s="50" t="s">
        <v>28</v>
      </c>
      <c r="O86" s="50"/>
      <c r="P86" s="50"/>
      <c r="Q86" s="51" t="s">
        <v>2506</v>
      </c>
      <c r="R86" s="50"/>
      <c r="S86" s="50"/>
      <c r="T86" s="51"/>
      <c r="U86" s="50"/>
    </row>
    <row r="87" spans="1:21" x14ac:dyDescent="0.25">
      <c r="A87" s="45" t="s">
        <v>20</v>
      </c>
      <c r="B87" s="46">
        <v>45763</v>
      </c>
      <c r="C87" s="45" t="s">
        <v>352</v>
      </c>
      <c r="D87" s="47" t="s">
        <v>168</v>
      </c>
      <c r="E87" s="45" t="s">
        <v>208</v>
      </c>
      <c r="F87" s="45" t="s">
        <v>209</v>
      </c>
      <c r="G87" s="45" t="s">
        <v>2504</v>
      </c>
      <c r="H87" s="45" t="s">
        <v>1793</v>
      </c>
      <c r="I87" s="45" t="s">
        <v>994</v>
      </c>
      <c r="J87" s="45">
        <v>518410764</v>
      </c>
      <c r="K87" s="45" t="s">
        <v>1600</v>
      </c>
      <c r="L87" s="48">
        <v>250</v>
      </c>
      <c r="M87" s="49">
        <v>20241205279</v>
      </c>
      <c r="N87" s="50" t="s">
        <v>28</v>
      </c>
      <c r="O87" s="50"/>
      <c r="P87" s="50"/>
      <c r="Q87" s="51"/>
      <c r="R87" s="50"/>
      <c r="S87" s="50"/>
      <c r="T87" s="51"/>
      <c r="U87" s="50"/>
    </row>
    <row r="88" spans="1:21" x14ac:dyDescent="0.25">
      <c r="A88" s="45" t="s">
        <v>20</v>
      </c>
      <c r="B88" s="46">
        <v>45763</v>
      </c>
      <c r="C88" s="45" t="s">
        <v>352</v>
      </c>
      <c r="D88" s="47" t="s">
        <v>168</v>
      </c>
      <c r="E88" s="45" t="s">
        <v>208</v>
      </c>
      <c r="F88" s="45" t="s">
        <v>209</v>
      </c>
      <c r="G88" s="45" t="s">
        <v>2504</v>
      </c>
      <c r="H88" s="45" t="s">
        <v>1793</v>
      </c>
      <c r="I88" s="45" t="s">
        <v>994</v>
      </c>
      <c r="J88" s="45">
        <v>518410764</v>
      </c>
      <c r="K88" s="45" t="s">
        <v>2507</v>
      </c>
      <c r="L88" s="48">
        <v>28.76</v>
      </c>
      <c r="M88" s="49">
        <v>20241205267</v>
      </c>
      <c r="N88" s="50" t="s">
        <v>28</v>
      </c>
      <c r="O88" s="50"/>
      <c r="P88" s="50"/>
      <c r="Q88" s="51"/>
      <c r="R88" s="50"/>
      <c r="S88" s="50"/>
      <c r="T88" s="51"/>
      <c r="U88" s="50"/>
    </row>
    <row r="89" spans="1:21" x14ac:dyDescent="0.25">
      <c r="A89" s="45" t="s">
        <v>20</v>
      </c>
      <c r="B89" s="46">
        <v>45763</v>
      </c>
      <c r="C89" s="45" t="s">
        <v>352</v>
      </c>
      <c r="D89" s="47" t="s">
        <v>168</v>
      </c>
      <c r="E89" s="45" t="s">
        <v>208</v>
      </c>
      <c r="F89" s="45" t="s">
        <v>209</v>
      </c>
      <c r="G89" s="45" t="s">
        <v>2504</v>
      </c>
      <c r="H89" s="45" t="s">
        <v>1793</v>
      </c>
      <c r="I89" s="45" t="s">
        <v>994</v>
      </c>
      <c r="J89" s="45">
        <v>518410764</v>
      </c>
      <c r="K89" s="45" t="s">
        <v>160</v>
      </c>
      <c r="L89" s="48">
        <v>24.06</v>
      </c>
      <c r="M89" s="49">
        <v>20241205269</v>
      </c>
      <c r="N89" s="50" t="s">
        <v>28</v>
      </c>
      <c r="O89" s="50"/>
      <c r="P89" s="50"/>
      <c r="Q89" s="51"/>
      <c r="R89" s="50"/>
      <c r="S89" s="50"/>
      <c r="T89" s="51"/>
      <c r="U89" s="50"/>
    </row>
    <row r="90" spans="1:21" x14ac:dyDescent="0.25">
      <c r="A90" s="45" t="s">
        <v>20</v>
      </c>
      <c r="B90" s="46">
        <v>45763</v>
      </c>
      <c r="C90" s="45" t="s">
        <v>352</v>
      </c>
      <c r="D90" s="47" t="s">
        <v>168</v>
      </c>
      <c r="E90" s="45" t="s">
        <v>208</v>
      </c>
      <c r="F90" s="45" t="s">
        <v>209</v>
      </c>
      <c r="G90" s="45" t="s">
        <v>2504</v>
      </c>
      <c r="H90" s="45" t="s">
        <v>1793</v>
      </c>
      <c r="I90" s="45" t="s">
        <v>994</v>
      </c>
      <c r="J90" s="45">
        <v>518410764</v>
      </c>
      <c r="K90" s="45" t="s">
        <v>1888</v>
      </c>
      <c r="L90" s="48">
        <v>33.97</v>
      </c>
      <c r="M90" s="49">
        <v>20241205271</v>
      </c>
      <c r="N90" s="50" t="s">
        <v>28</v>
      </c>
      <c r="O90" s="50"/>
      <c r="P90" s="50"/>
      <c r="Q90" s="51"/>
      <c r="R90" s="50"/>
      <c r="S90" s="50"/>
      <c r="T90" s="51"/>
      <c r="U90" s="50"/>
    </row>
    <row r="91" spans="1:21" x14ac:dyDescent="0.25">
      <c r="A91" s="45" t="s">
        <v>20</v>
      </c>
      <c r="B91" s="46">
        <v>45763</v>
      </c>
      <c r="C91" s="45" t="s">
        <v>352</v>
      </c>
      <c r="D91" s="47" t="s">
        <v>168</v>
      </c>
      <c r="E91" s="45" t="s">
        <v>208</v>
      </c>
      <c r="F91" s="45" t="s">
        <v>209</v>
      </c>
      <c r="G91" s="45" t="s">
        <v>2504</v>
      </c>
      <c r="H91" s="45" t="s">
        <v>1793</v>
      </c>
      <c r="I91" s="45" t="s">
        <v>994</v>
      </c>
      <c r="J91" s="45">
        <v>518410764</v>
      </c>
      <c r="K91" s="45" t="s">
        <v>1600</v>
      </c>
      <c r="L91" s="48">
        <v>200</v>
      </c>
      <c r="M91" s="49">
        <v>20241205291</v>
      </c>
      <c r="N91" s="50" t="s">
        <v>28</v>
      </c>
      <c r="O91" s="50"/>
      <c r="P91" s="50"/>
      <c r="Q91" s="51"/>
      <c r="R91" s="50"/>
      <c r="S91" s="50"/>
      <c r="T91" s="51"/>
      <c r="U91" s="50"/>
    </row>
    <row r="92" spans="1:21" x14ac:dyDescent="0.25">
      <c r="A92" s="45" t="s">
        <v>20</v>
      </c>
      <c r="B92" s="46">
        <v>45763</v>
      </c>
      <c r="C92" s="45" t="s">
        <v>352</v>
      </c>
      <c r="D92" s="47" t="s">
        <v>168</v>
      </c>
      <c r="E92" s="45" t="s">
        <v>208</v>
      </c>
      <c r="F92" s="45" t="s">
        <v>209</v>
      </c>
      <c r="G92" s="45" t="s">
        <v>2504</v>
      </c>
      <c r="H92" s="45" t="s">
        <v>1793</v>
      </c>
      <c r="I92" s="45" t="s">
        <v>994</v>
      </c>
      <c r="J92" s="45">
        <v>518410764</v>
      </c>
      <c r="K92" s="45" t="s">
        <v>1179</v>
      </c>
      <c r="L92" s="48">
        <v>37.97</v>
      </c>
      <c r="M92" s="49">
        <v>20241205286</v>
      </c>
      <c r="N92" s="50" t="s">
        <v>28</v>
      </c>
      <c r="O92" s="50"/>
      <c r="P92" s="50"/>
      <c r="Q92" s="51"/>
      <c r="R92" s="50"/>
      <c r="S92" s="50"/>
      <c r="T92" s="51"/>
      <c r="U92" s="50"/>
    </row>
    <row r="93" spans="1:21" x14ac:dyDescent="0.25">
      <c r="A93" s="45" t="s">
        <v>20</v>
      </c>
      <c r="B93" s="46">
        <v>45763</v>
      </c>
      <c r="C93" s="45" t="s">
        <v>352</v>
      </c>
      <c r="D93" s="47" t="s">
        <v>168</v>
      </c>
      <c r="E93" s="45" t="s">
        <v>208</v>
      </c>
      <c r="F93" s="45" t="s">
        <v>209</v>
      </c>
      <c r="G93" s="45" t="s">
        <v>2099</v>
      </c>
      <c r="H93" s="45" t="s">
        <v>1228</v>
      </c>
      <c r="I93" s="45" t="s">
        <v>2508</v>
      </c>
      <c r="J93" s="45">
        <v>523849510</v>
      </c>
      <c r="K93" s="45" t="s">
        <v>1347</v>
      </c>
      <c r="L93" s="48">
        <v>40</v>
      </c>
      <c r="M93" s="49">
        <v>20241204896</v>
      </c>
      <c r="N93" s="50" t="s">
        <v>28</v>
      </c>
      <c r="O93" s="50"/>
      <c r="P93" s="50"/>
      <c r="Q93" s="51"/>
      <c r="R93" s="50"/>
      <c r="S93" s="50"/>
      <c r="T93" s="51"/>
      <c r="U93" s="50"/>
    </row>
    <row r="94" spans="1:21" x14ac:dyDescent="0.25">
      <c r="A94" s="45" t="s">
        <v>20</v>
      </c>
      <c r="B94" s="46">
        <v>45763</v>
      </c>
      <c r="C94" s="45" t="s">
        <v>352</v>
      </c>
      <c r="D94" s="47" t="s">
        <v>168</v>
      </c>
      <c r="E94" s="45" t="s">
        <v>208</v>
      </c>
      <c r="F94" s="45" t="s">
        <v>209</v>
      </c>
      <c r="G94" s="45" t="s">
        <v>2099</v>
      </c>
      <c r="H94" s="45" t="s">
        <v>1228</v>
      </c>
      <c r="I94" s="45" t="s">
        <v>2508</v>
      </c>
      <c r="J94" s="45">
        <v>523849510</v>
      </c>
      <c r="K94" s="45" t="s">
        <v>1005</v>
      </c>
      <c r="L94" s="48">
        <v>40</v>
      </c>
      <c r="M94" s="49">
        <v>20241204897</v>
      </c>
      <c r="N94" s="50" t="s">
        <v>28</v>
      </c>
      <c r="O94" s="50"/>
      <c r="P94" s="50"/>
      <c r="Q94" s="51"/>
      <c r="R94" s="50"/>
      <c r="S94" s="50"/>
      <c r="T94" s="51"/>
      <c r="U94" s="50"/>
    </row>
    <row r="95" spans="1:21" x14ac:dyDescent="0.25">
      <c r="A95" s="45" t="s">
        <v>20</v>
      </c>
      <c r="B95" s="46">
        <v>45763</v>
      </c>
      <c r="C95" s="45" t="s">
        <v>352</v>
      </c>
      <c r="D95" s="47" t="s">
        <v>168</v>
      </c>
      <c r="E95" s="45" t="s">
        <v>208</v>
      </c>
      <c r="F95" s="45" t="s">
        <v>209</v>
      </c>
      <c r="G95" s="45" t="s">
        <v>2509</v>
      </c>
      <c r="H95" s="45" t="s">
        <v>362</v>
      </c>
      <c r="I95" s="45" t="s">
        <v>2510</v>
      </c>
      <c r="J95" s="45">
        <v>524414366</v>
      </c>
      <c r="K95" s="45" t="s">
        <v>269</v>
      </c>
      <c r="L95" s="48">
        <v>45</v>
      </c>
      <c r="M95" s="49">
        <v>20241205720</v>
      </c>
      <c r="N95" s="50" t="s">
        <v>28</v>
      </c>
      <c r="O95" s="50"/>
      <c r="P95" s="50"/>
      <c r="Q95" s="51"/>
      <c r="R95" s="50"/>
      <c r="S95" s="50"/>
      <c r="T95" s="51"/>
      <c r="U95" s="50"/>
    </row>
    <row r="96" spans="1:21" x14ac:dyDescent="0.25">
      <c r="A96" s="45" t="s">
        <v>1138</v>
      </c>
      <c r="B96" s="46">
        <v>45762</v>
      </c>
      <c r="C96" s="45" t="s">
        <v>352</v>
      </c>
      <c r="D96" s="47"/>
      <c r="E96" s="45" t="s">
        <v>245</v>
      </c>
      <c r="F96" s="45" t="s">
        <v>246</v>
      </c>
      <c r="G96" s="45" t="s">
        <v>2511</v>
      </c>
      <c r="H96" s="45" t="s">
        <v>2512</v>
      </c>
      <c r="I96" s="45" t="s">
        <v>1308</v>
      </c>
      <c r="J96" s="45">
        <v>519411133</v>
      </c>
      <c r="K96" s="45" t="s">
        <v>1593</v>
      </c>
      <c r="L96" s="48">
        <v>13.98</v>
      </c>
      <c r="M96" s="49">
        <v>20241205504</v>
      </c>
      <c r="N96" s="50" t="s">
        <v>28</v>
      </c>
      <c r="O96" s="50"/>
      <c r="P96" s="50"/>
      <c r="Q96" s="51"/>
      <c r="R96" s="50"/>
      <c r="S96" s="50"/>
      <c r="T96" s="51"/>
      <c r="U96" s="50"/>
    </row>
    <row r="97" spans="1:21" x14ac:dyDescent="0.25">
      <c r="A97" s="45" t="s">
        <v>407</v>
      </c>
      <c r="B97" s="46">
        <v>45762</v>
      </c>
      <c r="C97" s="45" t="s">
        <v>352</v>
      </c>
      <c r="D97" s="47"/>
      <c r="E97" s="45" t="s">
        <v>245</v>
      </c>
      <c r="F97" s="45" t="s">
        <v>246</v>
      </c>
      <c r="G97" s="45" t="s">
        <v>2511</v>
      </c>
      <c r="H97" s="45" t="s">
        <v>2512</v>
      </c>
      <c r="I97" s="45" t="s">
        <v>1308</v>
      </c>
      <c r="J97" s="45">
        <v>519411133</v>
      </c>
      <c r="K97" s="45" t="s">
        <v>1593</v>
      </c>
      <c r="L97" s="48">
        <v>13.98</v>
      </c>
      <c r="M97" s="49">
        <v>20241205504</v>
      </c>
      <c r="N97" s="50" t="s">
        <v>28</v>
      </c>
      <c r="O97" s="50"/>
      <c r="P97" s="50"/>
      <c r="Q97" s="51"/>
      <c r="R97" s="50"/>
      <c r="S97" s="50"/>
      <c r="T97" s="51"/>
      <c r="U97" s="50"/>
    </row>
    <row r="98" spans="1:21" x14ac:dyDescent="0.25">
      <c r="A98" s="45" t="s">
        <v>1138</v>
      </c>
      <c r="B98" s="46">
        <v>45762</v>
      </c>
      <c r="C98" s="45" t="s">
        <v>352</v>
      </c>
      <c r="D98" s="47"/>
      <c r="E98" s="45" t="s">
        <v>245</v>
      </c>
      <c r="F98" s="45" t="s">
        <v>246</v>
      </c>
      <c r="G98" s="45" t="s">
        <v>2511</v>
      </c>
      <c r="H98" s="45" t="s">
        <v>2512</v>
      </c>
      <c r="I98" s="45" t="s">
        <v>1308</v>
      </c>
      <c r="J98" s="45">
        <v>519411133</v>
      </c>
      <c r="K98" s="45" t="s">
        <v>932</v>
      </c>
      <c r="L98" s="48">
        <v>236.02</v>
      </c>
      <c r="M98" s="49">
        <v>20241205672</v>
      </c>
      <c r="N98" s="50" t="s">
        <v>28</v>
      </c>
      <c r="O98" s="50"/>
      <c r="P98" s="50"/>
      <c r="Q98" s="51"/>
      <c r="R98" s="50"/>
      <c r="S98" s="50"/>
      <c r="T98" s="51"/>
      <c r="U98" s="50"/>
    </row>
    <row r="99" spans="1:21" x14ac:dyDescent="0.25">
      <c r="A99" s="45" t="s">
        <v>407</v>
      </c>
      <c r="B99" s="46">
        <v>45762</v>
      </c>
      <c r="C99" s="45" t="s">
        <v>352</v>
      </c>
      <c r="D99" s="47"/>
      <c r="E99" s="45" t="s">
        <v>245</v>
      </c>
      <c r="F99" s="45" t="s">
        <v>246</v>
      </c>
      <c r="G99" s="45" t="s">
        <v>2511</v>
      </c>
      <c r="H99" s="45" t="s">
        <v>2512</v>
      </c>
      <c r="I99" s="45" t="s">
        <v>1308</v>
      </c>
      <c r="J99" s="45">
        <v>519411133</v>
      </c>
      <c r="K99" s="45" t="s">
        <v>281</v>
      </c>
      <c r="L99" s="48">
        <v>20</v>
      </c>
      <c r="M99" s="49">
        <v>20241205674</v>
      </c>
      <c r="N99" s="50" t="s">
        <v>28</v>
      </c>
      <c r="O99" s="50"/>
      <c r="P99" s="50"/>
      <c r="Q99" s="51"/>
      <c r="R99" s="50"/>
      <c r="S99" s="50"/>
      <c r="T99" s="51"/>
      <c r="U99" s="50"/>
    </row>
    <row r="100" spans="1:21" x14ac:dyDescent="0.25">
      <c r="A100" s="45" t="s">
        <v>1138</v>
      </c>
      <c r="B100" s="46">
        <v>45762</v>
      </c>
      <c r="C100" s="45" t="s">
        <v>352</v>
      </c>
      <c r="D100" s="47"/>
      <c r="E100" s="45" t="s">
        <v>245</v>
      </c>
      <c r="F100" s="45" t="s">
        <v>246</v>
      </c>
      <c r="G100" s="45" t="s">
        <v>2511</v>
      </c>
      <c r="H100" s="45" t="s">
        <v>2512</v>
      </c>
      <c r="I100" s="45" t="s">
        <v>1308</v>
      </c>
      <c r="J100" s="45">
        <v>519411133</v>
      </c>
      <c r="K100" s="45" t="s">
        <v>2501</v>
      </c>
      <c r="L100" s="48">
        <v>78.17</v>
      </c>
      <c r="M100" s="49">
        <v>20241205664</v>
      </c>
      <c r="N100" s="50" t="s">
        <v>28</v>
      </c>
      <c r="O100" s="50"/>
      <c r="P100" s="50"/>
      <c r="Q100" s="51"/>
      <c r="R100" s="50"/>
      <c r="S100" s="50"/>
      <c r="T100" s="51"/>
      <c r="U100" s="50"/>
    </row>
    <row r="101" spans="1:21" x14ac:dyDescent="0.25">
      <c r="A101" s="45" t="s">
        <v>407</v>
      </c>
      <c r="B101" s="46">
        <v>45762</v>
      </c>
      <c r="C101" s="45" t="s">
        <v>352</v>
      </c>
      <c r="D101" s="47"/>
      <c r="E101" s="45" t="s">
        <v>245</v>
      </c>
      <c r="F101" s="45" t="s">
        <v>246</v>
      </c>
      <c r="G101" s="45" t="s">
        <v>2511</v>
      </c>
      <c r="H101" s="45" t="s">
        <v>2512</v>
      </c>
      <c r="I101" s="45" t="s">
        <v>1308</v>
      </c>
      <c r="J101" s="45">
        <v>519411133</v>
      </c>
      <c r="K101" s="45" t="s">
        <v>2501</v>
      </c>
      <c r="L101" s="48">
        <v>78.17</v>
      </c>
      <c r="M101" s="49">
        <v>20241205664</v>
      </c>
      <c r="N101" s="50" t="s">
        <v>28</v>
      </c>
      <c r="O101" s="50"/>
      <c r="P101" s="50"/>
      <c r="Q101" s="51"/>
      <c r="R101" s="50"/>
      <c r="S101" s="50"/>
      <c r="T101" s="51"/>
      <c r="U101" s="50"/>
    </row>
    <row r="102" spans="1:21" x14ac:dyDescent="0.25">
      <c r="A102" s="45" t="s">
        <v>1138</v>
      </c>
      <c r="B102" s="46">
        <v>45762</v>
      </c>
      <c r="C102" s="45" t="s">
        <v>352</v>
      </c>
      <c r="D102" s="47"/>
      <c r="E102" s="45" t="s">
        <v>245</v>
      </c>
      <c r="F102" s="45" t="s">
        <v>246</v>
      </c>
      <c r="G102" s="45" t="s">
        <v>2511</v>
      </c>
      <c r="H102" s="45" t="s">
        <v>2512</v>
      </c>
      <c r="I102" s="45" t="s">
        <v>1308</v>
      </c>
      <c r="J102" s="45">
        <v>519411133</v>
      </c>
      <c r="K102" s="45" t="s">
        <v>281</v>
      </c>
      <c r="L102" s="48">
        <v>20</v>
      </c>
      <c r="M102" s="49">
        <v>20241205674</v>
      </c>
      <c r="N102" s="50" t="s">
        <v>28</v>
      </c>
      <c r="O102" s="50"/>
      <c r="P102" s="50"/>
      <c r="Q102" s="51"/>
      <c r="R102" s="50"/>
      <c r="S102" s="50"/>
      <c r="T102" s="51"/>
      <c r="U102" s="50"/>
    </row>
    <row r="103" spans="1:21" x14ac:dyDescent="0.25">
      <c r="A103" s="45" t="s">
        <v>407</v>
      </c>
      <c r="B103" s="46">
        <v>45762</v>
      </c>
      <c r="C103" s="45" t="s">
        <v>352</v>
      </c>
      <c r="D103" s="47"/>
      <c r="E103" s="45" t="s">
        <v>245</v>
      </c>
      <c r="F103" s="45" t="s">
        <v>246</v>
      </c>
      <c r="G103" s="45" t="s">
        <v>2511</v>
      </c>
      <c r="H103" s="45" t="s">
        <v>2512</v>
      </c>
      <c r="I103" s="45" t="s">
        <v>1308</v>
      </c>
      <c r="J103" s="45">
        <v>519411133</v>
      </c>
      <c r="K103" s="45" t="s">
        <v>932</v>
      </c>
      <c r="L103" s="48">
        <v>236.02</v>
      </c>
      <c r="M103" s="49">
        <v>20241205672</v>
      </c>
      <c r="N103" s="50" t="s">
        <v>28</v>
      </c>
      <c r="O103" s="50"/>
      <c r="P103" s="50"/>
      <c r="Q103" s="51"/>
      <c r="R103" s="50"/>
      <c r="S103" s="50"/>
      <c r="T103" s="51"/>
      <c r="U103" s="50"/>
    </row>
    <row r="104" spans="1:21" x14ac:dyDescent="0.25">
      <c r="A104" s="45" t="s">
        <v>233</v>
      </c>
      <c r="B104" s="46">
        <v>45762</v>
      </c>
      <c r="C104" s="45" t="s">
        <v>352</v>
      </c>
      <c r="D104" s="47"/>
      <c r="E104" s="45" t="s">
        <v>245</v>
      </c>
      <c r="F104" s="45" t="s">
        <v>246</v>
      </c>
      <c r="G104" s="45" t="s">
        <v>347</v>
      </c>
      <c r="H104" s="45" t="s">
        <v>1569</v>
      </c>
      <c r="I104" s="45" t="s">
        <v>1570</v>
      </c>
      <c r="J104" s="45">
        <v>520196663</v>
      </c>
      <c r="K104" s="45" t="s">
        <v>1265</v>
      </c>
      <c r="L104" s="48">
        <v>162.78</v>
      </c>
      <c r="M104" s="49">
        <v>20241127823</v>
      </c>
      <c r="N104" s="50" t="s">
        <v>28</v>
      </c>
      <c r="O104" s="50"/>
      <c r="P104" s="50"/>
      <c r="Q104" s="51"/>
      <c r="R104" s="50"/>
      <c r="S104" s="50"/>
      <c r="T104" s="51"/>
      <c r="U104" s="50"/>
    </row>
    <row r="105" spans="1:21" x14ac:dyDescent="0.25">
      <c r="A105" s="45" t="s">
        <v>233</v>
      </c>
      <c r="B105" s="46">
        <v>45762</v>
      </c>
      <c r="C105" s="45" t="s">
        <v>352</v>
      </c>
      <c r="D105" s="47"/>
      <c r="E105" s="45" t="s">
        <v>245</v>
      </c>
      <c r="F105" s="45" t="s">
        <v>246</v>
      </c>
      <c r="G105" s="45" t="s">
        <v>347</v>
      </c>
      <c r="H105" s="45" t="s">
        <v>1569</v>
      </c>
      <c r="I105" s="45" t="s">
        <v>1570</v>
      </c>
      <c r="J105" s="45">
        <v>520196663</v>
      </c>
      <c r="K105" s="45" t="s">
        <v>194</v>
      </c>
      <c r="L105" s="48">
        <v>161.43</v>
      </c>
      <c r="M105" s="49">
        <v>20241127824</v>
      </c>
      <c r="N105" s="50" t="s">
        <v>28</v>
      </c>
      <c r="O105" s="50"/>
      <c r="P105" s="50"/>
      <c r="Q105" s="51"/>
      <c r="R105" s="50"/>
      <c r="S105" s="50"/>
      <c r="T105" s="51"/>
      <c r="U105" s="50"/>
    </row>
    <row r="106" spans="1:21" x14ac:dyDescent="0.25">
      <c r="A106" s="45" t="s">
        <v>233</v>
      </c>
      <c r="B106" s="46">
        <v>45762</v>
      </c>
      <c r="C106" s="45" t="s">
        <v>352</v>
      </c>
      <c r="D106" s="47"/>
      <c r="E106" s="45" t="s">
        <v>245</v>
      </c>
      <c r="F106" s="45" t="s">
        <v>246</v>
      </c>
      <c r="G106" s="45" t="s">
        <v>1294</v>
      </c>
      <c r="H106" s="45" t="s">
        <v>200</v>
      </c>
      <c r="I106" s="45" t="s">
        <v>2513</v>
      </c>
      <c r="J106" s="45">
        <v>521213024</v>
      </c>
      <c r="K106" s="45" t="s">
        <v>1230</v>
      </c>
      <c r="L106" s="48">
        <v>41.69</v>
      </c>
      <c r="M106" s="49">
        <v>20241202107</v>
      </c>
      <c r="N106" s="50" t="s">
        <v>28</v>
      </c>
      <c r="O106" s="50"/>
      <c r="P106" s="50"/>
      <c r="Q106" s="51"/>
      <c r="R106" s="50"/>
      <c r="S106" s="50"/>
      <c r="T106" s="51"/>
      <c r="U106" s="50"/>
    </row>
    <row r="107" spans="1:21" ht="25.5" x14ac:dyDescent="0.25">
      <c r="A107" s="45" t="s">
        <v>407</v>
      </c>
      <c r="B107" s="46">
        <v>45762</v>
      </c>
      <c r="C107" s="45" t="s">
        <v>352</v>
      </c>
      <c r="D107" s="47"/>
      <c r="E107" s="45" t="s">
        <v>245</v>
      </c>
      <c r="F107" s="45" t="s">
        <v>246</v>
      </c>
      <c r="G107" s="45" t="s">
        <v>2514</v>
      </c>
      <c r="H107" s="45" t="s">
        <v>2515</v>
      </c>
      <c r="I107" s="45" t="s">
        <v>2516</v>
      </c>
      <c r="J107" s="45">
        <v>521533822</v>
      </c>
      <c r="K107" s="45" t="s">
        <v>2044</v>
      </c>
      <c r="L107" s="48">
        <v>229.82</v>
      </c>
      <c r="M107" s="49">
        <v>202412021689</v>
      </c>
      <c r="N107" s="50" t="s">
        <v>28</v>
      </c>
      <c r="O107" s="50"/>
      <c r="P107" s="50"/>
      <c r="Q107" s="51"/>
      <c r="R107" s="50"/>
      <c r="S107" s="50"/>
      <c r="T107" s="51"/>
      <c r="U107" s="50"/>
    </row>
    <row r="108" spans="1:21" ht="25.5" x14ac:dyDescent="0.25">
      <c r="A108" s="45" t="s">
        <v>407</v>
      </c>
      <c r="B108" s="46">
        <v>45762</v>
      </c>
      <c r="C108" s="45" t="s">
        <v>352</v>
      </c>
      <c r="D108" s="47"/>
      <c r="E108" s="45" t="s">
        <v>245</v>
      </c>
      <c r="F108" s="45" t="s">
        <v>246</v>
      </c>
      <c r="G108" s="45" t="s">
        <v>2514</v>
      </c>
      <c r="H108" s="45" t="s">
        <v>2515</v>
      </c>
      <c r="I108" s="45" t="s">
        <v>2516</v>
      </c>
      <c r="J108" s="45">
        <v>521533822</v>
      </c>
      <c r="K108" s="45" t="s">
        <v>2239</v>
      </c>
      <c r="L108" s="48">
        <v>117.75</v>
      </c>
      <c r="M108" s="49">
        <v>202412021690</v>
      </c>
      <c r="N108" s="50" t="s">
        <v>28</v>
      </c>
      <c r="O108" s="50"/>
      <c r="P108" s="50"/>
      <c r="Q108" s="51"/>
      <c r="R108" s="50"/>
      <c r="S108" s="50"/>
      <c r="T108" s="51"/>
      <c r="U108" s="50"/>
    </row>
    <row r="109" spans="1:21" ht="25.5" x14ac:dyDescent="0.25">
      <c r="A109" s="45" t="s">
        <v>407</v>
      </c>
      <c r="B109" s="46">
        <v>45762</v>
      </c>
      <c r="C109" s="45" t="s">
        <v>352</v>
      </c>
      <c r="D109" s="47"/>
      <c r="E109" s="45" t="s">
        <v>245</v>
      </c>
      <c r="F109" s="45" t="s">
        <v>246</v>
      </c>
      <c r="G109" s="45" t="s">
        <v>2514</v>
      </c>
      <c r="H109" s="45" t="s">
        <v>2515</v>
      </c>
      <c r="I109" s="45" t="s">
        <v>2516</v>
      </c>
      <c r="J109" s="45">
        <v>521533822</v>
      </c>
      <c r="K109" s="45" t="s">
        <v>2044</v>
      </c>
      <c r="L109" s="48">
        <v>246.62</v>
      </c>
      <c r="M109" s="49">
        <v>202412021691</v>
      </c>
      <c r="N109" s="50" t="s">
        <v>28</v>
      </c>
      <c r="O109" s="50"/>
      <c r="P109" s="50"/>
      <c r="Q109" s="51"/>
      <c r="R109" s="50"/>
      <c r="S109" s="50"/>
      <c r="T109" s="51"/>
      <c r="U109" s="50"/>
    </row>
    <row r="110" spans="1:21" x14ac:dyDescent="0.25">
      <c r="A110" s="45" t="s">
        <v>324</v>
      </c>
      <c r="B110" s="46">
        <v>45762</v>
      </c>
      <c r="C110" s="45" t="s">
        <v>352</v>
      </c>
      <c r="D110" s="47"/>
      <c r="E110" s="45" t="s">
        <v>245</v>
      </c>
      <c r="F110" s="45" t="s">
        <v>246</v>
      </c>
      <c r="G110" s="45" t="s">
        <v>2517</v>
      </c>
      <c r="H110" s="45" t="s">
        <v>2518</v>
      </c>
      <c r="I110" s="45" t="s">
        <v>2519</v>
      </c>
      <c r="J110" s="45">
        <v>523983461</v>
      </c>
      <c r="K110" s="45" t="s">
        <v>213</v>
      </c>
      <c r="L110" s="48">
        <v>58.55</v>
      </c>
      <c r="M110" s="49">
        <v>20241205378</v>
      </c>
      <c r="N110" s="50" t="s">
        <v>28</v>
      </c>
      <c r="O110" s="50"/>
      <c r="P110" s="50"/>
      <c r="Q110" s="51"/>
      <c r="R110" s="50"/>
      <c r="S110" s="50"/>
      <c r="T110" s="51"/>
      <c r="U110" s="50"/>
    </row>
    <row r="111" spans="1:21" ht="25.5" x14ac:dyDescent="0.25">
      <c r="A111" s="45" t="s">
        <v>29</v>
      </c>
      <c r="B111" s="46">
        <v>45762</v>
      </c>
      <c r="C111" s="45" t="s">
        <v>352</v>
      </c>
      <c r="D111" s="47"/>
      <c r="E111" s="45" t="s">
        <v>635</v>
      </c>
      <c r="F111" s="45" t="s">
        <v>636</v>
      </c>
      <c r="G111" s="45" t="s">
        <v>2520</v>
      </c>
      <c r="H111" s="45" t="s">
        <v>2467</v>
      </c>
      <c r="I111" s="45" t="s">
        <v>2521</v>
      </c>
      <c r="J111" s="45">
        <v>529495710</v>
      </c>
      <c r="K111" s="45" t="s">
        <v>1358</v>
      </c>
      <c r="L111" s="48">
        <v>241</v>
      </c>
      <c r="M111" s="49">
        <v>20241125938</v>
      </c>
      <c r="N111" s="50" t="s">
        <v>28</v>
      </c>
      <c r="O111" s="50"/>
      <c r="P111" s="50"/>
      <c r="Q111" s="51"/>
      <c r="R111" s="50"/>
      <c r="S111" s="50"/>
      <c r="T111" s="51"/>
      <c r="U111" s="50"/>
    </row>
    <row r="112" spans="1:21" x14ac:dyDescent="0.25">
      <c r="A112" s="45" t="s">
        <v>70</v>
      </c>
      <c r="B112" s="46">
        <v>45762</v>
      </c>
      <c r="C112" s="45" t="s">
        <v>352</v>
      </c>
      <c r="D112" s="47"/>
      <c r="E112" s="45" t="s">
        <v>569</v>
      </c>
      <c r="F112" s="45" t="s">
        <v>570</v>
      </c>
      <c r="G112" s="45" t="s">
        <v>798</v>
      </c>
      <c r="H112" s="45" t="s">
        <v>1870</v>
      </c>
      <c r="I112" s="45" t="s">
        <v>2522</v>
      </c>
      <c r="J112" s="45">
        <v>135886429</v>
      </c>
      <c r="K112" s="45" t="s">
        <v>972</v>
      </c>
      <c r="L112" s="48">
        <v>81</v>
      </c>
      <c r="M112" s="49">
        <v>20241205770</v>
      </c>
      <c r="N112" s="50" t="s">
        <v>28</v>
      </c>
      <c r="O112" s="50"/>
      <c r="P112" s="50"/>
      <c r="Q112" s="51"/>
      <c r="R112" s="50"/>
      <c r="S112" s="50"/>
      <c r="T112" s="51"/>
      <c r="U112" s="50"/>
    </row>
    <row r="113" spans="1:21" x14ac:dyDescent="0.25">
      <c r="A113" s="45" t="s">
        <v>29</v>
      </c>
      <c r="B113" s="46">
        <v>45762</v>
      </c>
      <c r="C113" s="45" t="s">
        <v>352</v>
      </c>
      <c r="D113" s="47"/>
      <c r="E113" s="45" t="s">
        <v>84</v>
      </c>
      <c r="F113" s="45" t="s">
        <v>273</v>
      </c>
      <c r="G113" s="45" t="s">
        <v>1339</v>
      </c>
      <c r="H113" s="45" t="s">
        <v>2523</v>
      </c>
      <c r="I113" s="45" t="s">
        <v>2524</v>
      </c>
      <c r="J113" s="45">
        <v>245617254</v>
      </c>
      <c r="K113" s="45" t="s">
        <v>106</v>
      </c>
      <c r="L113" s="48">
        <v>292.3</v>
      </c>
      <c r="M113" s="49">
        <v>20241108339</v>
      </c>
      <c r="N113" s="50" t="s">
        <v>28</v>
      </c>
      <c r="O113" s="50"/>
      <c r="P113" s="50"/>
      <c r="Q113" s="51"/>
      <c r="R113" s="50"/>
      <c r="S113" s="50"/>
      <c r="T113" s="51"/>
      <c r="U113" s="50"/>
    </row>
    <row r="114" spans="1:21" x14ac:dyDescent="0.25">
      <c r="A114" s="45" t="s">
        <v>20</v>
      </c>
      <c r="B114" s="46">
        <v>45762</v>
      </c>
      <c r="C114" s="45" t="s">
        <v>352</v>
      </c>
      <c r="D114" s="47"/>
      <c r="E114" s="45" t="s">
        <v>277</v>
      </c>
      <c r="F114" s="45" t="s">
        <v>278</v>
      </c>
      <c r="G114" s="45" t="s">
        <v>860</v>
      </c>
      <c r="H114" s="45" t="s">
        <v>1362</v>
      </c>
      <c r="I114" s="45" t="s">
        <v>2525</v>
      </c>
      <c r="J114" s="45">
        <v>2176</v>
      </c>
      <c r="K114" s="45" t="s">
        <v>1511</v>
      </c>
      <c r="L114" s="48">
        <v>20</v>
      </c>
      <c r="M114" s="49">
        <v>20241204695</v>
      </c>
      <c r="N114" s="50" t="s">
        <v>28</v>
      </c>
      <c r="O114" s="50"/>
      <c r="P114" s="50"/>
      <c r="Q114" s="51"/>
      <c r="R114" s="50"/>
      <c r="S114" s="50"/>
      <c r="T114" s="51"/>
      <c r="U114" s="50"/>
    </row>
    <row r="115" spans="1:21" x14ac:dyDescent="0.25">
      <c r="A115" s="45" t="s">
        <v>20</v>
      </c>
      <c r="B115" s="46">
        <v>45762</v>
      </c>
      <c r="C115" s="45" t="s">
        <v>352</v>
      </c>
      <c r="D115" s="47"/>
      <c r="E115" s="45" t="s">
        <v>277</v>
      </c>
      <c r="F115" s="45" t="s">
        <v>278</v>
      </c>
      <c r="G115" s="45" t="s">
        <v>860</v>
      </c>
      <c r="H115" s="45" t="s">
        <v>1362</v>
      </c>
      <c r="I115" s="45" t="s">
        <v>2525</v>
      </c>
      <c r="J115" s="45">
        <v>2176</v>
      </c>
      <c r="K115" s="45" t="s">
        <v>2255</v>
      </c>
      <c r="L115" s="48">
        <v>24.25</v>
      </c>
      <c r="M115" s="49">
        <v>20241204697</v>
      </c>
      <c r="N115" s="50" t="s">
        <v>28</v>
      </c>
      <c r="O115" s="50"/>
      <c r="P115" s="50"/>
      <c r="Q115" s="51"/>
      <c r="R115" s="50"/>
      <c r="S115" s="50"/>
      <c r="T115" s="51"/>
      <c r="U115" s="50"/>
    </row>
    <row r="116" spans="1:21" x14ac:dyDescent="0.25">
      <c r="A116" s="45" t="s">
        <v>20</v>
      </c>
      <c r="B116" s="46">
        <v>45644</v>
      </c>
      <c r="C116" s="45" t="s">
        <v>114</v>
      </c>
      <c r="D116" s="47"/>
      <c r="E116" s="45" t="s">
        <v>277</v>
      </c>
      <c r="F116" s="45" t="s">
        <v>278</v>
      </c>
      <c r="G116" s="45" t="s">
        <v>860</v>
      </c>
      <c r="H116" s="45" t="s">
        <v>1362</v>
      </c>
      <c r="I116" s="45" t="s">
        <v>2525</v>
      </c>
      <c r="J116" s="45">
        <v>2176</v>
      </c>
      <c r="K116" s="45" t="s">
        <v>2050</v>
      </c>
      <c r="L116" s="48">
        <v>41.79</v>
      </c>
      <c r="M116" s="49">
        <v>20241204698</v>
      </c>
      <c r="N116" s="51" t="s">
        <v>28</v>
      </c>
      <c r="O116" s="50"/>
      <c r="P116" s="50"/>
      <c r="Q116" s="51"/>
      <c r="R116" s="50"/>
      <c r="S116" s="50"/>
      <c r="T116" s="51"/>
      <c r="U116" s="50"/>
    </row>
    <row r="117" spans="1:21" x14ac:dyDescent="0.25">
      <c r="A117" s="45" t="s">
        <v>20</v>
      </c>
      <c r="B117" s="46">
        <v>45644</v>
      </c>
      <c r="C117" s="45" t="s">
        <v>114</v>
      </c>
      <c r="D117" s="47"/>
      <c r="E117" s="45" t="s">
        <v>277</v>
      </c>
      <c r="F117" s="45" t="s">
        <v>278</v>
      </c>
      <c r="G117" s="45" t="s">
        <v>860</v>
      </c>
      <c r="H117" s="45" t="s">
        <v>1362</v>
      </c>
      <c r="I117" s="45" t="s">
        <v>2525</v>
      </c>
      <c r="J117" s="45">
        <v>2176</v>
      </c>
      <c r="K117" s="45" t="s">
        <v>1702</v>
      </c>
      <c r="L117" s="48">
        <v>40</v>
      </c>
      <c r="M117" s="49">
        <v>20241204696</v>
      </c>
      <c r="N117" s="51" t="s">
        <v>28</v>
      </c>
      <c r="O117" s="71"/>
      <c r="P117" s="50"/>
      <c r="Q117" s="51"/>
      <c r="R117" s="50"/>
      <c r="S117" s="50"/>
      <c r="T117" s="51"/>
      <c r="U117" s="50"/>
    </row>
    <row r="118" spans="1:21" ht="105" x14ac:dyDescent="0.25">
      <c r="A118" s="45" t="s">
        <v>20</v>
      </c>
      <c r="B118" s="46">
        <v>45644</v>
      </c>
      <c r="C118" s="45" t="s">
        <v>114</v>
      </c>
      <c r="D118" s="47"/>
      <c r="E118" s="45" t="s">
        <v>277</v>
      </c>
      <c r="F118" s="45" t="s">
        <v>278</v>
      </c>
      <c r="G118" s="45" t="s">
        <v>2526</v>
      </c>
      <c r="H118" s="45" t="s">
        <v>1387</v>
      </c>
      <c r="I118" s="45" t="s">
        <v>2527</v>
      </c>
      <c r="J118" s="45">
        <v>633562704</v>
      </c>
      <c r="K118" s="45" t="s">
        <v>1908</v>
      </c>
      <c r="L118" s="48">
        <v>30.62</v>
      </c>
      <c r="M118" s="49">
        <v>20241120542</v>
      </c>
      <c r="N118" s="69"/>
      <c r="O118" s="68" t="s">
        <v>124</v>
      </c>
      <c r="P118" s="70"/>
      <c r="Q118" s="51" t="s">
        <v>2528</v>
      </c>
      <c r="R118" s="50"/>
      <c r="S118" s="50"/>
      <c r="T118" s="51"/>
      <c r="U118" s="50"/>
    </row>
    <row r="119" spans="1:21" ht="25.5" x14ac:dyDescent="0.25">
      <c r="A119" s="45" t="s">
        <v>29</v>
      </c>
      <c r="B119" s="46">
        <v>45644</v>
      </c>
      <c r="C119" s="45" t="s">
        <v>114</v>
      </c>
      <c r="D119" s="47"/>
      <c r="E119" s="45" t="s">
        <v>277</v>
      </c>
      <c r="F119" s="45" t="s">
        <v>278</v>
      </c>
      <c r="G119" s="45" t="s">
        <v>2529</v>
      </c>
      <c r="H119" s="45" t="s">
        <v>852</v>
      </c>
      <c r="I119" s="45" t="s">
        <v>2530</v>
      </c>
      <c r="J119" s="45">
        <v>636114881</v>
      </c>
      <c r="K119" s="45" t="s">
        <v>256</v>
      </c>
      <c r="L119" s="48">
        <v>110</v>
      </c>
      <c r="M119" s="49">
        <v>20241114108</v>
      </c>
      <c r="N119" s="69"/>
      <c r="O119" s="68" t="s">
        <v>124</v>
      </c>
      <c r="P119" s="70"/>
      <c r="Q119" t="s">
        <v>2531</v>
      </c>
      <c r="R119" s="50"/>
      <c r="S119" s="50"/>
      <c r="T119" s="51"/>
      <c r="U119" s="50"/>
    </row>
    <row r="120" spans="1:21" ht="105" x14ac:dyDescent="0.25">
      <c r="A120" s="45" t="s">
        <v>20</v>
      </c>
      <c r="B120" s="46">
        <v>45644</v>
      </c>
      <c r="C120" s="45" t="s">
        <v>114</v>
      </c>
      <c r="D120" s="47"/>
      <c r="E120" s="45" t="s">
        <v>277</v>
      </c>
      <c r="F120" s="45" t="s">
        <v>278</v>
      </c>
      <c r="G120" s="45" t="s">
        <v>945</v>
      </c>
      <c r="H120" s="45" t="s">
        <v>2532</v>
      </c>
      <c r="I120" s="45" t="s">
        <v>2533</v>
      </c>
      <c r="J120" s="45">
        <v>640227030</v>
      </c>
      <c r="K120" s="45" t="s">
        <v>1908</v>
      </c>
      <c r="L120" s="48">
        <v>1200</v>
      </c>
      <c r="M120" s="49">
        <v>20241121712</v>
      </c>
      <c r="N120" s="69"/>
      <c r="O120" s="68" t="s">
        <v>124</v>
      </c>
      <c r="P120" s="70"/>
      <c r="Q120" s="51" t="s">
        <v>2534</v>
      </c>
      <c r="R120" s="50"/>
      <c r="S120" s="50"/>
      <c r="T120" s="51"/>
      <c r="U120" s="50"/>
    </row>
    <row r="121" spans="1:21" ht="45" x14ac:dyDescent="0.25">
      <c r="A121" s="45" t="s">
        <v>20</v>
      </c>
      <c r="B121" s="46">
        <v>45644</v>
      </c>
      <c r="C121" s="45" t="s">
        <v>114</v>
      </c>
      <c r="D121" s="47"/>
      <c r="E121" s="45" t="s">
        <v>277</v>
      </c>
      <c r="F121" s="45" t="s">
        <v>278</v>
      </c>
      <c r="G121" s="45" t="s">
        <v>210</v>
      </c>
      <c r="H121" s="45" t="s">
        <v>2535</v>
      </c>
      <c r="I121" s="45" t="s">
        <v>2536</v>
      </c>
      <c r="J121" s="45">
        <v>647303597</v>
      </c>
      <c r="K121" s="45" t="s">
        <v>187</v>
      </c>
      <c r="L121" s="48">
        <v>597.47</v>
      </c>
      <c r="M121" s="49">
        <v>20241202875</v>
      </c>
      <c r="N121" s="51"/>
      <c r="O121" s="68"/>
      <c r="P121" s="50" t="s">
        <v>304</v>
      </c>
      <c r="Q121" s="51" t="s">
        <v>2537</v>
      </c>
      <c r="R121" s="50"/>
      <c r="S121" s="50"/>
      <c r="T121" s="51"/>
      <c r="U121" s="50"/>
    </row>
    <row r="122" spans="1:21" ht="45" x14ac:dyDescent="0.25">
      <c r="A122" s="45" t="s">
        <v>20</v>
      </c>
      <c r="B122" s="46">
        <v>45644</v>
      </c>
      <c r="C122" s="45" t="s">
        <v>114</v>
      </c>
      <c r="D122" s="47"/>
      <c r="E122" s="45" t="s">
        <v>277</v>
      </c>
      <c r="F122" s="45" t="s">
        <v>278</v>
      </c>
      <c r="G122" s="45" t="s">
        <v>210</v>
      </c>
      <c r="H122" s="45" t="s">
        <v>2535</v>
      </c>
      <c r="I122" s="45" t="s">
        <v>2536</v>
      </c>
      <c r="J122" s="45">
        <v>647303597</v>
      </c>
      <c r="K122" s="45" t="s">
        <v>59</v>
      </c>
      <c r="L122" s="48">
        <v>134.33000000000001</v>
      </c>
      <c r="M122" s="49">
        <v>20241202876</v>
      </c>
      <c r="N122" s="51"/>
      <c r="O122" s="50"/>
      <c r="P122" s="50" t="s">
        <v>304</v>
      </c>
      <c r="Q122" s="51" t="s">
        <v>2537</v>
      </c>
      <c r="R122" s="50"/>
      <c r="S122" s="50"/>
      <c r="T122" s="51"/>
      <c r="U122" s="50"/>
    </row>
    <row r="123" spans="1:21" ht="45" x14ac:dyDescent="0.25">
      <c r="A123" s="45" t="s">
        <v>20</v>
      </c>
      <c r="B123" s="46">
        <v>45644</v>
      </c>
      <c r="C123" s="45" t="s">
        <v>114</v>
      </c>
      <c r="D123" s="47"/>
      <c r="E123" s="45" t="s">
        <v>277</v>
      </c>
      <c r="F123" s="45" t="s">
        <v>278</v>
      </c>
      <c r="G123" s="45" t="s">
        <v>210</v>
      </c>
      <c r="H123" s="45" t="s">
        <v>2535</v>
      </c>
      <c r="I123" s="45" t="s">
        <v>2536</v>
      </c>
      <c r="J123" s="45">
        <v>647303597</v>
      </c>
      <c r="K123" s="45" t="s">
        <v>2309</v>
      </c>
      <c r="L123" s="48">
        <v>800</v>
      </c>
      <c r="M123" s="49">
        <v>20241202874</v>
      </c>
      <c r="N123" s="50"/>
      <c r="O123" s="50"/>
      <c r="P123" s="50" t="s">
        <v>304</v>
      </c>
      <c r="Q123" s="51" t="s">
        <v>2537</v>
      </c>
      <c r="R123" s="50"/>
      <c r="S123" s="50"/>
      <c r="T123" s="51"/>
      <c r="U123" s="50"/>
    </row>
    <row r="124" spans="1:21" ht="105" x14ac:dyDescent="0.25">
      <c r="A124" s="45" t="s">
        <v>20</v>
      </c>
      <c r="B124" s="46">
        <v>45644</v>
      </c>
      <c r="C124" s="45" t="s">
        <v>114</v>
      </c>
      <c r="D124" s="47"/>
      <c r="E124" s="45" t="s">
        <v>277</v>
      </c>
      <c r="F124" s="45" t="s">
        <v>278</v>
      </c>
      <c r="G124" s="45" t="s">
        <v>210</v>
      </c>
      <c r="H124" s="45" t="s">
        <v>2535</v>
      </c>
      <c r="I124" s="45" t="s">
        <v>2536</v>
      </c>
      <c r="J124" s="45">
        <v>647303597</v>
      </c>
      <c r="K124" s="45" t="s">
        <v>59</v>
      </c>
      <c r="L124" s="48">
        <v>134.33000000000001</v>
      </c>
      <c r="M124" s="49">
        <v>20241202913</v>
      </c>
      <c r="N124" s="50"/>
      <c r="O124" s="68" t="s">
        <v>124</v>
      </c>
      <c r="P124" s="50"/>
      <c r="Q124" s="51" t="s">
        <v>2538</v>
      </c>
      <c r="R124" s="50"/>
      <c r="S124" s="50"/>
      <c r="T124" s="51"/>
      <c r="U124" s="50"/>
    </row>
    <row r="125" spans="1:21" x14ac:dyDescent="0.25">
      <c r="A125" s="45" t="s">
        <v>20</v>
      </c>
      <c r="B125" s="46">
        <v>45644</v>
      </c>
      <c r="C125" s="45" t="s">
        <v>114</v>
      </c>
      <c r="D125" s="47"/>
      <c r="E125" s="45" t="s">
        <v>277</v>
      </c>
      <c r="F125" s="45" t="s">
        <v>278</v>
      </c>
      <c r="G125" s="45" t="s">
        <v>109</v>
      </c>
      <c r="H125" s="45" t="s">
        <v>2539</v>
      </c>
      <c r="I125" s="45" t="s">
        <v>2540</v>
      </c>
      <c r="J125" s="45">
        <v>656263847</v>
      </c>
      <c r="K125" s="45" t="s">
        <v>2447</v>
      </c>
      <c r="L125" s="48">
        <v>15</v>
      </c>
      <c r="M125" s="49">
        <v>20241204166</v>
      </c>
      <c r="N125" s="51" t="s">
        <v>28</v>
      </c>
      <c r="O125" s="50"/>
      <c r="P125" s="50"/>
      <c r="Q125" s="51"/>
      <c r="R125" s="50"/>
      <c r="S125" s="50"/>
      <c r="T125" s="51"/>
      <c r="U125" s="50"/>
    </row>
    <row r="126" spans="1:21" ht="60" x14ac:dyDescent="0.25">
      <c r="A126" s="45" t="s">
        <v>20</v>
      </c>
      <c r="B126" s="46">
        <v>45644</v>
      </c>
      <c r="C126" s="45" t="s">
        <v>114</v>
      </c>
      <c r="D126" s="47"/>
      <c r="E126" s="45" t="s">
        <v>277</v>
      </c>
      <c r="F126" s="45" t="s">
        <v>278</v>
      </c>
      <c r="G126" s="45" t="s">
        <v>376</v>
      </c>
      <c r="H126" s="45" t="s">
        <v>2541</v>
      </c>
      <c r="I126" s="45" t="s">
        <v>2542</v>
      </c>
      <c r="J126" s="45">
        <v>778240203</v>
      </c>
      <c r="K126" s="45" t="s">
        <v>1973</v>
      </c>
      <c r="L126" s="48">
        <v>221.39</v>
      </c>
      <c r="M126" s="49">
        <v>20241118327</v>
      </c>
      <c r="N126" s="50"/>
      <c r="O126" s="68" t="s">
        <v>124</v>
      </c>
      <c r="P126" s="50"/>
      <c r="Q126" s="51" t="s">
        <v>2543</v>
      </c>
      <c r="R126" s="50"/>
      <c r="S126" s="50"/>
      <c r="T126" s="51"/>
      <c r="U126" s="50"/>
    </row>
    <row r="127" spans="1:21" x14ac:dyDescent="0.25">
      <c r="A127" s="45" t="s">
        <v>20</v>
      </c>
      <c r="B127" s="46">
        <v>45644</v>
      </c>
      <c r="C127" s="45" t="s">
        <v>114</v>
      </c>
      <c r="D127" s="47"/>
      <c r="E127" s="45" t="s">
        <v>277</v>
      </c>
      <c r="F127" s="45" t="s">
        <v>278</v>
      </c>
      <c r="G127" s="45" t="s">
        <v>30</v>
      </c>
      <c r="H127" s="45" t="s">
        <v>2544</v>
      </c>
      <c r="I127" s="45" t="s">
        <v>2545</v>
      </c>
      <c r="J127" s="45">
        <v>839452013</v>
      </c>
      <c r="K127" s="45" t="s">
        <v>2309</v>
      </c>
      <c r="L127" s="48">
        <v>52.64</v>
      </c>
      <c r="M127" s="49">
        <v>20241126298</v>
      </c>
      <c r="N127" s="51" t="s">
        <v>28</v>
      </c>
      <c r="O127" s="50"/>
      <c r="P127" s="50"/>
      <c r="Q127" s="51"/>
      <c r="R127" s="50"/>
      <c r="S127" s="50"/>
      <c r="T127" s="51"/>
      <c r="U127" s="50"/>
    </row>
    <row r="128" spans="1:21" x14ac:dyDescent="0.25">
      <c r="A128" s="45" t="s">
        <v>20</v>
      </c>
      <c r="B128" s="46">
        <v>45644</v>
      </c>
      <c r="C128" s="45" t="s">
        <v>114</v>
      </c>
      <c r="D128" s="47"/>
      <c r="E128" s="45" t="s">
        <v>277</v>
      </c>
      <c r="F128" s="45" t="s">
        <v>278</v>
      </c>
      <c r="G128" s="45" t="s">
        <v>1359</v>
      </c>
      <c r="H128" s="45" t="s">
        <v>84</v>
      </c>
      <c r="I128" s="45" t="s">
        <v>1067</v>
      </c>
      <c r="J128" s="45" t="s">
        <v>2546</v>
      </c>
      <c r="K128" s="45" t="s">
        <v>1877</v>
      </c>
      <c r="L128" s="48">
        <v>2771.98</v>
      </c>
      <c r="M128" s="49">
        <v>20241125600</v>
      </c>
      <c r="N128" s="50" t="s">
        <v>28</v>
      </c>
      <c r="O128" s="50"/>
      <c r="P128" s="50"/>
      <c r="Q128" s="51"/>
      <c r="R128" s="50"/>
      <c r="S128" s="50"/>
      <c r="T128" s="51"/>
      <c r="U128" s="50"/>
    </row>
    <row r="129" spans="1:21" ht="25.5" x14ac:dyDescent="0.25">
      <c r="A129" s="45" t="s">
        <v>29</v>
      </c>
      <c r="B129" s="46">
        <v>45644</v>
      </c>
      <c r="C129" s="45" t="s">
        <v>114</v>
      </c>
      <c r="D129" s="47"/>
      <c r="E129" s="45" t="s">
        <v>296</v>
      </c>
      <c r="F129" s="45" t="s">
        <v>297</v>
      </c>
      <c r="G129" s="45" t="s">
        <v>2547</v>
      </c>
      <c r="H129" s="45" t="s">
        <v>2548</v>
      </c>
      <c r="I129" s="45" t="s">
        <v>2549</v>
      </c>
      <c r="J129" s="45">
        <v>622705936</v>
      </c>
      <c r="K129" s="45" t="s">
        <v>301</v>
      </c>
      <c r="L129" s="48">
        <v>4800</v>
      </c>
      <c r="M129" s="49">
        <v>20241203373</v>
      </c>
      <c r="N129" s="51" t="s">
        <v>28</v>
      </c>
      <c r="O129" s="50"/>
      <c r="P129" s="50"/>
      <c r="Q129" s="51"/>
      <c r="R129" s="50"/>
      <c r="S129" s="50"/>
      <c r="T129" s="51"/>
      <c r="U129" s="50"/>
    </row>
    <row r="130" spans="1:21" ht="25.5" x14ac:dyDescent="0.25">
      <c r="A130" s="45" t="s">
        <v>20</v>
      </c>
      <c r="B130" s="46">
        <v>45644</v>
      </c>
      <c r="C130" s="45" t="s">
        <v>114</v>
      </c>
      <c r="D130" s="47"/>
      <c r="E130" s="45" t="s">
        <v>296</v>
      </c>
      <c r="F130" s="45" t="s">
        <v>297</v>
      </c>
      <c r="G130" s="45" t="s">
        <v>1171</v>
      </c>
      <c r="H130" s="45" t="s">
        <v>2183</v>
      </c>
      <c r="I130" s="45" t="s">
        <v>2184</v>
      </c>
      <c r="J130" s="45">
        <v>623177801</v>
      </c>
      <c r="K130" s="45" t="s">
        <v>2125</v>
      </c>
      <c r="L130" s="48">
        <v>25</v>
      </c>
      <c r="M130" s="49">
        <v>20241203773</v>
      </c>
      <c r="N130" s="51" t="s">
        <v>28</v>
      </c>
      <c r="O130" s="50"/>
      <c r="P130" s="50"/>
      <c r="Q130" s="51"/>
      <c r="R130" s="50"/>
      <c r="S130" s="50"/>
      <c r="T130" s="51"/>
      <c r="U130" s="50"/>
    </row>
    <row r="131" spans="1:21" ht="25.5" x14ac:dyDescent="0.25">
      <c r="A131" s="45" t="s">
        <v>20</v>
      </c>
      <c r="B131" s="46">
        <v>45763</v>
      </c>
      <c r="C131" s="45" t="s">
        <v>168</v>
      </c>
      <c r="D131" s="47"/>
      <c r="E131" s="45" t="s">
        <v>296</v>
      </c>
      <c r="F131" s="45" t="s">
        <v>297</v>
      </c>
      <c r="G131" s="45" t="s">
        <v>1171</v>
      </c>
      <c r="H131" s="45" t="s">
        <v>2183</v>
      </c>
      <c r="I131" s="45" t="s">
        <v>2184</v>
      </c>
      <c r="J131" s="45">
        <v>623177801</v>
      </c>
      <c r="K131" s="45" t="s">
        <v>2309</v>
      </c>
      <c r="L131" s="48">
        <v>25</v>
      </c>
      <c r="M131" s="49">
        <v>20241203775</v>
      </c>
      <c r="N131" s="50" t="s">
        <v>28</v>
      </c>
      <c r="O131" s="50"/>
      <c r="P131" s="50"/>
      <c r="Q131" s="51"/>
      <c r="R131" s="50"/>
      <c r="S131" s="50"/>
      <c r="T131" s="51"/>
      <c r="U131" s="50"/>
    </row>
    <row r="132" spans="1:21" x14ac:dyDescent="0.25">
      <c r="A132" s="45" t="s">
        <v>29</v>
      </c>
      <c r="B132" s="46">
        <v>45763</v>
      </c>
      <c r="C132" s="45" t="s">
        <v>168</v>
      </c>
      <c r="D132" s="47"/>
      <c r="E132" s="45" t="s">
        <v>296</v>
      </c>
      <c r="F132" s="45" t="s">
        <v>297</v>
      </c>
      <c r="G132" s="45" t="s">
        <v>967</v>
      </c>
      <c r="H132" s="45" t="s">
        <v>1567</v>
      </c>
      <c r="I132" s="45" t="s">
        <v>2550</v>
      </c>
      <c r="J132" s="45">
        <v>623469016</v>
      </c>
      <c r="K132" s="45" t="s">
        <v>184</v>
      </c>
      <c r="L132" s="48">
        <v>453</v>
      </c>
      <c r="M132" s="49">
        <v>20241203576</v>
      </c>
      <c r="N132" s="50" t="s">
        <v>28</v>
      </c>
      <c r="O132" s="50"/>
      <c r="P132" s="50"/>
      <c r="Q132" s="51"/>
      <c r="R132" s="50"/>
      <c r="S132" s="50"/>
      <c r="T132" s="51"/>
      <c r="U132" s="50"/>
    </row>
    <row r="133" spans="1:21" x14ac:dyDescent="0.25">
      <c r="A133" s="45" t="s">
        <v>29</v>
      </c>
      <c r="B133" s="46">
        <v>45763</v>
      </c>
      <c r="C133" s="45" t="s">
        <v>168</v>
      </c>
      <c r="D133" s="47"/>
      <c r="E133" s="45" t="s">
        <v>296</v>
      </c>
      <c r="F133" s="45" t="s">
        <v>297</v>
      </c>
      <c r="G133" s="45" t="s">
        <v>967</v>
      </c>
      <c r="H133" s="45" t="s">
        <v>1567</v>
      </c>
      <c r="I133" s="45" t="s">
        <v>2550</v>
      </c>
      <c r="J133" s="45">
        <v>623469016</v>
      </c>
      <c r="K133" s="45" t="s">
        <v>184</v>
      </c>
      <c r="L133" s="48">
        <v>453</v>
      </c>
      <c r="M133" s="49">
        <v>20241203582</v>
      </c>
      <c r="N133" s="50" t="s">
        <v>28</v>
      </c>
      <c r="O133" s="50"/>
      <c r="P133" s="50"/>
      <c r="Q133" s="51"/>
      <c r="R133" s="50"/>
      <c r="S133" s="50"/>
      <c r="T133" s="51"/>
      <c r="U133" s="50"/>
    </row>
    <row r="134" spans="1:21" ht="25.5" x14ac:dyDescent="0.25">
      <c r="A134" s="45" t="s">
        <v>20</v>
      </c>
      <c r="B134" s="46">
        <v>45763</v>
      </c>
      <c r="C134" s="45" t="s">
        <v>168</v>
      </c>
      <c r="D134" s="47"/>
      <c r="E134" s="45" t="s">
        <v>296</v>
      </c>
      <c r="F134" s="45" t="s">
        <v>297</v>
      </c>
      <c r="G134" s="45" t="s">
        <v>1171</v>
      </c>
      <c r="H134" s="45" t="s">
        <v>2551</v>
      </c>
      <c r="I134" s="45" t="s">
        <v>2552</v>
      </c>
      <c r="J134" s="45">
        <v>624075906</v>
      </c>
      <c r="K134" s="45" t="s">
        <v>2455</v>
      </c>
      <c r="L134" s="48">
        <v>25</v>
      </c>
      <c r="M134" s="49">
        <v>20241206753</v>
      </c>
      <c r="N134" s="50" t="s">
        <v>28</v>
      </c>
      <c r="O134" s="50"/>
      <c r="P134" s="50"/>
      <c r="Q134" s="51"/>
      <c r="R134" s="50"/>
      <c r="S134" s="50"/>
      <c r="T134" s="51"/>
      <c r="U134" s="50"/>
    </row>
    <row r="135" spans="1:21" ht="25.5" x14ac:dyDescent="0.25">
      <c r="A135" s="45" t="s">
        <v>20</v>
      </c>
      <c r="B135" s="46">
        <v>45763</v>
      </c>
      <c r="C135" s="45" t="s">
        <v>168</v>
      </c>
      <c r="D135" s="47"/>
      <c r="E135" s="45" t="s">
        <v>296</v>
      </c>
      <c r="F135" s="45" t="s">
        <v>297</v>
      </c>
      <c r="G135" s="45" t="s">
        <v>2553</v>
      </c>
      <c r="H135" s="45" t="s">
        <v>2554</v>
      </c>
      <c r="I135" s="45" t="s">
        <v>2555</v>
      </c>
      <c r="J135" s="45">
        <v>624107235</v>
      </c>
      <c r="K135" s="45" t="s">
        <v>1943</v>
      </c>
      <c r="L135" s="48">
        <v>27</v>
      </c>
      <c r="M135" s="49">
        <v>20241205709</v>
      </c>
      <c r="N135" s="50" t="s">
        <v>28</v>
      </c>
      <c r="O135" s="50"/>
      <c r="P135" s="50"/>
      <c r="Q135" s="51"/>
      <c r="R135" s="50"/>
      <c r="S135" s="50"/>
      <c r="T135" s="51"/>
      <c r="U135" s="50"/>
    </row>
    <row r="136" spans="1:21" ht="25.5" x14ac:dyDescent="0.25">
      <c r="A136" s="45" t="s">
        <v>20</v>
      </c>
      <c r="B136" s="46">
        <v>45763</v>
      </c>
      <c r="C136" s="45" t="s">
        <v>168</v>
      </c>
      <c r="D136" s="47"/>
      <c r="E136" s="45" t="s">
        <v>296</v>
      </c>
      <c r="F136" s="45" t="s">
        <v>297</v>
      </c>
      <c r="G136" s="45" t="s">
        <v>2553</v>
      </c>
      <c r="H136" s="45" t="s">
        <v>2554</v>
      </c>
      <c r="I136" s="45" t="s">
        <v>2555</v>
      </c>
      <c r="J136" s="45">
        <v>624107235</v>
      </c>
      <c r="K136" s="45" t="s">
        <v>738</v>
      </c>
      <c r="L136" s="48">
        <v>213.37</v>
      </c>
      <c r="M136" s="49">
        <v>20241205702</v>
      </c>
      <c r="N136" s="50" t="s">
        <v>28</v>
      </c>
      <c r="O136" s="50"/>
      <c r="P136" s="50"/>
      <c r="Q136" s="51"/>
      <c r="R136" s="50"/>
      <c r="S136" s="50"/>
      <c r="T136" s="51"/>
      <c r="U136" s="50"/>
    </row>
    <row r="137" spans="1:21" ht="25.5" x14ac:dyDescent="0.25">
      <c r="A137" s="45" t="s">
        <v>20</v>
      </c>
      <c r="B137" s="46">
        <v>45763</v>
      </c>
      <c r="C137" s="45" t="s">
        <v>168</v>
      </c>
      <c r="D137" s="47"/>
      <c r="E137" s="45" t="s">
        <v>296</v>
      </c>
      <c r="F137" s="45" t="s">
        <v>297</v>
      </c>
      <c r="G137" s="45" t="s">
        <v>2553</v>
      </c>
      <c r="H137" s="45" t="s">
        <v>2554</v>
      </c>
      <c r="I137" s="45" t="s">
        <v>2555</v>
      </c>
      <c r="J137" s="45">
        <v>624107235</v>
      </c>
      <c r="K137" s="45" t="s">
        <v>891</v>
      </c>
      <c r="L137" s="48">
        <v>10</v>
      </c>
      <c r="M137" s="49">
        <v>20241205703</v>
      </c>
      <c r="N137" s="50" t="s">
        <v>28</v>
      </c>
      <c r="O137" s="50"/>
      <c r="P137" s="50"/>
      <c r="Q137" s="51"/>
      <c r="R137" s="50"/>
      <c r="S137" s="50"/>
      <c r="T137" s="51"/>
      <c r="U137" s="50"/>
    </row>
    <row r="138" spans="1:21" ht="25.5" x14ac:dyDescent="0.25">
      <c r="A138" s="45" t="s">
        <v>20</v>
      </c>
      <c r="B138" s="46">
        <v>45763</v>
      </c>
      <c r="C138" s="45" t="s">
        <v>168</v>
      </c>
      <c r="D138" s="47"/>
      <c r="E138" s="45" t="s">
        <v>296</v>
      </c>
      <c r="F138" s="45" t="s">
        <v>297</v>
      </c>
      <c r="G138" s="45" t="s">
        <v>2553</v>
      </c>
      <c r="H138" s="45" t="s">
        <v>2554</v>
      </c>
      <c r="I138" s="45" t="s">
        <v>2555</v>
      </c>
      <c r="J138" s="45">
        <v>624107235</v>
      </c>
      <c r="K138" s="45" t="s">
        <v>738</v>
      </c>
      <c r="L138" s="48">
        <v>10</v>
      </c>
      <c r="M138" s="49">
        <v>20241205713</v>
      </c>
      <c r="N138" s="50" t="s">
        <v>28</v>
      </c>
      <c r="O138" s="50"/>
      <c r="P138" s="50"/>
      <c r="Q138" s="51"/>
      <c r="R138" s="50"/>
      <c r="S138" s="50"/>
      <c r="T138" s="51"/>
      <c r="U138" s="50"/>
    </row>
    <row r="139" spans="1:21" x14ac:dyDescent="0.25">
      <c r="A139" s="45" t="s">
        <v>29</v>
      </c>
      <c r="B139" s="46">
        <v>45763</v>
      </c>
      <c r="C139" s="45" t="s">
        <v>168</v>
      </c>
      <c r="D139" s="47"/>
      <c r="E139" s="45" t="s">
        <v>296</v>
      </c>
      <c r="F139" s="45" t="s">
        <v>297</v>
      </c>
      <c r="G139" s="45" t="s">
        <v>2556</v>
      </c>
      <c r="H139" s="45" t="s">
        <v>2557</v>
      </c>
      <c r="I139" s="45" t="s">
        <v>2558</v>
      </c>
      <c r="J139" s="45">
        <v>625145170</v>
      </c>
      <c r="K139" s="45" t="s">
        <v>126</v>
      </c>
      <c r="L139" s="48">
        <v>5000</v>
      </c>
      <c r="M139" s="49">
        <v>20241203456</v>
      </c>
      <c r="N139" s="50" t="s">
        <v>28</v>
      </c>
      <c r="O139" s="50"/>
      <c r="P139" s="50"/>
      <c r="Q139" s="51"/>
      <c r="R139" s="50"/>
      <c r="S139" s="50"/>
      <c r="T139" s="51"/>
      <c r="U139" s="50"/>
    </row>
    <row r="140" spans="1:21" x14ac:dyDescent="0.25">
      <c r="A140" s="45" t="s">
        <v>20</v>
      </c>
      <c r="B140" s="46">
        <v>45763</v>
      </c>
      <c r="C140" s="45" t="s">
        <v>168</v>
      </c>
      <c r="D140" s="47"/>
      <c r="E140" s="45" t="s">
        <v>296</v>
      </c>
      <c r="F140" s="45" t="s">
        <v>297</v>
      </c>
      <c r="G140" s="45" t="s">
        <v>1093</v>
      </c>
      <c r="H140" s="45" t="s">
        <v>2559</v>
      </c>
      <c r="I140" s="45" t="s">
        <v>2560</v>
      </c>
      <c r="J140" s="45">
        <v>625773649</v>
      </c>
      <c r="K140" s="45" t="s">
        <v>2561</v>
      </c>
      <c r="L140" s="48">
        <v>25</v>
      </c>
      <c r="M140" s="49">
        <v>20241206792</v>
      </c>
      <c r="N140" s="50" t="s">
        <v>28</v>
      </c>
      <c r="O140" s="50"/>
      <c r="P140" s="50"/>
      <c r="Q140" s="51"/>
      <c r="R140" s="50"/>
      <c r="S140" s="50"/>
      <c r="T140" s="51"/>
      <c r="U140" s="50"/>
    </row>
    <row r="141" spans="1:21" x14ac:dyDescent="0.25">
      <c r="A141" s="45" t="s">
        <v>20</v>
      </c>
      <c r="B141" s="46">
        <v>45763</v>
      </c>
      <c r="C141" s="45" t="s">
        <v>168</v>
      </c>
      <c r="D141" s="47"/>
      <c r="E141" s="45" t="s">
        <v>296</v>
      </c>
      <c r="F141" s="45" t="s">
        <v>297</v>
      </c>
      <c r="G141" s="45" t="s">
        <v>1093</v>
      </c>
      <c r="H141" s="45" t="s">
        <v>2559</v>
      </c>
      <c r="I141" s="45" t="s">
        <v>2560</v>
      </c>
      <c r="J141" s="45">
        <v>625773649</v>
      </c>
      <c r="K141" s="45" t="s">
        <v>399</v>
      </c>
      <c r="L141" s="48">
        <v>100</v>
      </c>
      <c r="M141" s="49">
        <v>20241205736</v>
      </c>
      <c r="N141" s="50" t="s">
        <v>28</v>
      </c>
      <c r="O141" s="50"/>
      <c r="P141" s="50"/>
      <c r="Q141" s="51"/>
      <c r="R141" s="50"/>
      <c r="S141" s="50"/>
      <c r="T141" s="51"/>
      <c r="U141" s="50"/>
    </row>
    <row r="142" spans="1:21" x14ac:dyDescent="0.25">
      <c r="A142" s="45" t="s">
        <v>20</v>
      </c>
      <c r="B142" s="46">
        <v>45763</v>
      </c>
      <c r="C142" s="45" t="s">
        <v>168</v>
      </c>
      <c r="D142" s="47"/>
      <c r="E142" s="45" t="s">
        <v>296</v>
      </c>
      <c r="F142" s="45" t="s">
        <v>297</v>
      </c>
      <c r="G142" s="45" t="s">
        <v>1093</v>
      </c>
      <c r="H142" s="45" t="s">
        <v>2559</v>
      </c>
      <c r="I142" s="45" t="s">
        <v>2560</v>
      </c>
      <c r="J142" s="45">
        <v>625773649</v>
      </c>
      <c r="K142" s="45" t="s">
        <v>2562</v>
      </c>
      <c r="L142" s="48">
        <v>507.2</v>
      </c>
      <c r="M142" s="49">
        <v>20241205723</v>
      </c>
      <c r="N142" s="50" t="s">
        <v>28</v>
      </c>
      <c r="O142" s="50"/>
      <c r="P142" s="50"/>
      <c r="Q142" s="51"/>
      <c r="R142" s="50"/>
      <c r="S142" s="50"/>
      <c r="T142" s="51"/>
      <c r="U142" s="50"/>
    </row>
    <row r="143" spans="1:21" x14ac:dyDescent="0.25">
      <c r="A143" s="45" t="s">
        <v>20</v>
      </c>
      <c r="B143" s="46">
        <v>45763</v>
      </c>
      <c r="C143" s="45" t="s">
        <v>168</v>
      </c>
      <c r="D143" s="47"/>
      <c r="E143" s="45" t="s">
        <v>296</v>
      </c>
      <c r="F143" s="45" t="s">
        <v>297</v>
      </c>
      <c r="G143" s="45" t="s">
        <v>1093</v>
      </c>
      <c r="H143" s="45" t="s">
        <v>2559</v>
      </c>
      <c r="I143" s="45" t="s">
        <v>2560</v>
      </c>
      <c r="J143" s="45">
        <v>625773649</v>
      </c>
      <c r="K143" s="45" t="s">
        <v>988</v>
      </c>
      <c r="L143" s="48">
        <v>71.08</v>
      </c>
      <c r="M143" s="49">
        <v>20241205729</v>
      </c>
      <c r="N143" s="50" t="s">
        <v>28</v>
      </c>
      <c r="O143" s="50"/>
      <c r="P143" s="50"/>
      <c r="Q143" s="51"/>
      <c r="R143" s="50"/>
      <c r="S143" s="50"/>
      <c r="T143" s="51"/>
      <c r="U143" s="50"/>
    </row>
    <row r="144" spans="1:21" ht="25.5" x14ac:dyDescent="0.25">
      <c r="A144" s="45" t="s">
        <v>20</v>
      </c>
      <c r="B144" s="46">
        <v>45763</v>
      </c>
      <c r="C144" s="45" t="s">
        <v>168</v>
      </c>
      <c r="D144" s="47"/>
      <c r="E144" s="45" t="s">
        <v>669</v>
      </c>
      <c r="F144" s="45" t="s">
        <v>670</v>
      </c>
      <c r="G144" s="45" t="s">
        <v>263</v>
      </c>
      <c r="H144" s="45" t="s">
        <v>2563</v>
      </c>
      <c r="I144" s="45" t="s">
        <v>1451</v>
      </c>
      <c r="J144" s="45">
        <v>22561918</v>
      </c>
      <c r="K144" s="45" t="s">
        <v>1888</v>
      </c>
      <c r="L144" s="48">
        <v>0</v>
      </c>
      <c r="M144" s="49">
        <v>20241127269</v>
      </c>
      <c r="N144" s="50" t="s">
        <v>28</v>
      </c>
      <c r="O144" s="50"/>
      <c r="P144" s="50"/>
      <c r="Q144" s="51"/>
      <c r="R144" s="50"/>
      <c r="S144" s="50"/>
      <c r="T144" s="51"/>
      <c r="U144" s="50"/>
    </row>
    <row r="145" spans="1:21" x14ac:dyDescent="0.25">
      <c r="A145" s="45" t="s">
        <v>324</v>
      </c>
      <c r="B145" s="46">
        <v>45758</v>
      </c>
      <c r="C145" s="45" t="s">
        <v>21</v>
      </c>
      <c r="D145" s="47"/>
      <c r="E145" s="45" t="s">
        <v>325</v>
      </c>
      <c r="F145" s="45" t="s">
        <v>278</v>
      </c>
      <c r="G145" s="45" t="s">
        <v>326</v>
      </c>
      <c r="H145" s="45" t="s">
        <v>1983</v>
      </c>
      <c r="I145" s="45" t="s">
        <v>1984</v>
      </c>
      <c r="J145" s="45">
        <v>21791561</v>
      </c>
      <c r="K145" s="45" t="s">
        <v>2372</v>
      </c>
      <c r="L145" s="48">
        <v>335.7</v>
      </c>
      <c r="M145" s="49">
        <v>202412021785</v>
      </c>
      <c r="N145" s="50" t="s">
        <v>28</v>
      </c>
      <c r="O145" s="50"/>
      <c r="P145" s="50"/>
      <c r="Q145" s="51"/>
      <c r="R145" s="50"/>
      <c r="S145" s="50"/>
      <c r="T145" s="51"/>
      <c r="U145" s="50"/>
    </row>
    <row r="146" spans="1:21" x14ac:dyDescent="0.25">
      <c r="A146" s="45" t="s">
        <v>324</v>
      </c>
      <c r="B146" s="46">
        <v>45758</v>
      </c>
      <c r="C146" s="45" t="s">
        <v>21</v>
      </c>
      <c r="D146" s="47"/>
      <c r="E146" s="45" t="s">
        <v>325</v>
      </c>
      <c r="F146" s="45" t="s">
        <v>278</v>
      </c>
      <c r="G146" s="45" t="s">
        <v>326</v>
      </c>
      <c r="H146" s="45" t="s">
        <v>1983</v>
      </c>
      <c r="I146" s="45" t="s">
        <v>1984</v>
      </c>
      <c r="J146" s="45">
        <v>21791561</v>
      </c>
      <c r="K146" s="45" t="s">
        <v>2360</v>
      </c>
      <c r="L146" s="48">
        <v>15.47</v>
      </c>
      <c r="M146" s="49">
        <v>202412021786</v>
      </c>
      <c r="N146" s="50" t="s">
        <v>28</v>
      </c>
      <c r="O146" s="50"/>
      <c r="P146" s="50"/>
      <c r="Q146" s="51"/>
      <c r="R146" s="50"/>
      <c r="S146" s="50"/>
      <c r="T146" s="51"/>
      <c r="U146" s="50"/>
    </row>
    <row r="147" spans="1:21" x14ac:dyDescent="0.25">
      <c r="A147" s="45" t="s">
        <v>29</v>
      </c>
      <c r="B147" s="46">
        <v>45763</v>
      </c>
      <c r="C147" s="45" t="s">
        <v>168</v>
      </c>
      <c r="D147" s="47"/>
      <c r="E147" s="45" t="s">
        <v>325</v>
      </c>
      <c r="F147" s="45" t="s">
        <v>278</v>
      </c>
      <c r="G147" s="45" t="s">
        <v>900</v>
      </c>
      <c r="H147" s="45" t="s">
        <v>1205</v>
      </c>
      <c r="I147" s="45" t="s">
        <v>2564</v>
      </c>
      <c r="J147" s="45">
        <v>102785562</v>
      </c>
      <c r="K147" s="45" t="s">
        <v>1358</v>
      </c>
      <c r="L147" s="48">
        <v>412.5</v>
      </c>
      <c r="M147" s="49">
        <v>20241204903</v>
      </c>
      <c r="N147" s="50" t="s">
        <v>28</v>
      </c>
      <c r="O147" s="50"/>
      <c r="P147" s="50"/>
      <c r="Q147" s="51"/>
      <c r="R147" s="50"/>
      <c r="S147" s="50"/>
      <c r="T147" s="51"/>
      <c r="U147" s="50"/>
    </row>
    <row r="148" spans="1:21" x14ac:dyDescent="0.25">
      <c r="A148" s="45" t="s">
        <v>324</v>
      </c>
      <c r="B148" s="45" t="s">
        <v>2565</v>
      </c>
      <c r="C148" s="45" t="s">
        <v>21</v>
      </c>
      <c r="D148" s="47"/>
      <c r="E148" s="45" t="s">
        <v>325</v>
      </c>
      <c r="F148" s="45" t="s">
        <v>278</v>
      </c>
      <c r="G148" s="45" t="s">
        <v>326</v>
      </c>
      <c r="H148" s="45" t="s">
        <v>1448</v>
      </c>
      <c r="I148" s="45" t="s">
        <v>2211</v>
      </c>
      <c r="J148" s="45">
        <v>135809604</v>
      </c>
      <c r="K148" s="45" t="s">
        <v>2372</v>
      </c>
      <c r="L148" s="48">
        <v>465.06</v>
      </c>
      <c r="M148" s="49">
        <v>202412021787</v>
      </c>
      <c r="N148" s="50" t="s">
        <v>28</v>
      </c>
      <c r="O148" s="50"/>
      <c r="P148" s="50"/>
      <c r="Q148" s="51"/>
      <c r="R148" s="50"/>
      <c r="S148" s="50"/>
      <c r="T148" s="51"/>
      <c r="U148" s="50"/>
    </row>
    <row r="149" spans="1:21" x14ac:dyDescent="0.25">
      <c r="A149" s="45" t="s">
        <v>324</v>
      </c>
      <c r="B149" s="46">
        <v>45758</v>
      </c>
      <c r="C149" s="45" t="s">
        <v>21</v>
      </c>
      <c r="D149" s="47"/>
      <c r="E149" s="45" t="s">
        <v>325</v>
      </c>
      <c r="F149" s="45" t="s">
        <v>278</v>
      </c>
      <c r="G149" s="45" t="s">
        <v>326</v>
      </c>
      <c r="H149" s="45" t="s">
        <v>1448</v>
      </c>
      <c r="I149" s="45" t="s">
        <v>2211</v>
      </c>
      <c r="J149" s="45">
        <v>135809604</v>
      </c>
      <c r="K149" s="45" t="s">
        <v>2244</v>
      </c>
      <c r="L149" s="48">
        <v>2.77</v>
      </c>
      <c r="M149" s="49">
        <v>202412021788</v>
      </c>
      <c r="N149" s="50" t="s">
        <v>28</v>
      </c>
      <c r="O149" s="50"/>
      <c r="P149" s="50"/>
      <c r="Q149" s="51"/>
      <c r="R149" s="50"/>
      <c r="S149" s="50"/>
      <c r="T149" s="51"/>
      <c r="U149" s="50"/>
    </row>
    <row r="150" spans="1:21" ht="25.5" x14ac:dyDescent="0.25">
      <c r="A150" s="45" t="s">
        <v>233</v>
      </c>
      <c r="B150" s="46">
        <v>45758</v>
      </c>
      <c r="C150" s="45" t="s">
        <v>21</v>
      </c>
      <c r="D150" s="47"/>
      <c r="E150" s="45" t="s">
        <v>325</v>
      </c>
      <c r="F150" s="45" t="s">
        <v>278</v>
      </c>
      <c r="G150" s="45" t="s">
        <v>333</v>
      </c>
      <c r="H150" s="45" t="s">
        <v>1169</v>
      </c>
      <c r="I150" s="45" t="s">
        <v>1987</v>
      </c>
      <c r="J150" s="45">
        <v>216279574</v>
      </c>
      <c r="K150" s="45" t="s">
        <v>2418</v>
      </c>
      <c r="L150" s="48">
        <v>496</v>
      </c>
      <c r="M150" s="49">
        <v>202412021768</v>
      </c>
      <c r="N150" s="50" t="s">
        <v>28</v>
      </c>
      <c r="O150" s="50"/>
      <c r="P150" s="50"/>
      <c r="Q150" s="51"/>
      <c r="R150" s="50"/>
      <c r="S150" s="50"/>
      <c r="T150" s="51"/>
      <c r="U150" s="50"/>
    </row>
    <row r="151" spans="1:21" x14ac:dyDescent="0.25">
      <c r="A151" s="45" t="s">
        <v>29</v>
      </c>
      <c r="B151" s="46">
        <v>45763</v>
      </c>
      <c r="C151" s="45" t="s">
        <v>168</v>
      </c>
      <c r="D151" s="47"/>
      <c r="E151" s="45" t="s">
        <v>325</v>
      </c>
      <c r="F151" s="45" t="s">
        <v>278</v>
      </c>
      <c r="G151" s="45" t="s">
        <v>900</v>
      </c>
      <c r="H151" s="45" t="s">
        <v>2566</v>
      </c>
      <c r="I151" s="45" t="s">
        <v>2567</v>
      </c>
      <c r="J151" s="45">
        <v>227777160</v>
      </c>
      <c r="K151" s="45" t="s">
        <v>1358</v>
      </c>
      <c r="L151" s="48">
        <v>416.67</v>
      </c>
      <c r="M151" s="49">
        <v>20241204907</v>
      </c>
      <c r="N151" s="50" t="s">
        <v>28</v>
      </c>
      <c r="O151" s="50"/>
      <c r="P151" s="50"/>
      <c r="Q151" s="51"/>
      <c r="R151" s="50"/>
      <c r="S151" s="50"/>
      <c r="T151" s="51"/>
      <c r="U151" s="50"/>
    </row>
    <row r="152" spans="1:21" x14ac:dyDescent="0.25">
      <c r="A152" s="45" t="s">
        <v>324</v>
      </c>
      <c r="B152" s="46">
        <v>45758</v>
      </c>
      <c r="C152" s="45" t="s">
        <v>21</v>
      </c>
      <c r="D152" s="47"/>
      <c r="E152" s="45" t="s">
        <v>325</v>
      </c>
      <c r="F152" s="45" t="s">
        <v>278</v>
      </c>
      <c r="G152" s="45" t="s">
        <v>326</v>
      </c>
      <c r="H152" s="45" t="s">
        <v>329</v>
      </c>
      <c r="I152" s="45" t="s">
        <v>330</v>
      </c>
      <c r="J152" s="45">
        <v>237936224</v>
      </c>
      <c r="K152" s="45" t="s">
        <v>2372</v>
      </c>
      <c r="L152" s="48">
        <v>51.34</v>
      </c>
      <c r="M152" s="49">
        <v>202412031241</v>
      </c>
      <c r="N152" s="50" t="s">
        <v>28</v>
      </c>
      <c r="O152" s="50"/>
      <c r="P152" s="50"/>
      <c r="Q152" s="51"/>
      <c r="R152" s="50"/>
      <c r="S152" s="50"/>
      <c r="T152" s="51"/>
      <c r="U152" s="50"/>
    </row>
    <row r="153" spans="1:21" x14ac:dyDescent="0.25">
      <c r="A153" s="45" t="s">
        <v>324</v>
      </c>
      <c r="B153" s="46">
        <v>45758</v>
      </c>
      <c r="C153" s="45" t="s">
        <v>21</v>
      </c>
      <c r="D153" s="47"/>
      <c r="E153" s="45" t="s">
        <v>325</v>
      </c>
      <c r="F153" s="45" t="s">
        <v>278</v>
      </c>
      <c r="G153" s="45" t="s">
        <v>326</v>
      </c>
      <c r="H153" s="45" t="s">
        <v>329</v>
      </c>
      <c r="I153" s="45" t="s">
        <v>330</v>
      </c>
      <c r="J153" s="45">
        <v>237936224</v>
      </c>
      <c r="K153" s="45" t="s">
        <v>2418</v>
      </c>
      <c r="L153" s="48">
        <v>140</v>
      </c>
      <c r="M153" s="49">
        <v>202412031242</v>
      </c>
      <c r="N153" s="50" t="s">
        <v>28</v>
      </c>
      <c r="O153" s="50"/>
      <c r="P153" s="50"/>
      <c r="Q153" s="51"/>
      <c r="R153" s="50"/>
      <c r="S153" s="50"/>
      <c r="T153" s="51"/>
      <c r="U153" s="50"/>
    </row>
    <row r="154" spans="1:21" x14ac:dyDescent="0.25">
      <c r="A154" s="45" t="s">
        <v>20</v>
      </c>
      <c r="B154" s="46">
        <v>45763</v>
      </c>
      <c r="C154" s="45" t="s">
        <v>168</v>
      </c>
      <c r="D154" s="47"/>
      <c r="E154" s="45" t="s">
        <v>325</v>
      </c>
      <c r="F154" s="45" t="s">
        <v>278</v>
      </c>
      <c r="G154" s="45" t="s">
        <v>326</v>
      </c>
      <c r="H154" s="45" t="s">
        <v>1700</v>
      </c>
      <c r="I154" s="45" t="s">
        <v>1701</v>
      </c>
      <c r="J154" s="45">
        <v>280723803</v>
      </c>
      <c r="K154" s="45" t="s">
        <v>408</v>
      </c>
      <c r="L154" s="48">
        <v>718.07</v>
      </c>
      <c r="M154" s="49">
        <v>202412021784</v>
      </c>
      <c r="N154" s="50" t="s">
        <v>28</v>
      </c>
      <c r="O154" s="50"/>
      <c r="P154" s="50"/>
      <c r="Q154" s="51"/>
      <c r="R154" s="50"/>
      <c r="S154" s="50"/>
      <c r="T154" s="51"/>
      <c r="U154" s="50"/>
    </row>
    <row r="155" spans="1:21" x14ac:dyDescent="0.25">
      <c r="A155" s="45" t="s">
        <v>324</v>
      </c>
      <c r="B155" s="46">
        <v>45758</v>
      </c>
      <c r="C155" s="45" t="s">
        <v>21</v>
      </c>
      <c r="D155" s="47"/>
      <c r="E155" s="45" t="s">
        <v>325</v>
      </c>
      <c r="F155" s="45" t="s">
        <v>278</v>
      </c>
      <c r="G155" s="45" t="s">
        <v>326</v>
      </c>
      <c r="H155" s="45" t="s">
        <v>1700</v>
      </c>
      <c r="I155" s="45" t="s">
        <v>1701</v>
      </c>
      <c r="J155" s="45">
        <v>280723803</v>
      </c>
      <c r="K155" s="45" t="s">
        <v>2372</v>
      </c>
      <c r="L155" s="48">
        <v>893</v>
      </c>
      <c r="M155" s="49">
        <v>202412021783</v>
      </c>
      <c r="N155" s="50" t="s">
        <v>28</v>
      </c>
      <c r="O155" s="50"/>
      <c r="P155" s="50"/>
      <c r="Q155" s="51"/>
      <c r="R155" s="50"/>
      <c r="S155" s="50"/>
      <c r="T155" s="51"/>
      <c r="U155" s="50"/>
    </row>
    <row r="156" spans="1:21" x14ac:dyDescent="0.25">
      <c r="A156" s="45" t="s">
        <v>29</v>
      </c>
      <c r="B156" s="46">
        <v>45763</v>
      </c>
      <c r="C156" s="45" t="s">
        <v>168</v>
      </c>
      <c r="D156" s="47"/>
      <c r="E156" s="45" t="s">
        <v>325</v>
      </c>
      <c r="F156" s="45" t="s">
        <v>278</v>
      </c>
      <c r="G156" s="45" t="s">
        <v>900</v>
      </c>
      <c r="H156" s="45" t="s">
        <v>2568</v>
      </c>
      <c r="I156" s="45" t="s">
        <v>1609</v>
      </c>
      <c r="J156" s="45">
        <v>692377464</v>
      </c>
      <c r="K156" s="45" t="s">
        <v>1358</v>
      </c>
      <c r="L156" s="48">
        <v>416.67</v>
      </c>
      <c r="M156" s="49">
        <v>20241204916</v>
      </c>
      <c r="N156" s="50" t="s">
        <v>28</v>
      </c>
      <c r="O156" s="50"/>
      <c r="P156" s="50"/>
      <c r="Q156" s="51"/>
      <c r="R156" s="50"/>
      <c r="S156" s="50"/>
      <c r="T156" s="51"/>
      <c r="U156" s="50"/>
    </row>
    <row r="157" spans="1:21" x14ac:dyDescent="0.25">
      <c r="A157" s="45" t="s">
        <v>29</v>
      </c>
      <c r="B157" s="46">
        <v>45763</v>
      </c>
      <c r="C157" s="45" t="s">
        <v>168</v>
      </c>
      <c r="D157" s="47"/>
      <c r="E157" s="45" t="s">
        <v>325</v>
      </c>
      <c r="F157" s="45" t="s">
        <v>278</v>
      </c>
      <c r="G157" s="45" t="s">
        <v>900</v>
      </c>
      <c r="H157" s="45" t="s">
        <v>2569</v>
      </c>
      <c r="I157" s="45" t="s">
        <v>2570</v>
      </c>
      <c r="J157" s="45">
        <v>741130878</v>
      </c>
      <c r="K157" s="45" t="s">
        <v>1358</v>
      </c>
      <c r="L157" s="48">
        <v>266.68</v>
      </c>
      <c r="M157" s="49">
        <v>20241204944</v>
      </c>
      <c r="N157" s="50" t="s">
        <v>28</v>
      </c>
      <c r="O157" s="50"/>
      <c r="P157" s="50"/>
      <c r="Q157" s="51"/>
      <c r="R157" s="50"/>
      <c r="S157" s="50"/>
      <c r="T157" s="51"/>
      <c r="U157" s="50"/>
    </row>
    <row r="158" spans="1:21" x14ac:dyDescent="0.25">
      <c r="A158" s="45" t="s">
        <v>29</v>
      </c>
      <c r="B158" s="46">
        <v>45763</v>
      </c>
      <c r="C158" s="45" t="s">
        <v>168</v>
      </c>
      <c r="D158" s="47"/>
      <c r="E158" s="45" t="s">
        <v>325</v>
      </c>
      <c r="F158" s="45" t="s">
        <v>278</v>
      </c>
      <c r="G158" s="45" t="s">
        <v>900</v>
      </c>
      <c r="H158" s="45" t="s">
        <v>1609</v>
      </c>
      <c r="I158" s="45" t="s">
        <v>85</v>
      </c>
      <c r="J158" s="45">
        <v>808574125</v>
      </c>
      <c r="K158" s="45" t="s">
        <v>1358</v>
      </c>
      <c r="L158" s="48">
        <v>416.67</v>
      </c>
      <c r="M158" s="49">
        <v>20241204906</v>
      </c>
      <c r="N158" s="50" t="s">
        <v>28</v>
      </c>
      <c r="O158" s="50"/>
      <c r="P158" s="50"/>
      <c r="Q158" s="51"/>
      <c r="R158" s="50"/>
      <c r="S158" s="50"/>
      <c r="T158" s="51"/>
      <c r="U158" s="50"/>
    </row>
    <row r="159" spans="1:21" x14ac:dyDescent="0.25">
      <c r="A159" s="45" t="s">
        <v>324</v>
      </c>
      <c r="B159" s="46">
        <v>45758</v>
      </c>
      <c r="C159" s="45" t="s">
        <v>21</v>
      </c>
      <c r="D159" s="47"/>
      <c r="E159" s="45" t="s">
        <v>325</v>
      </c>
      <c r="F159" s="45" t="s">
        <v>278</v>
      </c>
      <c r="G159" s="45" t="s">
        <v>326</v>
      </c>
      <c r="H159" s="45" t="s">
        <v>179</v>
      </c>
      <c r="I159" s="45" t="s">
        <v>851</v>
      </c>
      <c r="J159" s="45">
        <v>867571697</v>
      </c>
      <c r="K159" s="45" t="s">
        <v>2309</v>
      </c>
      <c r="L159" s="48">
        <v>38.4</v>
      </c>
      <c r="M159" s="49">
        <v>202412021793</v>
      </c>
      <c r="N159" s="50" t="s">
        <v>28</v>
      </c>
      <c r="O159" s="50"/>
      <c r="P159" s="50"/>
      <c r="Q159" s="51"/>
      <c r="R159" s="50"/>
      <c r="S159" s="50"/>
      <c r="T159" s="51"/>
      <c r="U159" s="50"/>
    </row>
    <row r="160" spans="1:21" x14ac:dyDescent="0.25">
      <c r="A160" s="45" t="s">
        <v>375</v>
      </c>
      <c r="B160" s="46">
        <v>45758</v>
      </c>
      <c r="C160" s="45" t="s">
        <v>21</v>
      </c>
      <c r="D160" s="47"/>
      <c r="E160" s="45" t="s">
        <v>371</v>
      </c>
      <c r="F160" s="45" t="s">
        <v>372</v>
      </c>
      <c r="G160" s="45" t="s">
        <v>376</v>
      </c>
      <c r="H160" s="45" t="s">
        <v>1809</v>
      </c>
      <c r="I160" s="45" t="s">
        <v>2571</v>
      </c>
      <c r="J160" s="45">
        <v>190621790</v>
      </c>
      <c r="K160" s="45" t="s">
        <v>1912</v>
      </c>
      <c r="L160" s="48">
        <v>175.93</v>
      </c>
      <c r="M160" s="49">
        <v>202412021136</v>
      </c>
      <c r="N160" s="50" t="s">
        <v>28</v>
      </c>
      <c r="O160" s="50"/>
      <c r="P160" s="50"/>
      <c r="Q160" s="51"/>
      <c r="R160" s="50"/>
      <c r="S160" s="50"/>
      <c r="T160" s="51"/>
      <c r="U160" s="50"/>
    </row>
    <row r="161" spans="1:21" x14ac:dyDescent="0.25">
      <c r="A161" s="45" t="s">
        <v>375</v>
      </c>
      <c r="B161" s="46">
        <v>45758</v>
      </c>
      <c r="C161" s="45" t="s">
        <v>21</v>
      </c>
      <c r="D161" s="47"/>
      <c r="E161" s="45" t="s">
        <v>371</v>
      </c>
      <c r="F161" s="45" t="s">
        <v>372</v>
      </c>
      <c r="G161" s="45" t="s">
        <v>376</v>
      </c>
      <c r="H161" s="45" t="s">
        <v>1809</v>
      </c>
      <c r="I161" s="45" t="s">
        <v>2571</v>
      </c>
      <c r="J161" s="45">
        <v>190621790</v>
      </c>
      <c r="K161" s="45" t="s">
        <v>999</v>
      </c>
      <c r="L161" s="48">
        <v>35.28</v>
      </c>
      <c r="M161" s="49">
        <v>202412021144</v>
      </c>
      <c r="N161" s="50" t="s">
        <v>28</v>
      </c>
      <c r="O161" s="50"/>
      <c r="P161" s="50"/>
      <c r="Q161" s="51"/>
      <c r="R161" s="50"/>
      <c r="S161" s="50"/>
      <c r="T161" s="51"/>
      <c r="U161" s="50"/>
    </row>
    <row r="162" spans="1:21" x14ac:dyDescent="0.25">
      <c r="A162" s="45" t="s">
        <v>375</v>
      </c>
      <c r="B162" s="46">
        <v>45758</v>
      </c>
      <c r="C162" s="45" t="s">
        <v>21</v>
      </c>
      <c r="D162" s="47"/>
      <c r="E162" s="45" t="s">
        <v>371</v>
      </c>
      <c r="F162" s="45" t="s">
        <v>372</v>
      </c>
      <c r="G162" s="45" t="s">
        <v>376</v>
      </c>
      <c r="H162" s="45" t="s">
        <v>1809</v>
      </c>
      <c r="I162" s="45" t="s">
        <v>2571</v>
      </c>
      <c r="J162" s="45">
        <v>190621790</v>
      </c>
      <c r="K162" s="45" t="s">
        <v>1219</v>
      </c>
      <c r="L162" s="48">
        <v>137.58000000000001</v>
      </c>
      <c r="M162" s="49">
        <v>202412021147</v>
      </c>
      <c r="N162" s="50" t="s">
        <v>28</v>
      </c>
      <c r="O162" s="50"/>
      <c r="P162" s="50"/>
      <c r="Q162" s="51"/>
      <c r="R162" s="50"/>
      <c r="S162" s="50"/>
      <c r="T162" s="51"/>
      <c r="U162" s="50"/>
    </row>
    <row r="163" spans="1:21" x14ac:dyDescent="0.25">
      <c r="A163" s="45" t="s">
        <v>375</v>
      </c>
      <c r="B163" s="46">
        <v>45758</v>
      </c>
      <c r="C163" s="45" t="s">
        <v>21</v>
      </c>
      <c r="D163" s="47"/>
      <c r="E163" s="45" t="s">
        <v>371</v>
      </c>
      <c r="F163" s="45" t="s">
        <v>372</v>
      </c>
      <c r="G163" s="45" t="s">
        <v>376</v>
      </c>
      <c r="H163" s="45" t="s">
        <v>1809</v>
      </c>
      <c r="I163" s="45" t="s">
        <v>2571</v>
      </c>
      <c r="J163" s="45">
        <v>190621790</v>
      </c>
      <c r="K163" s="45" t="s">
        <v>999</v>
      </c>
      <c r="L163" s="48">
        <v>91.04</v>
      </c>
      <c r="M163" s="49">
        <v>202412021124</v>
      </c>
      <c r="N163" s="50" t="s">
        <v>28</v>
      </c>
      <c r="O163" s="50"/>
      <c r="P163" s="50"/>
      <c r="Q163" s="51"/>
      <c r="R163" s="50"/>
      <c r="S163" s="50"/>
      <c r="T163" s="51"/>
      <c r="U163" s="50"/>
    </row>
    <row r="164" spans="1:21" x14ac:dyDescent="0.25">
      <c r="A164" s="45" t="s">
        <v>375</v>
      </c>
      <c r="B164" s="46">
        <v>45758</v>
      </c>
      <c r="C164" s="45" t="s">
        <v>21</v>
      </c>
      <c r="D164" s="47"/>
      <c r="E164" s="45" t="s">
        <v>371</v>
      </c>
      <c r="F164" s="45" t="s">
        <v>372</v>
      </c>
      <c r="G164" s="45" t="s">
        <v>376</v>
      </c>
      <c r="H164" s="45" t="s">
        <v>1809</v>
      </c>
      <c r="I164" s="45" t="s">
        <v>2571</v>
      </c>
      <c r="J164" s="45">
        <v>190621790</v>
      </c>
      <c r="K164" s="45" t="s">
        <v>1230</v>
      </c>
      <c r="L164" s="48">
        <v>100.31</v>
      </c>
      <c r="M164" s="49">
        <v>202412021133</v>
      </c>
      <c r="N164" s="50" t="s">
        <v>28</v>
      </c>
      <c r="O164" s="50"/>
      <c r="P164" s="50"/>
      <c r="Q164" s="51"/>
      <c r="R164" s="50"/>
      <c r="S164" s="50"/>
      <c r="T164" s="51"/>
      <c r="U164" s="50"/>
    </row>
    <row r="165" spans="1:21" x14ac:dyDescent="0.25">
      <c r="A165" s="45" t="s">
        <v>375</v>
      </c>
      <c r="B165" s="46">
        <v>45758</v>
      </c>
      <c r="C165" s="45" t="s">
        <v>21</v>
      </c>
      <c r="D165" s="47"/>
      <c r="E165" s="45" t="s">
        <v>371</v>
      </c>
      <c r="F165" s="45" t="s">
        <v>372</v>
      </c>
      <c r="G165" s="45" t="s">
        <v>376</v>
      </c>
      <c r="H165" s="45" t="s">
        <v>1809</v>
      </c>
      <c r="I165" s="45" t="s">
        <v>2571</v>
      </c>
      <c r="J165" s="45">
        <v>190621790</v>
      </c>
      <c r="K165" s="45" t="s">
        <v>1588</v>
      </c>
      <c r="L165" s="48">
        <v>62.77</v>
      </c>
      <c r="M165" s="49">
        <v>202412021130</v>
      </c>
      <c r="N165" s="50" t="s">
        <v>28</v>
      </c>
      <c r="O165" s="50"/>
      <c r="P165" s="50"/>
      <c r="Q165" s="51"/>
      <c r="R165" s="50"/>
      <c r="S165" s="50"/>
      <c r="T165" s="51"/>
      <c r="U165" s="50"/>
    </row>
    <row r="166" spans="1:21" x14ac:dyDescent="0.25">
      <c r="A166" s="45" t="s">
        <v>324</v>
      </c>
      <c r="B166" s="46">
        <v>45758</v>
      </c>
      <c r="C166" s="45" t="s">
        <v>21</v>
      </c>
      <c r="D166" s="47"/>
      <c r="E166" s="45" t="s">
        <v>371</v>
      </c>
      <c r="F166" s="45" t="s">
        <v>372</v>
      </c>
      <c r="G166" s="45" t="s">
        <v>274</v>
      </c>
      <c r="H166" s="45" t="s">
        <v>1064</v>
      </c>
      <c r="I166" s="45" t="s">
        <v>2572</v>
      </c>
      <c r="J166" s="45">
        <v>208648837</v>
      </c>
      <c r="K166" s="45" t="s">
        <v>1702</v>
      </c>
      <c r="L166" s="48">
        <v>50</v>
      </c>
      <c r="M166" s="49">
        <v>20241204588</v>
      </c>
      <c r="N166" s="50" t="s">
        <v>28</v>
      </c>
      <c r="O166" s="50"/>
      <c r="P166" s="50"/>
      <c r="Q166" s="51"/>
      <c r="R166" s="50"/>
      <c r="S166" s="50"/>
      <c r="T166" s="51"/>
      <c r="U166" s="50"/>
    </row>
    <row r="167" spans="1:21" x14ac:dyDescent="0.25">
      <c r="A167" s="45" t="s">
        <v>324</v>
      </c>
      <c r="B167" s="46">
        <v>45758</v>
      </c>
      <c r="C167" s="45" t="s">
        <v>21</v>
      </c>
      <c r="D167" s="47"/>
      <c r="E167" s="45" t="s">
        <v>371</v>
      </c>
      <c r="F167" s="45" t="s">
        <v>372</v>
      </c>
      <c r="G167" s="45" t="s">
        <v>274</v>
      </c>
      <c r="H167" s="45" t="s">
        <v>1064</v>
      </c>
      <c r="I167" s="45" t="s">
        <v>2572</v>
      </c>
      <c r="J167" s="45">
        <v>208648837</v>
      </c>
      <c r="K167" s="45" t="s">
        <v>1907</v>
      </c>
      <c r="L167" s="48">
        <v>50</v>
      </c>
      <c r="M167" s="49">
        <v>20241204589</v>
      </c>
      <c r="N167" s="50" t="s">
        <v>28</v>
      </c>
      <c r="O167" s="50"/>
      <c r="P167" s="50"/>
      <c r="Q167" s="51"/>
      <c r="R167" s="50"/>
      <c r="S167" s="50"/>
      <c r="T167" s="51"/>
      <c r="U167" s="50"/>
    </row>
    <row r="168" spans="1:21" x14ac:dyDescent="0.25">
      <c r="A168" s="45" t="s">
        <v>324</v>
      </c>
      <c r="B168" s="46">
        <v>45758</v>
      </c>
      <c r="C168" s="45" t="s">
        <v>21</v>
      </c>
      <c r="D168" s="47"/>
      <c r="E168" s="45" t="s">
        <v>371</v>
      </c>
      <c r="F168" s="45" t="s">
        <v>372</v>
      </c>
      <c r="G168" s="45" t="s">
        <v>274</v>
      </c>
      <c r="H168" s="45" t="s">
        <v>1064</v>
      </c>
      <c r="I168" s="45" t="s">
        <v>2572</v>
      </c>
      <c r="J168" s="45">
        <v>208648837</v>
      </c>
      <c r="K168" s="45" t="s">
        <v>1806</v>
      </c>
      <c r="L168" s="48">
        <v>50</v>
      </c>
      <c r="M168" s="49">
        <v>20241204590</v>
      </c>
      <c r="N168" s="50" t="s">
        <v>28</v>
      </c>
      <c r="O168" s="50"/>
      <c r="P168" s="50"/>
      <c r="Q168" s="51"/>
      <c r="R168" s="50"/>
      <c r="S168" s="50"/>
      <c r="T168" s="51"/>
      <c r="U168" s="50"/>
    </row>
    <row r="169" spans="1:21" x14ac:dyDescent="0.25">
      <c r="A169" s="45" t="s">
        <v>324</v>
      </c>
      <c r="B169" s="46">
        <v>45758</v>
      </c>
      <c r="C169" s="45" t="s">
        <v>21</v>
      </c>
      <c r="D169" s="47"/>
      <c r="E169" s="45" t="s">
        <v>371</v>
      </c>
      <c r="F169" s="45" t="s">
        <v>372</v>
      </c>
      <c r="G169" s="45" t="s">
        <v>274</v>
      </c>
      <c r="H169" s="45" t="s">
        <v>1064</v>
      </c>
      <c r="I169" s="45" t="s">
        <v>2572</v>
      </c>
      <c r="J169" s="45">
        <v>208648837</v>
      </c>
      <c r="K169" s="45" t="s">
        <v>2309</v>
      </c>
      <c r="L169" s="48">
        <v>50</v>
      </c>
      <c r="M169" s="49">
        <v>20241204586</v>
      </c>
      <c r="N169" s="50" t="s">
        <v>28</v>
      </c>
      <c r="O169" s="50"/>
      <c r="P169" s="50"/>
      <c r="Q169" s="51"/>
      <c r="R169" s="50"/>
      <c r="S169" s="50"/>
      <c r="T169" s="51"/>
      <c r="U169" s="50"/>
    </row>
    <row r="170" spans="1:21" x14ac:dyDescent="0.25">
      <c r="A170" s="45" t="s">
        <v>375</v>
      </c>
      <c r="B170" s="46">
        <v>45758</v>
      </c>
      <c r="C170" s="45" t="s">
        <v>21</v>
      </c>
      <c r="D170" s="47"/>
      <c r="E170" s="45" t="s">
        <v>371</v>
      </c>
      <c r="F170" s="45" t="s">
        <v>372</v>
      </c>
      <c r="G170" s="45" t="s">
        <v>376</v>
      </c>
      <c r="H170" s="45" t="s">
        <v>2573</v>
      </c>
      <c r="I170" s="45" t="s">
        <v>1221</v>
      </c>
      <c r="J170" s="45">
        <v>213985138</v>
      </c>
      <c r="K170" s="45" t="s">
        <v>2015</v>
      </c>
      <c r="L170" s="48">
        <v>58.45</v>
      </c>
      <c r="M170" s="49">
        <v>20241202647</v>
      </c>
      <c r="N170" s="50" t="s">
        <v>28</v>
      </c>
      <c r="O170" s="50"/>
      <c r="P170" s="50"/>
      <c r="Q170" s="51"/>
      <c r="R170" s="50"/>
      <c r="S170" s="50"/>
      <c r="T170" s="51"/>
      <c r="U170" s="50"/>
    </row>
    <row r="171" spans="1:21" x14ac:dyDescent="0.25">
      <c r="A171" s="45" t="s">
        <v>375</v>
      </c>
      <c r="B171" s="46">
        <v>45758</v>
      </c>
      <c r="C171" s="45" t="s">
        <v>21</v>
      </c>
      <c r="D171" s="47"/>
      <c r="E171" s="45" t="s">
        <v>371</v>
      </c>
      <c r="F171" s="45" t="s">
        <v>372</v>
      </c>
      <c r="G171" s="45" t="s">
        <v>376</v>
      </c>
      <c r="H171" s="45" t="s">
        <v>2573</v>
      </c>
      <c r="I171" s="45" t="s">
        <v>1221</v>
      </c>
      <c r="J171" s="45">
        <v>213985138</v>
      </c>
      <c r="K171" s="45" t="s">
        <v>897</v>
      </c>
      <c r="L171" s="48">
        <v>50</v>
      </c>
      <c r="M171" s="49">
        <v>20241204278</v>
      </c>
      <c r="N171" s="50" t="s">
        <v>28</v>
      </c>
      <c r="O171" s="50"/>
      <c r="P171" s="50"/>
      <c r="Q171" s="51"/>
      <c r="R171" s="50"/>
      <c r="S171" s="50"/>
      <c r="T171" s="51"/>
      <c r="U171" s="50"/>
    </row>
    <row r="172" spans="1:21" x14ac:dyDescent="0.25">
      <c r="A172" s="45" t="s">
        <v>375</v>
      </c>
      <c r="B172" s="46">
        <v>45758</v>
      </c>
      <c r="C172" s="45" t="s">
        <v>21</v>
      </c>
      <c r="D172" s="47"/>
      <c r="E172" s="45" t="s">
        <v>371</v>
      </c>
      <c r="F172" s="45" t="s">
        <v>372</v>
      </c>
      <c r="G172" s="45" t="s">
        <v>376</v>
      </c>
      <c r="H172" s="45" t="s">
        <v>2573</v>
      </c>
      <c r="I172" s="45" t="s">
        <v>1221</v>
      </c>
      <c r="J172" s="45">
        <v>213985138</v>
      </c>
      <c r="K172" s="45" t="s">
        <v>888</v>
      </c>
      <c r="L172" s="48">
        <v>18.45</v>
      </c>
      <c r="M172" s="49">
        <v>20241202648</v>
      </c>
      <c r="N172" s="50" t="s">
        <v>28</v>
      </c>
      <c r="O172" s="50"/>
      <c r="P172" s="50"/>
      <c r="Q172" s="51"/>
      <c r="R172" s="50"/>
      <c r="S172" s="50"/>
      <c r="T172" s="51"/>
      <c r="U172" s="50"/>
    </row>
    <row r="173" spans="1:21" x14ac:dyDescent="0.25">
      <c r="A173" s="45" t="s">
        <v>375</v>
      </c>
      <c r="B173" s="46">
        <v>45758</v>
      </c>
      <c r="C173" s="45" t="s">
        <v>21</v>
      </c>
      <c r="D173" s="47"/>
      <c r="E173" s="45" t="s">
        <v>371</v>
      </c>
      <c r="F173" s="45" t="s">
        <v>372</v>
      </c>
      <c r="G173" s="45" t="s">
        <v>376</v>
      </c>
      <c r="H173" s="45" t="s">
        <v>2573</v>
      </c>
      <c r="I173" s="45" t="s">
        <v>1221</v>
      </c>
      <c r="J173" s="45">
        <v>213985138</v>
      </c>
      <c r="K173" s="45" t="s">
        <v>1243</v>
      </c>
      <c r="L173" s="48">
        <v>92.27</v>
      </c>
      <c r="M173" s="49">
        <v>20241202637</v>
      </c>
      <c r="N173" s="50" t="s">
        <v>28</v>
      </c>
      <c r="O173" s="50"/>
      <c r="P173" s="50"/>
      <c r="Q173" s="51"/>
      <c r="R173" s="50"/>
      <c r="S173" s="50"/>
      <c r="T173" s="51"/>
      <c r="U173" s="50"/>
    </row>
    <row r="174" spans="1:21" x14ac:dyDescent="0.25">
      <c r="A174" s="45" t="s">
        <v>375</v>
      </c>
      <c r="B174" s="46">
        <v>45758</v>
      </c>
      <c r="C174" s="45" t="s">
        <v>21</v>
      </c>
      <c r="D174" s="47"/>
      <c r="E174" s="45" t="s">
        <v>371</v>
      </c>
      <c r="F174" s="45" t="s">
        <v>372</v>
      </c>
      <c r="G174" s="45" t="s">
        <v>376</v>
      </c>
      <c r="H174" s="45" t="s">
        <v>2573</v>
      </c>
      <c r="I174" s="45" t="s">
        <v>1221</v>
      </c>
      <c r="J174" s="45">
        <v>213985138</v>
      </c>
      <c r="K174" s="45" t="s">
        <v>241</v>
      </c>
      <c r="L174" s="48">
        <v>18.45</v>
      </c>
      <c r="M174" s="49">
        <v>20241202735</v>
      </c>
      <c r="N174" s="50" t="s">
        <v>28</v>
      </c>
      <c r="O174" s="50"/>
      <c r="P174" s="50"/>
      <c r="Q174" s="51"/>
      <c r="R174" s="50"/>
      <c r="S174" s="50"/>
      <c r="T174" s="51"/>
      <c r="U174" s="50"/>
    </row>
    <row r="175" spans="1:21" ht="25.5" x14ac:dyDescent="0.25">
      <c r="A175" s="45" t="s">
        <v>324</v>
      </c>
      <c r="B175" s="46">
        <v>45758</v>
      </c>
      <c r="C175" s="45" t="s">
        <v>21</v>
      </c>
      <c r="D175" s="47"/>
      <c r="E175" s="45" t="s">
        <v>362</v>
      </c>
      <c r="F175" s="45" t="s">
        <v>394</v>
      </c>
      <c r="G175" s="45" t="s">
        <v>1489</v>
      </c>
      <c r="H175" s="45" t="s">
        <v>1259</v>
      </c>
      <c r="I175" s="45" t="s">
        <v>2574</v>
      </c>
      <c r="J175" s="45">
        <v>530541789</v>
      </c>
      <c r="K175" s="45" t="s">
        <v>1358</v>
      </c>
      <c r="L175" s="48">
        <v>165.42</v>
      </c>
      <c r="M175" s="49">
        <v>20241205757</v>
      </c>
      <c r="N175" s="50" t="s">
        <v>28</v>
      </c>
      <c r="O175" s="50"/>
      <c r="P175" s="50"/>
      <c r="Q175" s="51"/>
      <c r="R175" s="50"/>
      <c r="S175" s="50"/>
      <c r="T175" s="51"/>
      <c r="U175" s="50"/>
    </row>
    <row r="176" spans="1:21" ht="25.5" x14ac:dyDescent="0.25">
      <c r="A176" s="45" t="s">
        <v>324</v>
      </c>
      <c r="B176" s="46">
        <v>45758</v>
      </c>
      <c r="C176" s="45" t="s">
        <v>21</v>
      </c>
      <c r="D176" s="47"/>
      <c r="E176" s="45" t="s">
        <v>362</v>
      </c>
      <c r="F176" s="45" t="s">
        <v>394</v>
      </c>
      <c r="G176" s="45" t="s">
        <v>1489</v>
      </c>
      <c r="H176" s="45" t="s">
        <v>1259</v>
      </c>
      <c r="I176" s="45" t="s">
        <v>2574</v>
      </c>
      <c r="J176" s="45">
        <v>530541789</v>
      </c>
      <c r="K176" s="45" t="s">
        <v>1358</v>
      </c>
      <c r="L176" s="48">
        <v>151.03</v>
      </c>
      <c r="M176" s="49">
        <v>20241205758</v>
      </c>
      <c r="N176" s="50" t="s">
        <v>28</v>
      </c>
      <c r="O176" s="50"/>
      <c r="P176" s="50"/>
      <c r="Q176" s="51"/>
      <c r="R176" s="50"/>
      <c r="S176" s="50"/>
      <c r="T176" s="51"/>
      <c r="U176" s="50"/>
    </row>
    <row r="177" spans="1:21" ht="25.5" x14ac:dyDescent="0.25">
      <c r="A177" s="45" t="s">
        <v>324</v>
      </c>
      <c r="B177" s="46">
        <v>45758</v>
      </c>
      <c r="C177" s="45" t="s">
        <v>21</v>
      </c>
      <c r="D177" s="47"/>
      <c r="E177" s="45" t="s">
        <v>362</v>
      </c>
      <c r="F177" s="45" t="s">
        <v>394</v>
      </c>
      <c r="G177" s="45" t="s">
        <v>1489</v>
      </c>
      <c r="H177" s="45" t="s">
        <v>1259</v>
      </c>
      <c r="I177" s="45" t="s">
        <v>2574</v>
      </c>
      <c r="J177" s="45">
        <v>530541789</v>
      </c>
      <c r="K177" s="45" t="s">
        <v>2372</v>
      </c>
      <c r="L177" s="48">
        <v>257.5</v>
      </c>
      <c r="M177" s="49">
        <v>20241205759</v>
      </c>
      <c r="N177" s="50" t="s">
        <v>28</v>
      </c>
      <c r="O177" s="50"/>
      <c r="P177" s="50"/>
      <c r="Q177" s="51"/>
      <c r="R177" s="50"/>
      <c r="S177" s="50"/>
      <c r="T177" s="51"/>
      <c r="U177" s="50"/>
    </row>
    <row r="178" spans="1:21" ht="25.5" x14ac:dyDescent="0.25">
      <c r="A178" s="45" t="s">
        <v>324</v>
      </c>
      <c r="B178" s="46">
        <v>45758</v>
      </c>
      <c r="C178" s="45" t="s">
        <v>21</v>
      </c>
      <c r="D178" s="47"/>
      <c r="E178" s="45" t="s">
        <v>362</v>
      </c>
      <c r="F178" s="45" t="s">
        <v>394</v>
      </c>
      <c r="G178" s="45" t="s">
        <v>1489</v>
      </c>
      <c r="H178" s="45" t="s">
        <v>1259</v>
      </c>
      <c r="I178" s="45" t="s">
        <v>2574</v>
      </c>
      <c r="J178" s="45">
        <v>530541789</v>
      </c>
      <c r="K178" s="45" t="s">
        <v>2372</v>
      </c>
      <c r="L178" s="48">
        <v>165.42</v>
      </c>
      <c r="M178" s="49">
        <v>20241205760</v>
      </c>
      <c r="N178" s="50" t="s">
        <v>28</v>
      </c>
      <c r="O178" s="50"/>
      <c r="P178" s="50"/>
      <c r="Q178" s="51"/>
      <c r="R178" s="50"/>
      <c r="S178" s="50"/>
      <c r="T178" s="51"/>
      <c r="U178" s="50"/>
    </row>
    <row r="179" spans="1:21" ht="25.5" x14ac:dyDescent="0.25">
      <c r="A179" s="45" t="s">
        <v>324</v>
      </c>
      <c r="B179" s="46">
        <v>45758</v>
      </c>
      <c r="C179" s="45" t="s">
        <v>21</v>
      </c>
      <c r="D179" s="47"/>
      <c r="E179" s="45" t="s">
        <v>362</v>
      </c>
      <c r="F179" s="45" t="s">
        <v>394</v>
      </c>
      <c r="G179" s="45" t="s">
        <v>1489</v>
      </c>
      <c r="H179" s="45" t="s">
        <v>1259</v>
      </c>
      <c r="I179" s="45" t="s">
        <v>2574</v>
      </c>
      <c r="J179" s="45">
        <v>530541789</v>
      </c>
      <c r="K179" s="45" t="s">
        <v>2372</v>
      </c>
      <c r="L179" s="48">
        <v>151.03</v>
      </c>
      <c r="M179" s="49">
        <v>20241205761</v>
      </c>
      <c r="N179" s="50" t="s">
        <v>28</v>
      </c>
      <c r="O179" s="50"/>
      <c r="P179" s="50"/>
      <c r="Q179" s="51"/>
      <c r="R179" s="50"/>
      <c r="S179" s="50"/>
      <c r="T179" s="51"/>
      <c r="U179" s="50"/>
    </row>
    <row r="180" spans="1:21" ht="25.5" x14ac:dyDescent="0.25">
      <c r="A180" s="45" t="s">
        <v>324</v>
      </c>
      <c r="B180" s="46">
        <v>45758</v>
      </c>
      <c r="C180" s="45" t="s">
        <v>21</v>
      </c>
      <c r="D180" s="47"/>
      <c r="E180" s="45" t="s">
        <v>362</v>
      </c>
      <c r="F180" s="45" t="s">
        <v>394</v>
      </c>
      <c r="G180" s="45" t="s">
        <v>1489</v>
      </c>
      <c r="H180" s="45" t="s">
        <v>1259</v>
      </c>
      <c r="I180" s="45" t="s">
        <v>2574</v>
      </c>
      <c r="J180" s="45">
        <v>530541789</v>
      </c>
      <c r="K180" s="45" t="s">
        <v>2575</v>
      </c>
      <c r="L180" s="48">
        <v>257.5</v>
      </c>
      <c r="M180" s="49">
        <v>20241205752</v>
      </c>
      <c r="N180" s="50" t="s">
        <v>28</v>
      </c>
      <c r="O180" s="50"/>
      <c r="P180" s="50"/>
      <c r="Q180" s="51"/>
      <c r="R180" s="50"/>
      <c r="S180" s="50"/>
      <c r="T180" s="51"/>
      <c r="U180" s="50"/>
    </row>
    <row r="181" spans="1:21" x14ac:dyDescent="0.25">
      <c r="A181" s="45" t="s">
        <v>233</v>
      </c>
      <c r="B181" s="46">
        <v>45758</v>
      </c>
      <c r="C181" s="45" t="s">
        <v>21</v>
      </c>
      <c r="D181" s="47"/>
      <c r="E181" s="45" t="s">
        <v>362</v>
      </c>
      <c r="F181" s="45" t="s">
        <v>394</v>
      </c>
      <c r="G181" s="45" t="s">
        <v>832</v>
      </c>
      <c r="H181" s="45" t="s">
        <v>870</v>
      </c>
      <c r="I181" s="45" t="s">
        <v>2576</v>
      </c>
      <c r="J181" s="45">
        <v>534066277</v>
      </c>
      <c r="K181" s="45" t="s">
        <v>790</v>
      </c>
      <c r="L181" s="48">
        <v>193.52</v>
      </c>
      <c r="M181" s="49">
        <v>20241205849</v>
      </c>
      <c r="N181" s="50" t="s">
        <v>28</v>
      </c>
      <c r="O181" s="50"/>
      <c r="P181" s="50"/>
      <c r="Q181" s="51"/>
      <c r="R181" s="50"/>
      <c r="S181" s="50"/>
      <c r="T181" s="51"/>
      <c r="U181" s="50"/>
    </row>
    <row r="182" spans="1:21" x14ac:dyDescent="0.25">
      <c r="A182" s="45" t="s">
        <v>233</v>
      </c>
      <c r="B182" s="46">
        <v>45758</v>
      </c>
      <c r="C182" s="45" t="s">
        <v>21</v>
      </c>
      <c r="D182" s="47"/>
      <c r="E182" s="45" t="s">
        <v>362</v>
      </c>
      <c r="F182" s="45" t="s">
        <v>394</v>
      </c>
      <c r="G182" s="45" t="s">
        <v>832</v>
      </c>
      <c r="H182" s="45" t="s">
        <v>870</v>
      </c>
      <c r="I182" s="45" t="s">
        <v>2576</v>
      </c>
      <c r="J182" s="45">
        <v>534066277</v>
      </c>
      <c r="K182" s="45" t="s">
        <v>1227</v>
      </c>
      <c r="L182" s="48">
        <v>480</v>
      </c>
      <c r="M182" s="49">
        <v>20241205850</v>
      </c>
      <c r="N182" s="50" t="s">
        <v>28</v>
      </c>
      <c r="O182" s="50"/>
      <c r="P182" s="50"/>
      <c r="Q182" s="51"/>
      <c r="R182" s="50"/>
      <c r="S182" s="50"/>
      <c r="T182" s="51"/>
      <c r="U182" s="50"/>
    </row>
    <row r="183" spans="1:21" ht="25.5" x14ac:dyDescent="0.25">
      <c r="A183" s="45" t="s">
        <v>233</v>
      </c>
      <c r="B183" s="46">
        <v>45758</v>
      </c>
      <c r="C183" s="45" t="s">
        <v>21</v>
      </c>
      <c r="D183" s="47"/>
      <c r="E183" s="45" t="s">
        <v>362</v>
      </c>
      <c r="F183" s="45" t="s">
        <v>394</v>
      </c>
      <c r="G183" s="45" t="s">
        <v>2577</v>
      </c>
      <c r="H183" s="45" t="s">
        <v>1266</v>
      </c>
      <c r="I183" s="45" t="s">
        <v>2578</v>
      </c>
      <c r="J183" s="45">
        <v>549453535</v>
      </c>
      <c r="K183" s="45" t="s">
        <v>1907</v>
      </c>
      <c r="L183" s="48">
        <v>285.45</v>
      </c>
      <c r="M183" s="49">
        <v>20241203749</v>
      </c>
      <c r="N183" s="50" t="s">
        <v>28</v>
      </c>
      <c r="O183" s="50"/>
      <c r="P183" s="50"/>
      <c r="Q183" s="51"/>
      <c r="R183" s="50"/>
      <c r="S183" s="50"/>
      <c r="T183" s="51"/>
      <c r="U183" s="50"/>
    </row>
    <row r="184" spans="1:21" x14ac:dyDescent="0.25">
      <c r="A184" s="45" t="s">
        <v>233</v>
      </c>
      <c r="B184" s="46">
        <v>45758</v>
      </c>
      <c r="C184" s="45" t="s">
        <v>21</v>
      </c>
      <c r="D184" s="47"/>
      <c r="E184" s="45" t="s">
        <v>362</v>
      </c>
      <c r="F184" s="45" t="s">
        <v>394</v>
      </c>
      <c r="G184" s="45" t="s">
        <v>832</v>
      </c>
      <c r="H184" s="45" t="s">
        <v>1814</v>
      </c>
      <c r="I184" s="45" t="s">
        <v>2579</v>
      </c>
      <c r="J184" s="45">
        <v>551156968</v>
      </c>
      <c r="K184" s="45" t="s">
        <v>37</v>
      </c>
      <c r="L184" s="48">
        <v>74.3</v>
      </c>
      <c r="M184" s="49">
        <v>20241204685</v>
      </c>
      <c r="N184" s="50" t="s">
        <v>28</v>
      </c>
      <c r="O184" s="50"/>
      <c r="P184" s="50"/>
      <c r="Q184" s="51"/>
      <c r="R184" s="50"/>
      <c r="S184" s="50"/>
      <c r="T184" s="51"/>
      <c r="U184" s="50"/>
    </row>
    <row r="185" spans="1:21" x14ac:dyDescent="0.25">
      <c r="A185" s="45" t="s">
        <v>324</v>
      </c>
      <c r="B185" s="46">
        <v>45758</v>
      </c>
      <c r="C185" s="45" t="s">
        <v>21</v>
      </c>
      <c r="D185" s="47"/>
      <c r="E185" s="45" t="s">
        <v>362</v>
      </c>
      <c r="F185" s="45" t="s">
        <v>394</v>
      </c>
      <c r="G185" s="45" t="s">
        <v>1133</v>
      </c>
      <c r="H185" s="45" t="s">
        <v>1129</v>
      </c>
      <c r="I185" s="45" t="s">
        <v>855</v>
      </c>
      <c r="J185" s="45">
        <v>556633303</v>
      </c>
      <c r="K185" s="45" t="s">
        <v>76</v>
      </c>
      <c r="L185" s="48">
        <v>6.67</v>
      </c>
      <c r="M185" s="49">
        <v>20241206898</v>
      </c>
      <c r="N185" s="50" t="s">
        <v>28</v>
      </c>
      <c r="O185" s="50"/>
      <c r="P185" s="50"/>
      <c r="Q185" s="51"/>
      <c r="R185" s="50"/>
      <c r="S185" s="50"/>
      <c r="T185" s="51"/>
      <c r="U185" s="50"/>
    </row>
    <row r="186" spans="1:21" x14ac:dyDescent="0.25">
      <c r="A186" s="45" t="s">
        <v>324</v>
      </c>
      <c r="B186" s="46">
        <v>45758</v>
      </c>
      <c r="C186" s="45" t="s">
        <v>21</v>
      </c>
      <c r="D186" s="47"/>
      <c r="E186" s="45" t="s">
        <v>362</v>
      </c>
      <c r="F186" s="45" t="s">
        <v>394</v>
      </c>
      <c r="G186" s="45" t="s">
        <v>1133</v>
      </c>
      <c r="H186" s="45" t="s">
        <v>1129</v>
      </c>
      <c r="I186" s="45" t="s">
        <v>855</v>
      </c>
      <c r="J186" s="45">
        <v>556633303</v>
      </c>
      <c r="K186" s="45" t="s">
        <v>76</v>
      </c>
      <c r="L186" s="48">
        <v>11.67</v>
      </c>
      <c r="M186" s="49">
        <v>20241206899</v>
      </c>
      <c r="N186" s="50" t="s">
        <v>28</v>
      </c>
      <c r="O186" s="50"/>
      <c r="P186" s="50"/>
      <c r="Q186" s="51"/>
      <c r="R186" s="50"/>
      <c r="S186" s="50"/>
      <c r="T186" s="51"/>
      <c r="U186" s="50"/>
    </row>
    <row r="187" spans="1:21" x14ac:dyDescent="0.25">
      <c r="A187" s="45" t="s">
        <v>324</v>
      </c>
      <c r="B187" s="46">
        <v>45758</v>
      </c>
      <c r="C187" s="45" t="s">
        <v>21</v>
      </c>
      <c r="D187" s="47"/>
      <c r="E187" s="45" t="s">
        <v>362</v>
      </c>
      <c r="F187" s="45" t="s">
        <v>394</v>
      </c>
      <c r="G187" s="45" t="s">
        <v>1133</v>
      </c>
      <c r="H187" s="45" t="s">
        <v>1129</v>
      </c>
      <c r="I187" s="45" t="s">
        <v>855</v>
      </c>
      <c r="J187" s="45">
        <v>556633303</v>
      </c>
      <c r="K187" s="45" t="s">
        <v>76</v>
      </c>
      <c r="L187" s="48">
        <v>11.67</v>
      </c>
      <c r="M187" s="49">
        <v>20241206900</v>
      </c>
      <c r="N187" s="50" t="s">
        <v>28</v>
      </c>
      <c r="O187" s="50"/>
      <c r="P187" s="50"/>
      <c r="Q187" s="51"/>
      <c r="R187" s="50"/>
      <c r="S187" s="50"/>
      <c r="T187" s="51"/>
      <c r="U187" s="50"/>
    </row>
    <row r="188" spans="1:21" x14ac:dyDescent="0.25">
      <c r="A188" s="45" t="s">
        <v>324</v>
      </c>
      <c r="B188" s="46">
        <v>45758</v>
      </c>
      <c r="C188" s="45" t="s">
        <v>21</v>
      </c>
      <c r="D188" s="47"/>
      <c r="E188" s="45" t="s">
        <v>362</v>
      </c>
      <c r="F188" s="45" t="s">
        <v>394</v>
      </c>
      <c r="G188" s="45" t="s">
        <v>1133</v>
      </c>
      <c r="H188" s="45" t="s">
        <v>1129</v>
      </c>
      <c r="I188" s="45" t="s">
        <v>855</v>
      </c>
      <c r="J188" s="45">
        <v>556633303</v>
      </c>
      <c r="K188" s="45" t="s">
        <v>76</v>
      </c>
      <c r="L188" s="48">
        <v>11.67</v>
      </c>
      <c r="M188" s="49">
        <v>20241206901</v>
      </c>
      <c r="N188" s="50" t="s">
        <v>28</v>
      </c>
      <c r="O188" s="50"/>
      <c r="P188" s="50"/>
      <c r="Q188" s="51"/>
      <c r="R188" s="50"/>
      <c r="S188" s="50"/>
      <c r="T188" s="51"/>
      <c r="U188" s="50"/>
    </row>
    <row r="189" spans="1:21" x14ac:dyDescent="0.25">
      <c r="A189" s="45" t="s">
        <v>324</v>
      </c>
      <c r="B189" s="46">
        <v>45765</v>
      </c>
      <c r="C189" s="45" t="s">
        <v>244</v>
      </c>
      <c r="D189" s="47" t="s">
        <v>34</v>
      </c>
      <c r="E189" s="45" t="s">
        <v>362</v>
      </c>
      <c r="F189" s="45" t="s">
        <v>394</v>
      </c>
      <c r="G189" s="45" t="s">
        <v>1133</v>
      </c>
      <c r="H189" s="45" t="s">
        <v>1129</v>
      </c>
      <c r="I189" s="45" t="s">
        <v>855</v>
      </c>
      <c r="J189" s="45">
        <v>556633303</v>
      </c>
      <c r="K189" s="45" t="s">
        <v>2050</v>
      </c>
      <c r="L189" s="48">
        <v>24.6</v>
      </c>
      <c r="M189" s="49">
        <v>20241206902</v>
      </c>
      <c r="N189" s="50" t="s">
        <v>28</v>
      </c>
      <c r="O189" s="50"/>
      <c r="P189" s="50"/>
      <c r="Q189" s="51"/>
      <c r="R189" s="50"/>
      <c r="S189" s="50"/>
      <c r="T189" s="51"/>
      <c r="U189" s="50"/>
    </row>
    <row r="190" spans="1:21" x14ac:dyDescent="0.25">
      <c r="A190" s="45" t="s">
        <v>29</v>
      </c>
      <c r="B190" s="46">
        <v>45763</v>
      </c>
      <c r="C190" s="45" t="s">
        <v>168</v>
      </c>
      <c r="D190" s="47"/>
      <c r="E190" s="45" t="s">
        <v>411</v>
      </c>
      <c r="F190" s="45" t="s">
        <v>412</v>
      </c>
      <c r="G190" s="45" t="s">
        <v>763</v>
      </c>
      <c r="H190" s="45" t="s">
        <v>2453</v>
      </c>
      <c r="I190" s="45" t="s">
        <v>2454</v>
      </c>
      <c r="J190" s="45">
        <v>443351983</v>
      </c>
      <c r="K190" s="45" t="s">
        <v>1358</v>
      </c>
      <c r="L190" s="48">
        <v>1380</v>
      </c>
      <c r="M190" s="49">
        <v>20241205236</v>
      </c>
      <c r="N190" s="50" t="s">
        <v>28</v>
      </c>
      <c r="O190" s="50"/>
      <c r="P190" s="50"/>
      <c r="Q190" s="51"/>
      <c r="R190" s="50"/>
      <c r="S190" s="50"/>
      <c r="T190" s="51"/>
      <c r="U190" s="50"/>
    </row>
    <row r="191" spans="1:21" x14ac:dyDescent="0.25">
      <c r="A191" s="45" t="s">
        <v>20</v>
      </c>
      <c r="B191" s="46">
        <v>45763</v>
      </c>
      <c r="C191" s="45" t="s">
        <v>168</v>
      </c>
      <c r="D191" s="47"/>
      <c r="E191" s="45" t="s">
        <v>696</v>
      </c>
      <c r="F191" s="45" t="s">
        <v>697</v>
      </c>
      <c r="G191" s="45" t="s">
        <v>298</v>
      </c>
      <c r="H191" s="45" t="s">
        <v>84</v>
      </c>
      <c r="I191" s="45" t="s">
        <v>2580</v>
      </c>
      <c r="J191" s="45">
        <v>73192</v>
      </c>
      <c r="K191" s="45" t="s">
        <v>1922</v>
      </c>
      <c r="L191" s="48">
        <v>206.35</v>
      </c>
      <c r="M191" s="49">
        <v>20241203590</v>
      </c>
      <c r="N191" s="50" t="s">
        <v>28</v>
      </c>
      <c r="O191" s="50"/>
      <c r="P191" s="50"/>
      <c r="Q191" s="51"/>
      <c r="R191" s="50"/>
      <c r="S191" s="50"/>
      <c r="T191" s="51"/>
      <c r="U191" s="50"/>
    </row>
    <row r="192" spans="1:21" x14ac:dyDescent="0.25">
      <c r="A192" s="45" t="s">
        <v>20</v>
      </c>
      <c r="B192" s="46">
        <v>45763</v>
      </c>
      <c r="C192" s="45" t="s">
        <v>168</v>
      </c>
      <c r="D192" s="47"/>
      <c r="E192" s="45" t="s">
        <v>556</v>
      </c>
      <c r="F192" s="45" t="s">
        <v>557</v>
      </c>
      <c r="G192" s="45" t="s">
        <v>298</v>
      </c>
      <c r="H192" s="45" t="s">
        <v>2581</v>
      </c>
      <c r="I192" s="45" t="s">
        <v>2582</v>
      </c>
      <c r="J192" s="45">
        <v>56159</v>
      </c>
      <c r="K192" s="45" t="s">
        <v>759</v>
      </c>
      <c r="L192" s="48">
        <v>473.56</v>
      </c>
      <c r="M192" s="49">
        <v>202412021334</v>
      </c>
      <c r="N192" s="50" t="s">
        <v>28</v>
      </c>
      <c r="O192" s="50"/>
      <c r="P192" s="50"/>
      <c r="Q192" s="51"/>
      <c r="R192" s="50"/>
      <c r="S192" s="50"/>
      <c r="T192" s="51"/>
      <c r="U192" s="50"/>
    </row>
    <row r="193" spans="1:21" x14ac:dyDescent="0.25">
      <c r="A193" s="45" t="s">
        <v>20</v>
      </c>
      <c r="B193" s="46">
        <v>45763</v>
      </c>
      <c r="C193" s="45" t="s">
        <v>168</v>
      </c>
      <c r="D193" s="47"/>
      <c r="E193" s="45" t="s">
        <v>556</v>
      </c>
      <c r="F193" s="45" t="s">
        <v>557</v>
      </c>
      <c r="G193" s="45" t="s">
        <v>298</v>
      </c>
      <c r="H193" s="45" t="s">
        <v>2581</v>
      </c>
      <c r="I193" s="45" t="s">
        <v>2582</v>
      </c>
      <c r="J193" s="45">
        <v>56159</v>
      </c>
      <c r="K193" s="45" t="s">
        <v>56</v>
      </c>
      <c r="L193" s="48">
        <v>10.29</v>
      </c>
      <c r="M193" s="49">
        <v>202412021339</v>
      </c>
      <c r="N193" s="50" t="s">
        <v>28</v>
      </c>
      <c r="O193" s="50"/>
      <c r="P193" s="50"/>
      <c r="Q193" s="51"/>
      <c r="R193" s="50"/>
      <c r="S193" s="50"/>
      <c r="T193" s="51"/>
      <c r="U193" s="50"/>
    </row>
    <row r="194" spans="1:21" x14ac:dyDescent="0.25">
      <c r="A194" s="45" t="s">
        <v>20</v>
      </c>
      <c r="B194" s="46">
        <v>45763</v>
      </c>
      <c r="C194" s="45" t="s">
        <v>168</v>
      </c>
      <c r="D194" s="47"/>
      <c r="E194" s="45" t="s">
        <v>556</v>
      </c>
      <c r="F194" s="45" t="s">
        <v>557</v>
      </c>
      <c r="G194" s="45" t="s">
        <v>30</v>
      </c>
      <c r="H194" s="45" t="s">
        <v>2583</v>
      </c>
      <c r="I194" s="45" t="s">
        <v>2584</v>
      </c>
      <c r="J194" s="45">
        <v>575028552</v>
      </c>
      <c r="K194" s="45" t="s">
        <v>93</v>
      </c>
      <c r="L194" s="48">
        <v>18.79</v>
      </c>
      <c r="M194" s="49">
        <v>202412021398</v>
      </c>
      <c r="N194" s="50" t="s">
        <v>28</v>
      </c>
      <c r="O194" s="50"/>
      <c r="P194" s="50"/>
      <c r="Q194" s="51"/>
      <c r="R194" s="50"/>
      <c r="S194" s="50"/>
      <c r="T194" s="51"/>
      <c r="U194" s="50"/>
    </row>
    <row r="195" spans="1:21" x14ac:dyDescent="0.25">
      <c r="A195" s="45" t="s">
        <v>20</v>
      </c>
      <c r="B195" s="46">
        <v>45763</v>
      </c>
      <c r="C195" s="45" t="s">
        <v>168</v>
      </c>
      <c r="D195" s="47"/>
      <c r="E195" s="45" t="s">
        <v>556</v>
      </c>
      <c r="F195" s="45" t="s">
        <v>557</v>
      </c>
      <c r="G195" s="45" t="s">
        <v>30</v>
      </c>
      <c r="H195" s="45" t="s">
        <v>2583</v>
      </c>
      <c r="I195" s="45" t="s">
        <v>2584</v>
      </c>
      <c r="J195" s="45">
        <v>575028552</v>
      </c>
      <c r="K195" s="45" t="s">
        <v>790</v>
      </c>
      <c r="L195" s="48">
        <v>28.8</v>
      </c>
      <c r="M195" s="49">
        <v>202412021399</v>
      </c>
      <c r="N195" s="50" t="s">
        <v>28</v>
      </c>
      <c r="O195" s="50"/>
      <c r="P195" s="50"/>
      <c r="Q195" s="51"/>
      <c r="R195" s="50"/>
      <c r="S195" s="50"/>
      <c r="T195" s="51"/>
      <c r="U195" s="50"/>
    </row>
    <row r="196" spans="1:21" x14ac:dyDescent="0.25">
      <c r="A196" s="45" t="s">
        <v>20</v>
      </c>
      <c r="B196" s="46">
        <v>45763</v>
      </c>
      <c r="C196" s="45" t="s">
        <v>168</v>
      </c>
      <c r="D196" s="47"/>
      <c r="E196" s="45" t="s">
        <v>556</v>
      </c>
      <c r="F196" s="45" t="s">
        <v>557</v>
      </c>
      <c r="G196" s="45" t="s">
        <v>30</v>
      </c>
      <c r="H196" s="45" t="s">
        <v>2583</v>
      </c>
      <c r="I196" s="45" t="s">
        <v>2584</v>
      </c>
      <c r="J196" s="45">
        <v>575028552</v>
      </c>
      <c r="K196" s="45" t="s">
        <v>2585</v>
      </c>
      <c r="L196" s="48">
        <v>166.7</v>
      </c>
      <c r="M196" s="49">
        <v>202412021397</v>
      </c>
      <c r="N196" s="50" t="s">
        <v>28</v>
      </c>
      <c r="O196" s="50"/>
      <c r="P196" s="50"/>
      <c r="Q196" s="51"/>
      <c r="R196" s="50"/>
      <c r="S196" s="50"/>
      <c r="T196" s="51"/>
      <c r="U196" s="50"/>
    </row>
    <row r="197" spans="1:21" x14ac:dyDescent="0.25">
      <c r="A197" s="45" t="s">
        <v>20</v>
      </c>
      <c r="B197" s="46">
        <v>45763</v>
      </c>
      <c r="C197" s="45" t="s">
        <v>168</v>
      </c>
      <c r="D197" s="47"/>
      <c r="E197" s="45" t="s">
        <v>556</v>
      </c>
      <c r="F197" s="45" t="s">
        <v>557</v>
      </c>
      <c r="G197" s="45" t="s">
        <v>30</v>
      </c>
      <c r="H197" s="45" t="s">
        <v>2586</v>
      </c>
      <c r="I197" s="45" t="s">
        <v>2587</v>
      </c>
      <c r="J197" s="45">
        <v>575687582</v>
      </c>
      <c r="K197" s="45" t="s">
        <v>364</v>
      </c>
      <c r="L197" s="48">
        <v>132</v>
      </c>
      <c r="M197" s="49">
        <v>202412021232</v>
      </c>
      <c r="N197" s="50" t="s">
        <v>28</v>
      </c>
      <c r="O197" s="50"/>
      <c r="P197" s="50"/>
      <c r="Q197" s="51"/>
      <c r="R197" s="50"/>
      <c r="S197" s="50"/>
      <c r="T197" s="51"/>
      <c r="U197" s="50"/>
    </row>
  </sheetData>
  <autoFilter ref="A1:AG41677" xr:uid="{32855E55-B198-479F-980E-F9C4C53CD890}"/>
  <sortState xmlns:xlrd2="http://schemas.microsoft.com/office/spreadsheetml/2017/richdata2" ref="A2:U197">
    <sortCondition ref="J2:J197"/>
  </sortState>
  <conditionalFormatting sqref="N1:N1048576">
    <cfRule type="cellIs" priority="16" stopIfTrue="1" operator="equal">
      <formula>""</formula>
    </cfRule>
    <cfRule type="cellIs" priority="17" stopIfTrue="1" operator="equal">
      <formula>"Correct = C"</formula>
    </cfRule>
    <cfRule type="cellIs" dxfId="88" priority="18" operator="notEqual">
      <formula>"C"</formula>
    </cfRule>
  </conditionalFormatting>
  <conditionalFormatting sqref="O1:O117 O122:O123 O125 O127:O1048576">
    <cfRule type="cellIs" priority="13" stopIfTrue="1" operator="equal">
      <formula>""</formula>
    </cfRule>
    <cfRule type="cellIs" priority="14" stopIfTrue="1" operator="equal">
      <formula>"Major = M"</formula>
    </cfRule>
    <cfRule type="cellIs" dxfId="87" priority="15" operator="notEqual">
      <formula>"M"</formula>
    </cfRule>
  </conditionalFormatting>
  <conditionalFormatting sqref="P1:P1048576">
    <cfRule type="cellIs" priority="10" stopIfTrue="1" operator="equal">
      <formula>""</formula>
    </cfRule>
    <cfRule type="cellIs" priority="11" stopIfTrue="1" operator="equal">
      <formula>"Minor = E"</formula>
    </cfRule>
    <cfRule type="cellIs" dxfId="86" priority="12" operator="notEqual">
      <formula>"E"</formula>
    </cfRule>
  </conditionalFormatting>
  <conditionalFormatting sqref="R1:R1048576">
    <cfRule type="cellIs" priority="7" stopIfTrue="1" operator="equal">
      <formula>""</formula>
    </cfRule>
    <cfRule type="cellIs" priority="8" stopIfTrue="1" operator="equal">
      <formula>"Inserted Major = M"</formula>
    </cfRule>
    <cfRule type="cellIs" dxfId="85" priority="9" operator="notEqual">
      <formula>"M"</formula>
    </cfRule>
  </conditionalFormatting>
  <conditionalFormatting sqref="S1:S1048576">
    <cfRule type="cellIs" priority="4" stopIfTrue="1" operator="equal">
      <formula>""</formula>
    </cfRule>
    <cfRule type="cellIs" priority="5" stopIfTrue="1" operator="equal">
      <formula>"Inserted Minor = E"</formula>
    </cfRule>
    <cfRule type="cellIs" dxfId="84" priority="6" operator="notEqual">
      <formula>"E"</formula>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D7916E-D238-4526-B213-DD46790CDAAB}">
  <sheetPr codeName="Sheet24"/>
  <dimension ref="B2:AA50"/>
  <sheetViews>
    <sheetView workbookViewId="0"/>
  </sheetViews>
  <sheetFormatPr defaultRowHeight="15" x14ac:dyDescent="0.25"/>
  <cols>
    <col min="1" max="1" width="2.7109375" customWidth="1"/>
    <col min="2" max="2" width="28.140625" style="1" bestFit="1" customWidth="1"/>
    <col min="3" max="3" width="19.140625" style="1" hidden="1" customWidth="1"/>
    <col min="4" max="4" width="21.7109375" style="1" hidden="1" customWidth="1"/>
    <col min="5" max="5" width="11" style="1" hidden="1" customWidth="1"/>
    <col min="6" max="6" width="9.5703125" style="1" hidden="1" customWidth="1"/>
    <col min="7" max="7" width="16.140625" style="1" hidden="1" customWidth="1"/>
    <col min="8" max="8" width="17.140625" style="1" customWidth="1"/>
    <col min="9" max="9" width="33.85546875" style="1" hidden="1" customWidth="1"/>
    <col min="10" max="10" width="16.140625" style="1" customWidth="1"/>
    <col min="11" max="11" width="20.85546875" style="1" hidden="1" customWidth="1"/>
    <col min="12" max="12" width="19.85546875" style="1" hidden="1" customWidth="1"/>
    <col min="13" max="13" width="9.140625" style="1"/>
    <col min="14" max="16" width="0" style="1" hidden="1" customWidth="1"/>
    <col min="17" max="17" width="9.140625" style="1"/>
    <col min="18" max="19" width="9.140625" style="27"/>
    <col min="20" max="20" width="9.140625" style="1"/>
    <col min="21" max="22" width="9.140625" style="2"/>
    <col min="23" max="23" width="9.140625" style="1"/>
    <col min="24" max="24" width="18.85546875" style="1" bestFit="1" customWidth="1"/>
    <col min="25" max="27" width="9.140625" style="1"/>
  </cols>
  <sheetData>
    <row r="2" spans="2:24" s="1" customFormat="1" ht="52.5" x14ac:dyDescent="0.25">
      <c r="B2" s="22" t="s">
        <v>437</v>
      </c>
      <c r="C2" s="22" t="s">
        <v>438</v>
      </c>
      <c r="D2" s="22" t="s">
        <v>439</v>
      </c>
      <c r="E2" s="23" t="s">
        <v>440</v>
      </c>
      <c r="F2" s="23" t="s">
        <v>441</v>
      </c>
      <c r="G2" s="23" t="s">
        <v>442</v>
      </c>
      <c r="H2" s="23" t="s">
        <v>443</v>
      </c>
      <c r="I2" s="23" t="s">
        <v>444</v>
      </c>
      <c r="J2" s="23" t="s">
        <v>445</v>
      </c>
      <c r="K2" s="23" t="s">
        <v>446</v>
      </c>
      <c r="L2" s="23" t="s">
        <v>447</v>
      </c>
      <c r="M2" s="24" t="s">
        <v>448</v>
      </c>
      <c r="N2" s="24"/>
      <c r="O2" s="24"/>
      <c r="P2" s="24" t="s">
        <v>449</v>
      </c>
      <c r="Q2" s="24" t="s">
        <v>450</v>
      </c>
      <c r="R2" s="25" t="s">
        <v>451</v>
      </c>
      <c r="S2" s="25" t="s">
        <v>452</v>
      </c>
      <c r="T2" s="24" t="s">
        <v>453</v>
      </c>
      <c r="U2" s="26" t="s">
        <v>454</v>
      </c>
      <c r="V2" s="2"/>
    </row>
    <row r="3" spans="2:24" s="1" customFormat="1" ht="15" customHeight="1" x14ac:dyDescent="0.25">
      <c r="B3" s="1" t="s">
        <v>455</v>
      </c>
      <c r="C3" s="1" t="s">
        <v>456</v>
      </c>
      <c r="D3" s="1" t="s">
        <v>297</v>
      </c>
      <c r="E3" t="s">
        <v>457</v>
      </c>
      <c r="F3" t="s">
        <v>458</v>
      </c>
      <c r="G3" t="s">
        <v>459</v>
      </c>
      <c r="H3" t="s">
        <v>460</v>
      </c>
      <c r="I3" t="s">
        <v>461</v>
      </c>
      <c r="J3" t="s">
        <v>462</v>
      </c>
      <c r="K3"/>
      <c r="L3" t="s">
        <v>463</v>
      </c>
      <c r="M3">
        <v>0</v>
      </c>
      <c r="N3" t="s">
        <v>464</v>
      </c>
      <c r="O3"/>
      <c r="P3"/>
      <c r="Q3" s="7"/>
      <c r="R3" s="27" t="str">
        <f t="shared" ref="R3:R48" si="0">IF(Q3-SUM(S3:T3)=0,"",Q3-SUM(S3:T3))</f>
        <v/>
      </c>
      <c r="S3" s="27" t="str">
        <f>IF(SUM(COUNTIFS('12_02_12_08'!E:E,'12_02_12_08 Acc Rate'!C3,'12_02_12_08'!O:O,"*M*"),COUNTIFS('12_02_12_08'!E:E,'12_02_12_08 Acc Rate'!C3,'12_02_12_08'!R:R,"*M*"))=0,"",SUM(COUNTIFS('12_02_12_08'!E:E,'12_02_12_08 Acc Rate'!C3,'12_02_12_08'!O:O,"*M*"),COUNTIFS('12_02_12_08'!E:E,'12_02_12_08 Acc Rate'!C3,'12_02_12_08'!R:R,"*M*")))</f>
        <v/>
      </c>
      <c r="T3" s="1" t="str">
        <f>IF(SUM(COUNTIFS('12_02_12_08'!E:E,'12_02_12_08 Acc Rate'!C3,'12_02_12_08'!P:P,"*E*"),COUNTIFS('12_02_12_08'!E:E,'12_02_12_08 Acc Rate'!C3,'12_02_12_08'!S:S,"*E*"))=0,"",SUM(COUNTIFS('12_02_12_08'!E:E,'12_02_12_08 Acc Rate'!C3,'12_02_12_08'!P:P,"*E*"),COUNTIFS('12_02_12_08'!E:E,'12_02_12_08 Acc Rate'!C3,'12_02_12_08'!S:S,"*E*")))</f>
        <v/>
      </c>
      <c r="U3" s="8" t="str">
        <f>IF(ISERROR(SUM(_xlfn.NUMBERVALUE(S3)*8+_xlfn.NUMBERVALUE(T3)*2)/Q3),"",SUM(_xlfn.NUMBERVALUE(S3)*8+_xlfn.NUMBERVALUE(T3)*2)/Q3)</f>
        <v/>
      </c>
      <c r="V3" s="2"/>
      <c r="W3" s="83" t="s">
        <v>465</v>
      </c>
      <c r="X3" s="83"/>
    </row>
    <row r="4" spans="2:24" s="1" customFormat="1" ht="15" customHeight="1" x14ac:dyDescent="0.25">
      <c r="B4" s="1" t="s">
        <v>506</v>
      </c>
      <c r="C4" s="1" t="s">
        <v>208</v>
      </c>
      <c r="D4" s="1" t="s">
        <v>209</v>
      </c>
      <c r="E4" t="s">
        <v>507</v>
      </c>
      <c r="F4" t="s">
        <v>352</v>
      </c>
      <c r="G4" t="s">
        <v>508</v>
      </c>
      <c r="H4" t="s">
        <v>460</v>
      </c>
      <c r="I4" t="s">
        <v>509</v>
      </c>
      <c r="J4" t="s">
        <v>470</v>
      </c>
      <c r="K4"/>
      <c r="L4" t="s">
        <v>510</v>
      </c>
      <c r="M4">
        <v>15</v>
      </c>
      <c r="N4" t="s">
        <v>511</v>
      </c>
      <c r="O4">
        <v>32</v>
      </c>
      <c r="P4">
        <v>40</v>
      </c>
      <c r="Q4" s="7"/>
      <c r="R4" s="27">
        <f t="shared" si="0"/>
        <v>-1</v>
      </c>
      <c r="S4" s="27" t="str">
        <f>IF(SUM(COUNTIFS('12_02_12_08'!E:E,'12_02_12_08 Acc Rate'!C4,'12_02_12_08'!O:O,"*M*"),COUNTIFS('12_02_12_08'!E:E,'12_02_12_08 Acc Rate'!C4,'12_02_12_08'!R:R,"*M*"))=0,"",SUM(COUNTIFS('12_02_12_08'!E:E,'12_02_12_08 Acc Rate'!C4,'12_02_12_08'!O:O,"*M*"),COUNTIFS('12_02_12_08'!E:E,'12_02_12_08 Acc Rate'!C4,'12_02_12_08'!R:R,"*M*")))</f>
        <v/>
      </c>
      <c r="T4" s="1">
        <f>IF(SUM(COUNTIFS('12_02_12_08'!E:E,'12_02_12_08 Acc Rate'!C4,'12_02_12_08'!P:P,"*E*"),COUNTIFS('12_02_12_08'!E:E,'12_02_12_08 Acc Rate'!C4,'12_02_12_08'!S:S,"*E*"))=0,"",SUM(COUNTIFS('12_02_12_08'!E:E,'12_02_12_08 Acc Rate'!C4,'12_02_12_08'!P:P,"*E*"),COUNTIFS('12_02_12_08'!E:E,'12_02_12_08 Acc Rate'!C4,'12_02_12_08'!S:S,"*E*")))</f>
        <v>1</v>
      </c>
      <c r="U4" s="8" t="str">
        <f t="shared" ref="U4:U47" si="1">IF(ISERROR(SUM(_xlfn.NUMBERVALUE(S4)*8+_xlfn.NUMBERVALUE(T4)*2)/Q4),"",SUM(_xlfn.NUMBERVALUE(S4)*8+_xlfn.NUMBERVALUE(T4)*2)/Q4)</f>
        <v/>
      </c>
      <c r="V4" s="2"/>
      <c r="W4" s="40" t="s">
        <v>473</v>
      </c>
      <c r="X4" s="41" t="s">
        <v>474</v>
      </c>
    </row>
    <row r="5" spans="2:24" s="1" customFormat="1" ht="15" customHeight="1" x14ac:dyDescent="0.25">
      <c r="B5" s="1" t="s">
        <v>525</v>
      </c>
      <c r="C5" s="1" t="s">
        <v>277</v>
      </c>
      <c r="D5" s="1" t="s">
        <v>278</v>
      </c>
      <c r="E5" t="s">
        <v>526</v>
      </c>
      <c r="F5" t="s">
        <v>527</v>
      </c>
      <c r="G5" t="s">
        <v>528</v>
      </c>
      <c r="H5" t="s">
        <v>460</v>
      </c>
      <c r="I5" t="s">
        <v>529</v>
      </c>
      <c r="J5" t="s">
        <v>2033</v>
      </c>
      <c r="K5" t="s">
        <v>509</v>
      </c>
      <c r="L5"/>
      <c r="M5">
        <v>15</v>
      </c>
      <c r="N5" t="s">
        <v>530</v>
      </c>
      <c r="O5">
        <v>219</v>
      </c>
      <c r="P5">
        <v>25</v>
      </c>
      <c r="Q5" s="7"/>
      <c r="R5" s="27">
        <f t="shared" si="0"/>
        <v>-8</v>
      </c>
      <c r="S5" s="27">
        <f>IF(SUM(COUNTIFS('12_02_12_08'!E:E,'12_02_12_08 Acc Rate'!C5,'12_02_12_08'!O:O,"*M*"),COUNTIFS('12_02_12_08'!E:E,'12_02_12_08 Acc Rate'!C5,'12_02_12_08'!R:R,"*M*"))=0,"",SUM(COUNTIFS('12_02_12_08'!E:E,'12_02_12_08 Acc Rate'!C5,'12_02_12_08'!O:O,"*M*"),COUNTIFS('12_02_12_08'!E:E,'12_02_12_08 Acc Rate'!C5,'12_02_12_08'!R:R,"*M*")))</f>
        <v>5</v>
      </c>
      <c r="T5" s="1">
        <f>IF(SUM(COUNTIFS('12_02_12_08'!E:E,'12_02_12_08 Acc Rate'!C5,'12_02_12_08'!P:P,"*E*"),COUNTIFS('12_02_12_08'!E:E,'12_02_12_08 Acc Rate'!C5,'12_02_12_08'!S:S,"*E*"))=0,"",SUM(COUNTIFS('12_02_12_08'!E:E,'12_02_12_08 Acc Rate'!C5,'12_02_12_08'!P:P,"*E*"),COUNTIFS('12_02_12_08'!E:E,'12_02_12_08 Acc Rate'!C5,'12_02_12_08'!S:S,"*E*")))</f>
        <v>3</v>
      </c>
      <c r="U5" s="8" t="str">
        <f t="shared" si="1"/>
        <v/>
      </c>
      <c r="V5" s="2"/>
      <c r="W5" s="40" t="s">
        <v>482</v>
      </c>
      <c r="X5" s="41" t="s">
        <v>483</v>
      </c>
    </row>
    <row r="6" spans="2:24" s="1" customFormat="1" ht="15" customHeight="1" x14ac:dyDescent="0.25">
      <c r="B6" s="1" t="s">
        <v>475</v>
      </c>
      <c r="C6" s="1" t="s">
        <v>362</v>
      </c>
      <c r="D6" s="1" t="s">
        <v>394</v>
      </c>
      <c r="E6" t="s">
        <v>476</v>
      </c>
      <c r="F6" t="s">
        <v>175</v>
      </c>
      <c r="G6" t="s">
        <v>477</v>
      </c>
      <c r="H6" t="s">
        <v>460</v>
      </c>
      <c r="I6" t="s">
        <v>478</v>
      </c>
      <c r="J6" t="s">
        <v>2033</v>
      </c>
      <c r="K6" t="s">
        <v>509</v>
      </c>
      <c r="L6" t="s">
        <v>480</v>
      </c>
      <c r="M6">
        <v>15</v>
      </c>
      <c r="N6" t="s">
        <v>481</v>
      </c>
      <c r="O6">
        <v>67</v>
      </c>
      <c r="P6">
        <v>20</v>
      </c>
      <c r="Q6" s="7"/>
      <c r="R6" s="27" t="str">
        <f t="shared" si="0"/>
        <v/>
      </c>
      <c r="S6" s="27" t="str">
        <f>IF(SUM(COUNTIFS('12_02_12_08'!E:E,'12_02_12_08 Acc Rate'!C6,'12_02_12_08'!O:O,"*M*"),COUNTIFS('12_02_12_08'!E:E,'12_02_12_08 Acc Rate'!C6,'12_02_12_08'!R:R,"*M*"))=0,"",SUM(COUNTIFS('12_02_12_08'!E:E,'12_02_12_08 Acc Rate'!C6,'12_02_12_08'!O:O,"*M*"),COUNTIFS('12_02_12_08'!E:E,'12_02_12_08 Acc Rate'!C6,'12_02_12_08'!R:R,"*M*")))</f>
        <v/>
      </c>
      <c r="T6" s="1" t="str">
        <f>IF(SUM(COUNTIFS('12_02_12_08'!E:E,'12_02_12_08 Acc Rate'!C6,'12_02_12_08'!P:P,"*E*"),COUNTIFS('12_02_12_08'!E:E,'12_02_12_08 Acc Rate'!C6,'12_02_12_08'!S:S,"*E*"))=0,"",SUM(COUNTIFS('12_02_12_08'!E:E,'12_02_12_08 Acc Rate'!C6,'12_02_12_08'!P:P,"*E*"),COUNTIFS('12_02_12_08'!E:E,'12_02_12_08 Acc Rate'!C6,'12_02_12_08'!S:S,"*E*")))</f>
        <v/>
      </c>
      <c r="U6" s="8" t="str">
        <f t="shared" si="1"/>
        <v/>
      </c>
      <c r="V6" s="2"/>
      <c r="W6" s="40" t="s">
        <v>490</v>
      </c>
      <c r="X6" s="41" t="s">
        <v>491</v>
      </c>
    </row>
    <row r="7" spans="2:24" s="1" customFormat="1" ht="15" customHeight="1" x14ac:dyDescent="0.25">
      <c r="B7" s="1" t="s">
        <v>542</v>
      </c>
      <c r="C7" s="1" t="s">
        <v>245</v>
      </c>
      <c r="D7" s="1" t="s">
        <v>246</v>
      </c>
      <c r="E7" t="s">
        <v>543</v>
      </c>
      <c r="F7" t="s">
        <v>21</v>
      </c>
      <c r="G7" t="s">
        <v>544</v>
      </c>
      <c r="H7" t="s">
        <v>460</v>
      </c>
      <c r="I7" t="s">
        <v>545</v>
      </c>
      <c r="J7" t="s">
        <v>2033</v>
      </c>
      <c r="K7" t="s">
        <v>509</v>
      </c>
      <c r="L7" t="s">
        <v>546</v>
      </c>
      <c r="M7">
        <v>15</v>
      </c>
      <c r="N7" t="s">
        <v>547</v>
      </c>
      <c r="O7">
        <v>209</v>
      </c>
      <c r="P7">
        <v>40</v>
      </c>
      <c r="Q7" s="7"/>
      <c r="R7" s="27" t="str">
        <f t="shared" si="0"/>
        <v/>
      </c>
      <c r="S7" s="27" t="str">
        <f>IF(SUM(COUNTIFS('12_02_12_08'!E:E,'12_02_12_08 Acc Rate'!C7,'12_02_12_08'!O:O,"*M*"),COUNTIFS('12_02_12_08'!E:E,'12_02_12_08 Acc Rate'!C7,'12_02_12_08'!R:R,"*M*"))=0,"",SUM(COUNTIFS('12_02_12_08'!E:E,'12_02_12_08 Acc Rate'!C7,'12_02_12_08'!O:O,"*M*"),COUNTIFS('12_02_12_08'!E:E,'12_02_12_08 Acc Rate'!C7,'12_02_12_08'!R:R,"*M*")))</f>
        <v/>
      </c>
      <c r="T7" s="1" t="str">
        <f>IF(SUM(COUNTIFS('12_02_12_08'!E:E,'12_02_12_08 Acc Rate'!C7,'12_02_12_08'!P:P,"*E*"),COUNTIFS('12_02_12_08'!E:E,'12_02_12_08 Acc Rate'!C7,'12_02_12_08'!S:S,"*E*"))=0,"",SUM(COUNTIFS('12_02_12_08'!E:E,'12_02_12_08 Acc Rate'!C7,'12_02_12_08'!P:P,"*E*"),COUNTIFS('12_02_12_08'!E:E,'12_02_12_08 Acc Rate'!C7,'12_02_12_08'!S:S,"*E*")))</f>
        <v/>
      </c>
      <c r="U7" s="8" t="str">
        <f t="shared" si="1"/>
        <v/>
      </c>
      <c r="V7" s="2"/>
      <c r="W7" s="84" t="s">
        <v>499</v>
      </c>
      <c r="X7" s="84"/>
    </row>
    <row r="8" spans="2:24" s="1" customFormat="1" ht="15" customHeight="1" x14ac:dyDescent="0.25">
      <c r="B8" s="1" t="s">
        <v>492</v>
      </c>
      <c r="C8" s="1" t="s">
        <v>107</v>
      </c>
      <c r="D8" s="1" t="s">
        <v>108</v>
      </c>
      <c r="E8" t="s">
        <v>493</v>
      </c>
      <c r="F8" t="s">
        <v>494</v>
      </c>
      <c r="G8" t="s">
        <v>495</v>
      </c>
      <c r="H8" t="s">
        <v>460</v>
      </c>
      <c r="I8" t="s">
        <v>496</v>
      </c>
      <c r="J8" t="s">
        <v>2033</v>
      </c>
      <c r="K8" t="s">
        <v>509</v>
      </c>
      <c r="L8"/>
      <c r="M8">
        <v>15</v>
      </c>
      <c r="N8" t="s">
        <v>497</v>
      </c>
      <c r="O8" t="s">
        <v>498</v>
      </c>
      <c r="P8">
        <v>40</v>
      </c>
      <c r="Q8" s="7"/>
      <c r="R8" s="27" t="str">
        <f t="shared" si="0"/>
        <v/>
      </c>
      <c r="S8" s="27" t="str">
        <f>IF(SUM(COUNTIFS('12_02_12_08'!E:E,'12_02_12_08 Acc Rate'!C8,'12_02_12_08'!O:O,"*M*"),COUNTIFS('12_02_12_08'!E:E,'12_02_12_08 Acc Rate'!C8,'12_02_12_08'!R:R,"*M*"))=0,"",SUM(COUNTIFS('12_02_12_08'!E:E,'12_02_12_08 Acc Rate'!C8,'12_02_12_08'!O:O,"*M*"),COUNTIFS('12_02_12_08'!E:E,'12_02_12_08 Acc Rate'!C8,'12_02_12_08'!R:R,"*M*")))</f>
        <v/>
      </c>
      <c r="T8" s="1" t="str">
        <f>IF(SUM(COUNTIFS('12_02_12_08'!E:E,'12_02_12_08 Acc Rate'!C8,'12_02_12_08'!P:P,"*E*"),COUNTIFS('12_02_12_08'!E:E,'12_02_12_08 Acc Rate'!C8,'12_02_12_08'!S:S,"*E*"))=0,"",SUM(COUNTIFS('12_02_12_08'!E:E,'12_02_12_08 Acc Rate'!C8,'12_02_12_08'!P:P,"*E*"),COUNTIFS('12_02_12_08'!E:E,'12_02_12_08 Acc Rate'!C8,'12_02_12_08'!S:S,"*E*")))</f>
        <v/>
      </c>
      <c r="U8" s="8" t="str">
        <f t="shared" si="1"/>
        <v/>
      </c>
      <c r="V8" s="2"/>
      <c r="W8" s="85" t="s">
        <v>505</v>
      </c>
      <c r="X8" s="85"/>
    </row>
    <row r="9" spans="2:24" s="1" customFormat="1" ht="15" customHeight="1" x14ac:dyDescent="0.25">
      <c r="B9" s="1" t="s">
        <v>512</v>
      </c>
      <c r="C9" s="1" t="s">
        <v>371</v>
      </c>
      <c r="D9" s="1" t="s">
        <v>372</v>
      </c>
      <c r="E9" t="s">
        <v>513</v>
      </c>
      <c r="F9" t="s">
        <v>34</v>
      </c>
      <c r="G9" t="s">
        <v>514</v>
      </c>
      <c r="H9" t="s">
        <v>460</v>
      </c>
      <c r="I9" t="s">
        <v>515</v>
      </c>
      <c r="J9" t="s">
        <v>470</v>
      </c>
      <c r="K9"/>
      <c r="L9" t="s">
        <v>516</v>
      </c>
      <c r="M9">
        <v>15</v>
      </c>
      <c r="N9" t="s">
        <v>517</v>
      </c>
      <c r="O9">
        <v>132</v>
      </c>
      <c r="P9">
        <v>40</v>
      </c>
      <c r="Q9" s="7"/>
      <c r="R9" s="27" t="str">
        <f t="shared" si="0"/>
        <v/>
      </c>
      <c r="S9" s="27" t="str">
        <f>IF(SUM(COUNTIFS('12_02_12_08'!E:E,'12_02_12_08 Acc Rate'!C9,'12_02_12_08'!O:O,"*M*"),COUNTIFS('12_02_12_08'!E:E,'12_02_12_08 Acc Rate'!C9,'12_02_12_08'!R:R,"*M*"))=0,"",SUM(COUNTIFS('12_02_12_08'!E:E,'12_02_12_08 Acc Rate'!C9,'12_02_12_08'!O:O,"*M*"),COUNTIFS('12_02_12_08'!E:E,'12_02_12_08 Acc Rate'!C9,'12_02_12_08'!R:R,"*M*")))</f>
        <v/>
      </c>
      <c r="T9" s="1" t="str">
        <f>IF(SUM(COUNTIFS('12_02_12_08'!E:E,'12_02_12_08 Acc Rate'!C9,'12_02_12_08'!P:P,"*E*"),COUNTIFS('12_02_12_08'!E:E,'12_02_12_08 Acc Rate'!C9,'12_02_12_08'!S:S,"*E*"))=0,"",SUM(COUNTIFS('12_02_12_08'!E:E,'12_02_12_08 Acc Rate'!C9,'12_02_12_08'!P:P,"*E*"),COUNTIFS('12_02_12_08'!E:E,'12_02_12_08 Acc Rate'!C9,'12_02_12_08'!S:S,"*E*")))</f>
        <v/>
      </c>
      <c r="U9" s="8" t="str">
        <f t="shared" si="1"/>
        <v/>
      </c>
      <c r="V9" s="2"/>
    </row>
    <row r="10" spans="2:24" s="1" customFormat="1" ht="15" customHeight="1" x14ac:dyDescent="0.25">
      <c r="B10" s="1" t="s">
        <v>518</v>
      </c>
      <c r="C10" s="1" t="s">
        <v>296</v>
      </c>
      <c r="D10" s="1" t="s">
        <v>297</v>
      </c>
      <c r="E10" t="s">
        <v>519</v>
      </c>
      <c r="F10" t="s">
        <v>520</v>
      </c>
      <c r="G10" t="s">
        <v>521</v>
      </c>
      <c r="H10" t="s">
        <v>460</v>
      </c>
      <c r="I10" t="s">
        <v>522</v>
      </c>
      <c r="J10" t="s">
        <v>523</v>
      </c>
      <c r="K10" t="s">
        <v>515</v>
      </c>
      <c r="L10"/>
      <c r="M10">
        <v>15</v>
      </c>
      <c r="N10" t="s">
        <v>524</v>
      </c>
      <c r="O10">
        <v>719</v>
      </c>
      <c r="P10">
        <v>40</v>
      </c>
      <c r="Q10" s="7"/>
      <c r="R10" s="27" t="str">
        <f t="shared" si="0"/>
        <v/>
      </c>
      <c r="S10" s="27" t="str">
        <f>IF(SUM(COUNTIFS('12_02_12_08'!E:E,'12_02_12_08 Acc Rate'!C10,'12_02_12_08'!O:O,"*M*"),COUNTIFS('12_02_12_08'!E:E,'12_02_12_08 Acc Rate'!C10,'12_02_12_08'!R:R,"*M*"))=0,"",SUM(COUNTIFS('12_02_12_08'!E:E,'12_02_12_08 Acc Rate'!C10,'12_02_12_08'!O:O,"*M*"),COUNTIFS('12_02_12_08'!E:E,'12_02_12_08 Acc Rate'!C10,'12_02_12_08'!R:R,"*M*")))</f>
        <v/>
      </c>
      <c r="T10" s="1" t="str">
        <f>IF(SUM(COUNTIFS('12_02_12_08'!E:E,'12_02_12_08 Acc Rate'!C10,'12_02_12_08'!P:P,"*E*"),COUNTIFS('12_02_12_08'!E:E,'12_02_12_08 Acc Rate'!C10,'12_02_12_08'!S:S,"*E*"))=0,"",SUM(COUNTIFS('12_02_12_08'!E:E,'12_02_12_08 Acc Rate'!C10,'12_02_12_08'!P:P,"*E*"),COUNTIFS('12_02_12_08'!E:E,'12_02_12_08 Acc Rate'!C10,'12_02_12_08'!S:S,"*E*")))</f>
        <v/>
      </c>
      <c r="U10" s="8" t="str">
        <f t="shared" si="1"/>
        <v/>
      </c>
      <c r="V10" s="2"/>
    </row>
    <row r="11" spans="2:24" s="1" customFormat="1" ht="15" customHeight="1" x14ac:dyDescent="0.25">
      <c r="B11" s="1" t="s">
        <v>531</v>
      </c>
      <c r="C11" s="1" t="s">
        <v>325</v>
      </c>
      <c r="D11" s="1" t="s">
        <v>278</v>
      </c>
      <c r="E11" t="s">
        <v>532</v>
      </c>
      <c r="F11" t="s">
        <v>244</v>
      </c>
      <c r="G11" t="s">
        <v>533</v>
      </c>
      <c r="H11" t="s">
        <v>460</v>
      </c>
      <c r="I11" t="s">
        <v>534</v>
      </c>
      <c r="J11" t="s">
        <v>523</v>
      </c>
      <c r="K11" t="s">
        <v>515</v>
      </c>
      <c r="L11" t="s">
        <v>535</v>
      </c>
      <c r="M11">
        <v>15</v>
      </c>
      <c r="N11" t="s">
        <v>536</v>
      </c>
      <c r="O11">
        <v>142</v>
      </c>
      <c r="P11">
        <v>25</v>
      </c>
      <c r="Q11" s="7"/>
      <c r="R11" s="27" t="str">
        <f t="shared" si="0"/>
        <v/>
      </c>
      <c r="S11" s="27" t="str">
        <f>IF(SUM(COUNTIFS('12_02_12_08'!E:E,'12_02_12_08 Acc Rate'!C11,'12_02_12_08'!O:O,"*M*"),COUNTIFS('12_02_12_08'!E:E,'12_02_12_08 Acc Rate'!C11,'12_02_12_08'!R:R,"*M*"))=0,"",SUM(COUNTIFS('12_02_12_08'!E:E,'12_02_12_08 Acc Rate'!C11,'12_02_12_08'!O:O,"*M*"),COUNTIFS('12_02_12_08'!E:E,'12_02_12_08 Acc Rate'!C11,'12_02_12_08'!R:R,"*M*")))</f>
        <v/>
      </c>
      <c r="T11" s="1" t="str">
        <f>IF(SUM(COUNTIFS('12_02_12_08'!E:E,'12_02_12_08 Acc Rate'!C11,'12_02_12_08'!P:P,"*E*"),COUNTIFS('12_02_12_08'!E:E,'12_02_12_08 Acc Rate'!C11,'12_02_12_08'!S:S,"*E*"))=0,"",SUM(COUNTIFS('12_02_12_08'!E:E,'12_02_12_08 Acc Rate'!C11,'12_02_12_08'!P:P,"*E*"),COUNTIFS('12_02_12_08'!E:E,'12_02_12_08 Acc Rate'!C11,'12_02_12_08'!S:S,"*E*")))</f>
        <v/>
      </c>
      <c r="U11" s="8" t="str">
        <f t="shared" si="1"/>
        <v/>
      </c>
      <c r="V11" s="2"/>
    </row>
    <row r="12" spans="2:24" s="1" customFormat="1" ht="15" customHeight="1" x14ac:dyDescent="0.25">
      <c r="B12" s="1" t="s">
        <v>537</v>
      </c>
      <c r="C12" s="1" t="s">
        <v>64</v>
      </c>
      <c r="D12" s="1" t="s">
        <v>65</v>
      </c>
      <c r="E12" t="s">
        <v>538</v>
      </c>
      <c r="F12" t="s">
        <v>114</v>
      </c>
      <c r="G12" t="s">
        <v>539</v>
      </c>
      <c r="H12" t="s">
        <v>460</v>
      </c>
      <c r="I12" t="s">
        <v>540</v>
      </c>
      <c r="J12" t="s">
        <v>523</v>
      </c>
      <c r="K12" t="s">
        <v>515</v>
      </c>
      <c r="L12"/>
      <c r="M12">
        <v>15</v>
      </c>
      <c r="N12" t="s">
        <v>541</v>
      </c>
      <c r="O12">
        <v>716</v>
      </c>
      <c r="P12">
        <v>25</v>
      </c>
      <c r="Q12" s="7"/>
      <c r="R12" s="27" t="str">
        <f t="shared" si="0"/>
        <v/>
      </c>
      <c r="S12" s="27" t="str">
        <f>IF(SUM(COUNTIFS('12_02_12_08'!E:E,'12_02_12_08 Acc Rate'!C12,'12_02_12_08'!O:O,"*M*"),COUNTIFS('12_02_12_08'!E:E,'12_02_12_08 Acc Rate'!C12,'12_02_12_08'!R:R,"*M*"))=0,"",SUM(COUNTIFS('12_02_12_08'!E:E,'12_02_12_08 Acc Rate'!C12,'12_02_12_08'!O:O,"*M*"),COUNTIFS('12_02_12_08'!E:E,'12_02_12_08 Acc Rate'!C12,'12_02_12_08'!R:R,"*M*")))</f>
        <v/>
      </c>
      <c r="T12" s="1" t="str">
        <f>IF(SUM(COUNTIFS('12_02_12_08'!E:E,'12_02_12_08 Acc Rate'!C12,'12_02_12_08'!P:P,"*E*"),COUNTIFS('12_02_12_08'!E:E,'12_02_12_08 Acc Rate'!C12,'12_02_12_08'!S:S,"*E*"))=0,"",SUM(COUNTIFS('12_02_12_08'!E:E,'12_02_12_08 Acc Rate'!C12,'12_02_12_08'!P:P,"*E*"),COUNTIFS('12_02_12_08'!E:E,'12_02_12_08 Acc Rate'!C12,'12_02_12_08'!S:S,"*E*")))</f>
        <v/>
      </c>
      <c r="U12" s="8" t="str">
        <f t="shared" si="1"/>
        <v/>
      </c>
      <c r="V12" s="2"/>
    </row>
    <row r="13" spans="2:24" s="1" customFormat="1" ht="15" customHeight="1" x14ac:dyDescent="0.25">
      <c r="B13" s="1" t="s">
        <v>484</v>
      </c>
      <c r="C13" s="1" t="s">
        <v>22</v>
      </c>
      <c r="D13" s="1" t="s">
        <v>23</v>
      </c>
      <c r="E13" t="s">
        <v>485</v>
      </c>
      <c r="F13" t="s">
        <v>486</v>
      </c>
      <c r="G13" t="s">
        <v>487</v>
      </c>
      <c r="H13" t="s">
        <v>460</v>
      </c>
      <c r="I13" t="s">
        <v>488</v>
      </c>
      <c r="J13" t="s">
        <v>523</v>
      </c>
      <c r="K13" t="s">
        <v>515</v>
      </c>
      <c r="L13"/>
      <c r="M13">
        <v>15</v>
      </c>
      <c r="N13" t="s">
        <v>489</v>
      </c>
      <c r="O13">
        <v>2117</v>
      </c>
      <c r="P13">
        <v>40</v>
      </c>
      <c r="Q13" s="7"/>
      <c r="R13" s="27" t="str">
        <f t="shared" si="0"/>
        <v/>
      </c>
      <c r="S13" s="27" t="str">
        <f>IF(SUM(COUNTIFS('12_02_12_08'!E:E,'12_02_12_08 Acc Rate'!C13,'12_02_12_08'!O:O,"*M*"),COUNTIFS('12_02_12_08'!E:E,'12_02_12_08 Acc Rate'!C13,'12_02_12_08'!R:R,"*M*"))=0,"",SUM(COUNTIFS('12_02_12_08'!E:E,'12_02_12_08 Acc Rate'!C13,'12_02_12_08'!O:O,"*M*"),COUNTIFS('12_02_12_08'!E:E,'12_02_12_08 Acc Rate'!C13,'12_02_12_08'!R:R,"*M*")))</f>
        <v/>
      </c>
      <c r="T13" s="1" t="str">
        <f>IF(SUM(COUNTIFS('12_02_12_08'!E:E,'12_02_12_08 Acc Rate'!C13,'12_02_12_08'!P:P,"*E*"),COUNTIFS('12_02_12_08'!E:E,'12_02_12_08 Acc Rate'!C13,'12_02_12_08'!S:S,"*E*"))=0,"",SUM(COUNTIFS('12_02_12_08'!E:E,'12_02_12_08 Acc Rate'!C13,'12_02_12_08'!P:P,"*E*"),COUNTIFS('12_02_12_08'!E:E,'12_02_12_08 Acc Rate'!C13,'12_02_12_08'!S:S,"*E*")))</f>
        <v/>
      </c>
      <c r="U13" s="8" t="str">
        <f t="shared" si="1"/>
        <v/>
      </c>
      <c r="V13" s="2"/>
    </row>
    <row r="14" spans="2:24" s="1" customFormat="1" ht="15" customHeight="1" x14ac:dyDescent="0.25">
      <c r="B14" s="1" t="s">
        <v>500</v>
      </c>
      <c r="C14" s="1" t="s">
        <v>176</v>
      </c>
      <c r="D14" s="1" t="s">
        <v>177</v>
      </c>
      <c r="E14" t="s">
        <v>501</v>
      </c>
      <c r="F14" t="s">
        <v>168</v>
      </c>
      <c r="G14" t="s">
        <v>502</v>
      </c>
      <c r="H14" t="s">
        <v>460</v>
      </c>
      <c r="I14" t="s">
        <v>503</v>
      </c>
      <c r="J14" t="s">
        <v>523</v>
      </c>
      <c r="K14" t="s">
        <v>515</v>
      </c>
      <c r="L14"/>
      <c r="M14">
        <v>15</v>
      </c>
      <c r="N14" t="s">
        <v>504</v>
      </c>
      <c r="O14">
        <v>182</v>
      </c>
      <c r="P14">
        <v>40</v>
      </c>
      <c r="Q14" s="7"/>
      <c r="R14" s="27" t="str">
        <f t="shared" si="0"/>
        <v/>
      </c>
      <c r="S14" s="27" t="str">
        <f>IF(SUM(COUNTIFS('12_02_12_08'!E:E,'12_02_12_08 Acc Rate'!C14,'12_02_12_08'!O:O,"*M*"),COUNTIFS('12_02_12_08'!E:E,'12_02_12_08 Acc Rate'!C14,'12_02_12_08'!R:R,"*M*"))=0,"",SUM(COUNTIFS('12_02_12_08'!E:E,'12_02_12_08 Acc Rate'!C14,'12_02_12_08'!O:O,"*M*"),COUNTIFS('12_02_12_08'!E:E,'12_02_12_08 Acc Rate'!C14,'12_02_12_08'!R:R,"*M*")))</f>
        <v/>
      </c>
      <c r="T14" s="1" t="str">
        <f>IF(SUM(COUNTIFS('12_02_12_08'!E:E,'12_02_12_08 Acc Rate'!C14,'12_02_12_08'!P:P,"*E*"),COUNTIFS('12_02_12_08'!E:E,'12_02_12_08 Acc Rate'!C14,'12_02_12_08'!S:S,"*E*"))=0,"",SUM(COUNTIFS('12_02_12_08'!E:E,'12_02_12_08 Acc Rate'!C14,'12_02_12_08'!P:P,"*E*"),COUNTIFS('12_02_12_08'!E:E,'12_02_12_08 Acc Rate'!C14,'12_02_12_08'!S:S,"*E*")))</f>
        <v/>
      </c>
      <c r="U14" s="8" t="str">
        <f t="shared" si="1"/>
        <v/>
      </c>
      <c r="V14" s="2"/>
    </row>
    <row r="15" spans="2:24" ht="15" customHeight="1" x14ac:dyDescent="0.25">
      <c r="B15" s="1" t="s">
        <v>548</v>
      </c>
      <c r="C15" s="1" t="s">
        <v>396</v>
      </c>
      <c r="D15" s="1" t="s">
        <v>549</v>
      </c>
      <c r="E15"/>
      <c r="F15" t="s">
        <v>550</v>
      </c>
      <c r="G15" t="s">
        <v>551</v>
      </c>
      <c r="H15" t="s">
        <v>552</v>
      </c>
      <c r="I15" t="s">
        <v>553</v>
      </c>
      <c r="J15" t="s">
        <v>554</v>
      </c>
      <c r="K15"/>
      <c r="L15"/>
      <c r="M15">
        <v>6</v>
      </c>
      <c r="N15"/>
      <c r="O15"/>
      <c r="P15"/>
      <c r="Q15" s="7"/>
      <c r="R15" s="27" t="str">
        <f t="shared" si="0"/>
        <v/>
      </c>
      <c r="S15" s="27" t="str">
        <f>IF(SUM(COUNTIFS('12_02_12_08'!E:E,'12_02_12_08 Acc Rate'!C15,'12_02_12_08'!O:O,"*M*"),COUNTIFS('12_02_12_08'!E:E,'12_02_12_08 Acc Rate'!C15,'12_02_12_08'!R:R,"*M*"))=0,"",SUM(COUNTIFS('12_02_12_08'!E:E,'12_02_12_08 Acc Rate'!C15,'12_02_12_08'!O:O,"*M*"),COUNTIFS('12_02_12_08'!E:E,'12_02_12_08 Acc Rate'!C15,'12_02_12_08'!R:R,"*M*")))</f>
        <v/>
      </c>
      <c r="T15" s="1" t="str">
        <f>IF(SUM(COUNTIFS('12_02_12_08'!E:E,'12_02_12_08 Acc Rate'!C15,'12_02_12_08'!P:P,"*E*"),COUNTIFS('12_02_12_08'!E:E,'12_02_12_08 Acc Rate'!C15,'12_02_12_08'!S:S,"*E*"))=0,"",SUM(COUNTIFS('12_02_12_08'!E:E,'12_02_12_08 Acc Rate'!C15,'12_02_12_08'!P:P,"*E*"),COUNTIFS('12_02_12_08'!E:E,'12_02_12_08 Acc Rate'!C15,'12_02_12_08'!S:S,"*E*")))</f>
        <v/>
      </c>
      <c r="U15" s="8" t="str">
        <f t="shared" si="1"/>
        <v/>
      </c>
    </row>
    <row r="16" spans="2:24" ht="15" customHeight="1" x14ac:dyDescent="0.25">
      <c r="B16" s="1" t="s">
        <v>555</v>
      </c>
      <c r="C16" s="1" t="s">
        <v>556</v>
      </c>
      <c r="D16" s="1" t="s">
        <v>557</v>
      </c>
      <c r="E16"/>
      <c r="F16" t="s">
        <v>558</v>
      </c>
      <c r="G16" t="s">
        <v>559</v>
      </c>
      <c r="H16" t="s">
        <v>552</v>
      </c>
      <c r="I16" t="s">
        <v>560</v>
      </c>
      <c r="J16" t="s">
        <v>561</v>
      </c>
      <c r="K16" t="s">
        <v>553</v>
      </c>
      <c r="L16"/>
      <c r="M16">
        <v>6</v>
      </c>
      <c r="N16"/>
      <c r="O16"/>
      <c r="P16"/>
      <c r="Q16" s="7"/>
      <c r="R16" s="27" t="str">
        <f t="shared" si="0"/>
        <v/>
      </c>
      <c r="S16" s="27" t="str">
        <f>IF(SUM(COUNTIFS('12_02_12_08'!E:E,'12_02_12_08 Acc Rate'!C16,'12_02_12_08'!O:O,"*M*"),COUNTIFS('12_02_12_08'!E:E,'12_02_12_08 Acc Rate'!C16,'12_02_12_08'!R:R,"*M*"))=0,"",SUM(COUNTIFS('12_02_12_08'!E:E,'12_02_12_08 Acc Rate'!C16,'12_02_12_08'!O:O,"*M*"),COUNTIFS('12_02_12_08'!E:E,'12_02_12_08 Acc Rate'!C16,'12_02_12_08'!R:R,"*M*")))</f>
        <v/>
      </c>
      <c r="T16" s="1" t="str">
        <f>IF(SUM(COUNTIFS('12_02_12_08'!E:E,'12_02_12_08 Acc Rate'!C16,'12_02_12_08'!P:P,"*E*"),COUNTIFS('12_02_12_08'!E:E,'12_02_12_08 Acc Rate'!C16,'12_02_12_08'!S:S,"*E*"))=0,"",SUM(COUNTIFS('12_02_12_08'!E:E,'12_02_12_08 Acc Rate'!C16,'12_02_12_08'!P:P,"*E*"),COUNTIFS('12_02_12_08'!E:E,'12_02_12_08 Acc Rate'!C16,'12_02_12_08'!S:S,"*E*")))</f>
        <v/>
      </c>
      <c r="U16" s="8" t="str">
        <f t="shared" si="1"/>
        <v/>
      </c>
    </row>
    <row r="17" spans="2:21" ht="15" customHeight="1" x14ac:dyDescent="0.25">
      <c r="B17" s="1" t="s">
        <v>562</v>
      </c>
      <c r="C17" s="1" t="s">
        <v>563</v>
      </c>
      <c r="D17" s="1" t="s">
        <v>564</v>
      </c>
      <c r="E17"/>
      <c r="F17" t="s">
        <v>565</v>
      </c>
      <c r="G17" t="s">
        <v>566</v>
      </c>
      <c r="H17" t="s">
        <v>552</v>
      </c>
      <c r="I17" t="s">
        <v>567</v>
      </c>
      <c r="J17" t="s">
        <v>561</v>
      </c>
      <c r="K17" t="s">
        <v>553</v>
      </c>
      <c r="L17"/>
      <c r="M17">
        <v>6</v>
      </c>
      <c r="N17"/>
      <c r="O17"/>
      <c r="P17"/>
      <c r="Q17" s="7"/>
      <c r="R17" s="27" t="str">
        <f t="shared" si="0"/>
        <v/>
      </c>
      <c r="S17" s="27" t="str">
        <f>IF(SUM(COUNTIFS('12_02_12_08'!E:E,'12_02_12_08 Acc Rate'!C17,'12_02_12_08'!O:O,"*M*"),COUNTIFS('12_02_12_08'!E:E,'12_02_12_08 Acc Rate'!C17,'12_02_12_08'!R:R,"*M*"))=0,"",SUM(COUNTIFS('12_02_12_08'!E:E,'12_02_12_08 Acc Rate'!C17,'12_02_12_08'!O:O,"*M*"),COUNTIFS('12_02_12_08'!E:E,'12_02_12_08 Acc Rate'!C17,'12_02_12_08'!R:R,"*M*")))</f>
        <v/>
      </c>
      <c r="T17" s="1" t="str">
        <f>IF(SUM(COUNTIFS('12_02_12_08'!E:E,'12_02_12_08 Acc Rate'!C17,'12_02_12_08'!P:P,"*E*"),COUNTIFS('12_02_12_08'!E:E,'12_02_12_08 Acc Rate'!C17,'12_02_12_08'!S:S,"*E*"))=0,"",SUM(COUNTIFS('12_02_12_08'!E:E,'12_02_12_08 Acc Rate'!C17,'12_02_12_08'!P:P,"*E*"),COUNTIFS('12_02_12_08'!E:E,'12_02_12_08 Acc Rate'!C17,'12_02_12_08'!S:S,"*E*")))</f>
        <v/>
      </c>
      <c r="U17" s="8" t="str">
        <f t="shared" si="1"/>
        <v/>
      </c>
    </row>
    <row r="18" spans="2:21" ht="15" customHeight="1" x14ac:dyDescent="0.25">
      <c r="B18" s="1" t="s">
        <v>568</v>
      </c>
      <c r="C18" s="1" t="s">
        <v>569</v>
      </c>
      <c r="D18" s="1" t="s">
        <v>570</v>
      </c>
      <c r="E18"/>
      <c r="F18" t="s">
        <v>571</v>
      </c>
      <c r="G18" t="s">
        <v>572</v>
      </c>
      <c r="H18" t="s">
        <v>552</v>
      </c>
      <c r="I18" t="s">
        <v>573</v>
      </c>
      <c r="J18" t="s">
        <v>561</v>
      </c>
      <c r="K18" t="s">
        <v>553</v>
      </c>
      <c r="L18"/>
      <c r="M18">
        <v>6</v>
      </c>
      <c r="N18"/>
      <c r="O18"/>
      <c r="P18"/>
      <c r="Q18" s="7"/>
      <c r="R18" s="27" t="str">
        <f t="shared" si="0"/>
        <v/>
      </c>
      <c r="S18" s="27" t="str">
        <f>IF(SUM(COUNTIFS('12_02_12_08'!E:E,'12_02_12_08 Acc Rate'!C18,'12_02_12_08'!O:O,"*M*"),COUNTIFS('12_02_12_08'!E:E,'12_02_12_08 Acc Rate'!C18,'12_02_12_08'!R:R,"*M*"))=0,"",SUM(COUNTIFS('12_02_12_08'!E:E,'12_02_12_08 Acc Rate'!C18,'12_02_12_08'!O:O,"*M*"),COUNTIFS('12_02_12_08'!E:E,'12_02_12_08 Acc Rate'!C18,'12_02_12_08'!R:R,"*M*")))</f>
        <v/>
      </c>
      <c r="T18" s="1" t="str">
        <f>IF(SUM(COUNTIFS('12_02_12_08'!E:E,'12_02_12_08 Acc Rate'!C18,'12_02_12_08'!P:P,"*E*"),COUNTIFS('12_02_12_08'!E:E,'12_02_12_08 Acc Rate'!C18,'12_02_12_08'!S:S,"*E*"))=0,"",SUM(COUNTIFS('12_02_12_08'!E:E,'12_02_12_08 Acc Rate'!C18,'12_02_12_08'!P:P,"*E*"),COUNTIFS('12_02_12_08'!E:E,'12_02_12_08 Acc Rate'!C18,'12_02_12_08'!S:S,"*E*")))</f>
        <v/>
      </c>
      <c r="U18" s="8" t="str">
        <f t="shared" si="1"/>
        <v/>
      </c>
    </row>
    <row r="19" spans="2:21" ht="15" customHeight="1" x14ac:dyDescent="0.25">
      <c r="B19" s="1" t="s">
        <v>574</v>
      </c>
      <c r="C19" s="1" t="s">
        <v>575</v>
      </c>
      <c r="D19" s="1" t="s">
        <v>576</v>
      </c>
      <c r="E19"/>
      <c r="F19" t="s">
        <v>577</v>
      </c>
      <c r="G19" t="s">
        <v>578</v>
      </c>
      <c r="H19" t="s">
        <v>552</v>
      </c>
      <c r="I19" t="s">
        <v>579</v>
      </c>
      <c r="J19" t="s">
        <v>561</v>
      </c>
      <c r="K19" t="s">
        <v>553</v>
      </c>
      <c r="L19"/>
      <c r="M19">
        <v>6</v>
      </c>
      <c r="N19"/>
      <c r="O19"/>
      <c r="P19"/>
      <c r="Q19" s="7"/>
      <c r="R19" s="27" t="str">
        <f t="shared" si="0"/>
        <v/>
      </c>
      <c r="S19" s="27" t="str">
        <f>IF(SUM(COUNTIFS('12_02_12_08'!E:E,'12_02_12_08 Acc Rate'!C19,'12_02_12_08'!O:O,"*M*"),COUNTIFS('12_02_12_08'!E:E,'12_02_12_08 Acc Rate'!C19,'12_02_12_08'!R:R,"*M*"))=0,"",SUM(COUNTIFS('12_02_12_08'!E:E,'12_02_12_08 Acc Rate'!C19,'12_02_12_08'!O:O,"*M*"),COUNTIFS('12_02_12_08'!E:E,'12_02_12_08 Acc Rate'!C19,'12_02_12_08'!R:R,"*M*")))</f>
        <v/>
      </c>
      <c r="T19" s="1" t="str">
        <f>IF(SUM(COUNTIFS('12_02_12_08'!E:E,'12_02_12_08 Acc Rate'!C19,'12_02_12_08'!P:P,"*E*"),COUNTIFS('12_02_12_08'!E:E,'12_02_12_08 Acc Rate'!C19,'12_02_12_08'!S:S,"*E*"))=0,"",SUM(COUNTIFS('12_02_12_08'!E:E,'12_02_12_08 Acc Rate'!C19,'12_02_12_08'!P:P,"*E*"),COUNTIFS('12_02_12_08'!E:E,'12_02_12_08 Acc Rate'!C19,'12_02_12_08'!S:S,"*E*")))</f>
        <v/>
      </c>
      <c r="U19" s="8" t="str">
        <f t="shared" si="1"/>
        <v/>
      </c>
    </row>
    <row r="20" spans="2:21" ht="15" customHeight="1" x14ac:dyDescent="0.25">
      <c r="B20" s="1" t="s">
        <v>580</v>
      </c>
      <c r="C20" s="1" t="s">
        <v>316</v>
      </c>
      <c r="D20" s="1" t="s">
        <v>581</v>
      </c>
      <c r="E20"/>
      <c r="F20" t="s">
        <v>565</v>
      </c>
      <c r="G20" t="s">
        <v>582</v>
      </c>
      <c r="H20" t="s">
        <v>583</v>
      </c>
      <c r="I20" t="s">
        <v>584</v>
      </c>
      <c r="J20" t="s">
        <v>585</v>
      </c>
      <c r="K20"/>
      <c r="L20"/>
      <c r="M20">
        <v>1</v>
      </c>
      <c r="N20"/>
      <c r="O20"/>
      <c r="P20"/>
      <c r="Q20" s="7"/>
      <c r="R20" s="27" t="str">
        <f t="shared" si="0"/>
        <v/>
      </c>
      <c r="S20" s="27" t="str">
        <f>IF(SUM(COUNTIFS('12_02_12_08'!E:E,'12_02_12_08 Acc Rate'!C20,'12_02_12_08'!O:O,"*M*"),COUNTIFS('12_02_12_08'!E:E,'12_02_12_08 Acc Rate'!C20,'12_02_12_08'!R:R,"*M*"))=0,"",SUM(COUNTIFS('12_02_12_08'!E:E,'12_02_12_08 Acc Rate'!C20,'12_02_12_08'!O:O,"*M*"),COUNTIFS('12_02_12_08'!E:E,'12_02_12_08 Acc Rate'!C20,'12_02_12_08'!R:R,"*M*")))</f>
        <v/>
      </c>
      <c r="T20" s="1" t="str">
        <f>IF(SUM(COUNTIFS('12_02_12_08'!E:E,'12_02_12_08 Acc Rate'!C20,'12_02_12_08'!P:P,"*E*"),COUNTIFS('12_02_12_08'!E:E,'12_02_12_08 Acc Rate'!C20,'12_02_12_08'!S:S,"*E*"))=0,"",SUM(COUNTIFS('12_02_12_08'!E:E,'12_02_12_08 Acc Rate'!C20,'12_02_12_08'!P:P,"*E*"),COUNTIFS('12_02_12_08'!E:E,'12_02_12_08 Acc Rate'!C20,'12_02_12_08'!S:S,"*E*")))</f>
        <v/>
      </c>
      <c r="U20" s="8" t="str">
        <f t="shared" si="1"/>
        <v/>
      </c>
    </row>
    <row r="21" spans="2:21" ht="15" customHeight="1" x14ac:dyDescent="0.25">
      <c r="B21" s="1" t="s">
        <v>586</v>
      </c>
      <c r="C21" s="1" t="s">
        <v>587</v>
      </c>
      <c r="D21" s="1" t="s">
        <v>588</v>
      </c>
      <c r="E21"/>
      <c r="F21" t="s">
        <v>589</v>
      </c>
      <c r="G21" t="s">
        <v>590</v>
      </c>
      <c r="H21" t="s">
        <v>583</v>
      </c>
      <c r="I21" t="s">
        <v>591</v>
      </c>
      <c r="J21" t="s">
        <v>592</v>
      </c>
      <c r="K21"/>
      <c r="L21"/>
      <c r="M21">
        <v>1</v>
      </c>
      <c r="N21"/>
      <c r="O21"/>
      <c r="P21"/>
      <c r="Q21" s="7"/>
      <c r="R21" s="27" t="str">
        <f t="shared" si="0"/>
        <v/>
      </c>
      <c r="S21" s="27" t="str">
        <f>IF(SUM(COUNTIFS('12_02_12_08'!E:E,'12_02_12_08 Acc Rate'!C21,'12_02_12_08'!O:O,"*M*"),COUNTIFS('12_02_12_08'!E:E,'12_02_12_08 Acc Rate'!C21,'12_02_12_08'!R:R,"*M*"))=0,"",SUM(COUNTIFS('12_02_12_08'!E:E,'12_02_12_08 Acc Rate'!C21,'12_02_12_08'!O:O,"*M*"),COUNTIFS('12_02_12_08'!E:E,'12_02_12_08 Acc Rate'!C21,'12_02_12_08'!R:R,"*M*")))</f>
        <v/>
      </c>
      <c r="T21" s="1" t="str">
        <f>IF(SUM(COUNTIFS('12_02_12_08'!E:E,'12_02_12_08 Acc Rate'!C21,'12_02_12_08'!P:P,"*E*"),COUNTIFS('12_02_12_08'!E:E,'12_02_12_08 Acc Rate'!C21,'12_02_12_08'!S:S,"*E*"))=0,"",SUM(COUNTIFS('12_02_12_08'!E:E,'12_02_12_08 Acc Rate'!C21,'12_02_12_08'!P:P,"*E*"),COUNTIFS('12_02_12_08'!E:E,'12_02_12_08 Acc Rate'!C21,'12_02_12_08'!S:S,"*E*")))</f>
        <v/>
      </c>
      <c r="U21" s="8" t="str">
        <f t="shared" si="1"/>
        <v/>
      </c>
    </row>
    <row r="22" spans="2:21" ht="15" customHeight="1" x14ac:dyDescent="0.25">
      <c r="B22" s="1" t="s">
        <v>593</v>
      </c>
      <c r="C22" s="1" t="s">
        <v>169</v>
      </c>
      <c r="D22" s="1" t="s">
        <v>170</v>
      </c>
      <c r="E22"/>
      <c r="F22" t="s">
        <v>594</v>
      </c>
      <c r="G22" t="s">
        <v>595</v>
      </c>
      <c r="H22" t="s">
        <v>583</v>
      </c>
      <c r="I22" t="s">
        <v>596</v>
      </c>
      <c r="J22" t="s">
        <v>592</v>
      </c>
      <c r="K22"/>
      <c r="L22"/>
      <c r="M22">
        <v>1</v>
      </c>
      <c r="N22"/>
      <c r="O22"/>
      <c r="P22"/>
      <c r="Q22" s="7"/>
      <c r="R22" s="27" t="str">
        <f t="shared" si="0"/>
        <v/>
      </c>
      <c r="S22" s="27" t="str">
        <f>IF(SUM(COUNTIFS('12_02_12_08'!E:E,'12_02_12_08 Acc Rate'!C22,'12_02_12_08'!O:O,"*M*"),COUNTIFS('12_02_12_08'!E:E,'12_02_12_08 Acc Rate'!C22,'12_02_12_08'!R:R,"*M*"))=0,"",SUM(COUNTIFS('12_02_12_08'!E:E,'12_02_12_08 Acc Rate'!C22,'12_02_12_08'!O:O,"*M*"),COUNTIFS('12_02_12_08'!E:E,'12_02_12_08 Acc Rate'!C22,'12_02_12_08'!R:R,"*M*")))</f>
        <v/>
      </c>
      <c r="T22" s="1" t="str">
        <f>IF(SUM(COUNTIFS('12_02_12_08'!E:E,'12_02_12_08 Acc Rate'!C22,'12_02_12_08'!P:P,"*E*"),COUNTIFS('12_02_12_08'!E:E,'12_02_12_08 Acc Rate'!C22,'12_02_12_08'!S:S,"*E*"))=0,"",SUM(COUNTIFS('12_02_12_08'!E:E,'12_02_12_08 Acc Rate'!C22,'12_02_12_08'!P:P,"*E*"),COUNTIFS('12_02_12_08'!E:E,'12_02_12_08 Acc Rate'!C22,'12_02_12_08'!S:S,"*E*")))</f>
        <v/>
      </c>
      <c r="U22" s="8" t="str">
        <f t="shared" si="1"/>
        <v/>
      </c>
    </row>
    <row r="23" spans="2:21" s="1" customFormat="1" ht="15" customHeight="1" x14ac:dyDescent="0.25">
      <c r="B23" s="1" t="s">
        <v>602</v>
      </c>
      <c r="C23" s="1" t="s">
        <v>603</v>
      </c>
      <c r="D23" s="1" t="s">
        <v>1175</v>
      </c>
      <c r="E23"/>
      <c r="F23" t="s">
        <v>565</v>
      </c>
      <c r="G23" t="s">
        <v>1176</v>
      </c>
      <c r="H23" t="s">
        <v>583</v>
      </c>
      <c r="I23" t="s">
        <v>606</v>
      </c>
      <c r="J23" t="s">
        <v>607</v>
      </c>
      <c r="K23"/>
      <c r="L23"/>
      <c r="M23">
        <v>1</v>
      </c>
      <c r="N23"/>
      <c r="O23"/>
      <c r="P23"/>
      <c r="Q23" s="7"/>
      <c r="R23" s="27" t="str">
        <f t="shared" si="0"/>
        <v/>
      </c>
      <c r="S23" s="27" t="str">
        <f>IF(SUM(COUNTIFS('12_02_12_08'!E:E,'12_02_12_08 Acc Rate'!C23,'12_02_12_08'!O:O,"*M*"),COUNTIFS('12_02_12_08'!E:E,'12_02_12_08 Acc Rate'!C23,'12_02_12_08'!R:R,"*M*"))=0,"",SUM(COUNTIFS('12_02_12_08'!E:E,'12_02_12_08 Acc Rate'!C23,'12_02_12_08'!O:O,"*M*"),COUNTIFS('12_02_12_08'!E:E,'12_02_12_08 Acc Rate'!C23,'12_02_12_08'!R:R,"*M*")))</f>
        <v/>
      </c>
      <c r="T23" s="1" t="str">
        <f>IF(SUM(COUNTIFS('12_02_12_08'!E:E,'12_02_12_08 Acc Rate'!C23,'12_02_12_08'!P:P,"*E*"),COUNTIFS('12_02_12_08'!E:E,'12_02_12_08 Acc Rate'!C23,'12_02_12_08'!S:S,"*E*"))=0,"",SUM(COUNTIFS('12_02_12_08'!E:E,'12_02_12_08 Acc Rate'!C23,'12_02_12_08'!P:P,"*E*"),COUNTIFS('12_02_12_08'!E:E,'12_02_12_08 Acc Rate'!C23,'12_02_12_08'!S:S,"*E*")))</f>
        <v/>
      </c>
      <c r="U23" s="9" t="str">
        <f t="shared" si="1"/>
        <v/>
      </c>
    </row>
    <row r="24" spans="2:21" s="1" customFormat="1" ht="15" customHeight="1" x14ac:dyDescent="0.25">
      <c r="B24" s="1" t="s">
        <v>608</v>
      </c>
      <c r="C24" s="1" t="s">
        <v>609</v>
      </c>
      <c r="D24" s="1" t="s">
        <v>610</v>
      </c>
      <c r="E24"/>
      <c r="F24" t="s">
        <v>611</v>
      </c>
      <c r="G24" t="s">
        <v>612</v>
      </c>
      <c r="H24" t="s">
        <v>583</v>
      </c>
      <c r="I24" t="s">
        <v>613</v>
      </c>
      <c r="J24" t="s">
        <v>614</v>
      </c>
      <c r="K24" t="s">
        <v>606</v>
      </c>
      <c r="L24"/>
      <c r="M24">
        <v>1</v>
      </c>
      <c r="N24"/>
      <c r="O24"/>
      <c r="P24"/>
      <c r="Q24" s="7"/>
      <c r="R24" s="27" t="str">
        <f t="shared" si="0"/>
        <v/>
      </c>
      <c r="S24" s="27" t="str">
        <f>IF(SUM(COUNTIFS('12_02_12_08'!E:E,'12_02_12_08 Acc Rate'!C24,'12_02_12_08'!O:O,"*M*"),COUNTIFS('12_02_12_08'!E:E,'12_02_12_08 Acc Rate'!C24,'12_02_12_08'!R:R,"*M*"))=0,"",SUM(COUNTIFS('12_02_12_08'!E:E,'12_02_12_08 Acc Rate'!C24,'12_02_12_08'!O:O,"*M*"),COUNTIFS('12_02_12_08'!E:E,'12_02_12_08 Acc Rate'!C24,'12_02_12_08'!R:R,"*M*")))</f>
        <v/>
      </c>
      <c r="T24" s="1" t="str">
        <f>IF(SUM(COUNTIFS('12_02_12_08'!E:E,'12_02_12_08 Acc Rate'!C24,'12_02_12_08'!P:P,"*E*"),COUNTIFS('12_02_12_08'!E:E,'12_02_12_08 Acc Rate'!C24,'12_02_12_08'!S:S,"*E*"))=0,"",SUM(COUNTIFS('12_02_12_08'!E:E,'12_02_12_08 Acc Rate'!C24,'12_02_12_08'!P:P,"*E*"),COUNTIFS('12_02_12_08'!E:E,'12_02_12_08 Acc Rate'!C24,'12_02_12_08'!S:S,"*E*")))</f>
        <v/>
      </c>
      <c r="U24" s="9" t="str">
        <f t="shared" si="1"/>
        <v/>
      </c>
    </row>
    <row r="25" spans="2:21" s="1" customFormat="1" ht="15" customHeight="1" x14ac:dyDescent="0.25">
      <c r="B25" s="1" t="s">
        <v>615</v>
      </c>
      <c r="C25" s="1" t="s">
        <v>616</v>
      </c>
      <c r="D25" s="1" t="s">
        <v>617</v>
      </c>
      <c r="E25"/>
      <c r="F25" t="s">
        <v>618</v>
      </c>
      <c r="G25" t="s">
        <v>619</v>
      </c>
      <c r="H25" t="s">
        <v>583</v>
      </c>
      <c r="I25" t="s">
        <v>620</v>
      </c>
      <c r="J25" t="s">
        <v>614</v>
      </c>
      <c r="K25" t="s">
        <v>606</v>
      </c>
      <c r="L25"/>
      <c r="M25">
        <v>1</v>
      </c>
      <c r="N25"/>
      <c r="O25"/>
      <c r="P25"/>
      <c r="Q25" s="7"/>
      <c r="R25" s="27" t="str">
        <f t="shared" si="0"/>
        <v/>
      </c>
      <c r="S25" s="27" t="str">
        <f>IF(SUM(COUNTIFS('12_02_12_08'!E:E,'12_02_12_08 Acc Rate'!C25,'12_02_12_08'!O:O,"*M*"),COUNTIFS('12_02_12_08'!E:E,'12_02_12_08 Acc Rate'!C25,'12_02_12_08'!R:R,"*M*"))=0,"",SUM(COUNTIFS('12_02_12_08'!E:E,'12_02_12_08 Acc Rate'!C25,'12_02_12_08'!O:O,"*M*"),COUNTIFS('12_02_12_08'!E:E,'12_02_12_08 Acc Rate'!C25,'12_02_12_08'!R:R,"*M*")))</f>
        <v/>
      </c>
      <c r="T25" s="1" t="str">
        <f>IF(SUM(COUNTIFS('12_02_12_08'!E:E,'12_02_12_08 Acc Rate'!C25,'12_02_12_08'!P:P,"*E*"),COUNTIFS('12_02_12_08'!E:E,'12_02_12_08 Acc Rate'!C25,'12_02_12_08'!S:S,"*E*"))=0,"",SUM(COUNTIFS('12_02_12_08'!E:E,'12_02_12_08 Acc Rate'!C25,'12_02_12_08'!P:P,"*E*"),COUNTIFS('12_02_12_08'!E:E,'12_02_12_08 Acc Rate'!C25,'12_02_12_08'!S:S,"*E*")))</f>
        <v/>
      </c>
      <c r="U25" s="9" t="str">
        <f t="shared" si="1"/>
        <v/>
      </c>
    </row>
    <row r="26" spans="2:21" s="1" customFormat="1" ht="15" customHeight="1" x14ac:dyDescent="0.25">
      <c r="B26" s="1" t="s">
        <v>621</v>
      </c>
      <c r="C26" s="1" t="s">
        <v>622</v>
      </c>
      <c r="D26" s="1" t="s">
        <v>267</v>
      </c>
      <c r="E26"/>
      <c r="F26" t="s">
        <v>623</v>
      </c>
      <c r="G26" t="s">
        <v>624</v>
      </c>
      <c r="H26" t="s">
        <v>583</v>
      </c>
      <c r="I26" t="s">
        <v>625</v>
      </c>
      <c r="J26" t="s">
        <v>614</v>
      </c>
      <c r="K26" t="s">
        <v>606</v>
      </c>
      <c r="L26"/>
      <c r="M26">
        <v>1</v>
      </c>
      <c r="N26"/>
      <c r="O26"/>
      <c r="P26"/>
      <c r="Q26" s="7"/>
      <c r="R26" s="27" t="str">
        <f t="shared" si="0"/>
        <v/>
      </c>
      <c r="S26" s="27" t="str">
        <f>IF(SUM(COUNTIFS('12_02_12_08'!E:E,'12_02_12_08 Acc Rate'!C26,'12_02_12_08'!O:O,"*M*"),COUNTIFS('12_02_12_08'!E:E,'12_02_12_08 Acc Rate'!C26,'12_02_12_08'!R:R,"*M*"))=0,"",SUM(COUNTIFS('12_02_12_08'!E:E,'12_02_12_08 Acc Rate'!C26,'12_02_12_08'!O:O,"*M*"),COUNTIFS('12_02_12_08'!E:E,'12_02_12_08 Acc Rate'!C26,'12_02_12_08'!R:R,"*M*")))</f>
        <v/>
      </c>
      <c r="T26" s="1" t="str">
        <f>IF(SUM(COUNTIFS('12_02_12_08'!E:E,'12_02_12_08 Acc Rate'!C26,'12_02_12_08'!P:P,"*E*"),COUNTIFS('12_02_12_08'!E:E,'12_02_12_08 Acc Rate'!C26,'12_02_12_08'!S:S,"*E*"))=0,"",SUM(COUNTIFS('12_02_12_08'!E:E,'12_02_12_08 Acc Rate'!C26,'12_02_12_08'!P:P,"*E*"),COUNTIFS('12_02_12_08'!E:E,'12_02_12_08 Acc Rate'!C26,'12_02_12_08'!S:S,"*E*")))</f>
        <v/>
      </c>
      <c r="U26" s="9" t="str">
        <f t="shared" si="1"/>
        <v/>
      </c>
    </row>
    <row r="27" spans="2:21" s="1" customFormat="1" ht="15" customHeight="1" x14ac:dyDescent="0.25">
      <c r="B27" s="1" t="s">
        <v>626</v>
      </c>
      <c r="C27" s="1" t="s">
        <v>362</v>
      </c>
      <c r="D27" s="1" t="s">
        <v>409</v>
      </c>
      <c r="E27"/>
      <c r="F27" t="s">
        <v>627</v>
      </c>
      <c r="G27" t="s">
        <v>628</v>
      </c>
      <c r="H27" t="s">
        <v>583</v>
      </c>
      <c r="I27" t="s">
        <v>629</v>
      </c>
      <c r="J27" t="s">
        <v>614</v>
      </c>
      <c r="K27" t="s">
        <v>606</v>
      </c>
      <c r="L27"/>
      <c r="M27">
        <v>1</v>
      </c>
      <c r="N27"/>
      <c r="O27"/>
      <c r="P27"/>
      <c r="Q27" s="7"/>
      <c r="R27" s="27" t="str">
        <f t="shared" si="0"/>
        <v/>
      </c>
      <c r="S27" s="27" t="str">
        <f>IF(SUM(COUNTIFS('12_02_12_08'!E:E,'12_02_12_08 Acc Rate'!C27,'12_02_12_08'!O:O,"*M*"),COUNTIFS('12_02_12_08'!E:E,'12_02_12_08 Acc Rate'!C27,'12_02_12_08'!R:R,"*M*"))=0,"",SUM(COUNTIFS('12_02_12_08'!E:E,'12_02_12_08 Acc Rate'!C27,'12_02_12_08'!O:O,"*M*"),COUNTIFS('12_02_12_08'!E:E,'12_02_12_08 Acc Rate'!C27,'12_02_12_08'!R:R,"*M*")))</f>
        <v/>
      </c>
      <c r="T27" s="1" t="str">
        <f>IF(SUM(COUNTIFS('12_02_12_08'!E:E,'12_02_12_08 Acc Rate'!C27,'12_02_12_08'!P:P,"*E*"),COUNTIFS('12_02_12_08'!E:E,'12_02_12_08 Acc Rate'!C27,'12_02_12_08'!S:S,"*E*"))=0,"",SUM(COUNTIFS('12_02_12_08'!E:E,'12_02_12_08 Acc Rate'!C27,'12_02_12_08'!P:P,"*E*"),COUNTIFS('12_02_12_08'!E:E,'12_02_12_08 Acc Rate'!C27,'12_02_12_08'!S:S,"*E*")))</f>
        <v/>
      </c>
      <c r="U27" s="9" t="str">
        <f t="shared" si="1"/>
        <v/>
      </c>
    </row>
    <row r="28" spans="2:21" s="1" customFormat="1" ht="15" customHeight="1" x14ac:dyDescent="0.25">
      <c r="B28" s="1" t="s">
        <v>630</v>
      </c>
      <c r="C28" s="1" t="s">
        <v>425</v>
      </c>
      <c r="D28" s="1" t="s">
        <v>426</v>
      </c>
      <c r="E28"/>
      <c r="F28" t="s">
        <v>631</v>
      </c>
      <c r="G28" t="s">
        <v>632</v>
      </c>
      <c r="H28" t="s">
        <v>583</v>
      </c>
      <c r="I28" t="s">
        <v>633</v>
      </c>
      <c r="J28" t="s">
        <v>614</v>
      </c>
      <c r="K28" t="s">
        <v>606</v>
      </c>
      <c r="L28"/>
      <c r="M28">
        <v>15</v>
      </c>
      <c r="N28"/>
      <c r="O28"/>
      <c r="P28"/>
      <c r="Q28" s="7"/>
      <c r="R28" s="27" t="str">
        <f t="shared" si="0"/>
        <v/>
      </c>
      <c r="S28" s="27" t="str">
        <f>IF(SUM(COUNTIFS('12_02_12_08'!E:E,'12_02_12_08 Acc Rate'!C28,'12_02_12_08'!O:O,"*M*"),COUNTIFS('12_02_12_08'!E:E,'12_02_12_08 Acc Rate'!C28,'12_02_12_08'!R:R,"*M*"))=0,"",SUM(COUNTIFS('12_02_12_08'!E:E,'12_02_12_08 Acc Rate'!C28,'12_02_12_08'!O:O,"*M*"),COUNTIFS('12_02_12_08'!E:E,'12_02_12_08 Acc Rate'!C28,'12_02_12_08'!R:R,"*M*")))</f>
        <v/>
      </c>
      <c r="T28" s="1" t="str">
        <f>IF(SUM(COUNTIFS('12_02_12_08'!E:E,'12_02_12_08 Acc Rate'!C28,'12_02_12_08'!P:P,"*E*"),COUNTIFS('12_02_12_08'!E:E,'12_02_12_08 Acc Rate'!C28,'12_02_12_08'!S:S,"*E*"))=0,"",SUM(COUNTIFS('12_02_12_08'!E:E,'12_02_12_08 Acc Rate'!C28,'12_02_12_08'!P:P,"*E*"),COUNTIFS('12_02_12_08'!E:E,'12_02_12_08 Acc Rate'!C28,'12_02_12_08'!S:S,"*E*")))</f>
        <v/>
      </c>
      <c r="U28" s="8" t="str">
        <f t="shared" si="1"/>
        <v/>
      </c>
    </row>
    <row r="29" spans="2:21" s="1" customFormat="1" ht="15" customHeight="1" x14ac:dyDescent="0.25">
      <c r="B29" s="1" t="s">
        <v>634</v>
      </c>
      <c r="C29" s="1" t="s">
        <v>635</v>
      </c>
      <c r="D29" s="1" t="s">
        <v>636</v>
      </c>
      <c r="E29"/>
      <c r="F29" t="s">
        <v>21</v>
      </c>
      <c r="G29" t="s">
        <v>637</v>
      </c>
      <c r="H29" t="s">
        <v>583</v>
      </c>
      <c r="I29" t="s">
        <v>638</v>
      </c>
      <c r="J29" t="s">
        <v>607</v>
      </c>
      <c r="K29"/>
      <c r="L29"/>
      <c r="M29">
        <v>1</v>
      </c>
      <c r="N29"/>
      <c r="O29"/>
      <c r="P29"/>
      <c r="Q29" s="7"/>
      <c r="R29" s="27" t="str">
        <f t="shared" si="0"/>
        <v/>
      </c>
      <c r="S29" s="27" t="str">
        <f>IF(SUM(COUNTIFS('12_02_12_08'!E:E,'12_02_12_08 Acc Rate'!C29,'12_02_12_08'!O:O,"*M*"),COUNTIFS('12_02_12_08'!E:E,'12_02_12_08 Acc Rate'!C29,'12_02_12_08'!R:R,"*M*"))=0,"",SUM(COUNTIFS('12_02_12_08'!E:E,'12_02_12_08 Acc Rate'!C29,'12_02_12_08'!O:O,"*M*"),COUNTIFS('12_02_12_08'!E:E,'12_02_12_08 Acc Rate'!C29,'12_02_12_08'!R:R,"*M*")))</f>
        <v/>
      </c>
      <c r="T29" s="1" t="str">
        <f>IF(SUM(COUNTIFS('12_02_12_08'!E:E,'12_02_12_08 Acc Rate'!C29,'12_02_12_08'!P:P,"*E*"),COUNTIFS('12_02_12_08'!E:E,'12_02_12_08 Acc Rate'!C29,'12_02_12_08'!S:S,"*E*"))=0,"",SUM(COUNTIFS('12_02_12_08'!E:E,'12_02_12_08 Acc Rate'!C29,'12_02_12_08'!P:P,"*E*"),COUNTIFS('12_02_12_08'!E:E,'12_02_12_08 Acc Rate'!C29,'12_02_12_08'!S:S,"*E*")))</f>
        <v/>
      </c>
      <c r="U29" s="9" t="str">
        <f t="shared" si="1"/>
        <v/>
      </c>
    </row>
    <row r="30" spans="2:21" s="1" customFormat="1" ht="15" customHeight="1" x14ac:dyDescent="0.25">
      <c r="B30" s="1" t="s">
        <v>1630</v>
      </c>
      <c r="C30" s="1" t="s">
        <v>1631</v>
      </c>
      <c r="D30" s="1" t="s">
        <v>1122</v>
      </c>
      <c r="E30"/>
      <c r="F30" t="s">
        <v>21</v>
      </c>
      <c r="G30" t="s">
        <v>1632</v>
      </c>
      <c r="H30" t="s">
        <v>583</v>
      </c>
      <c r="I30" t="s">
        <v>1633</v>
      </c>
      <c r="J30" t="s">
        <v>1634</v>
      </c>
      <c r="K30" t="s">
        <v>638</v>
      </c>
      <c r="L30"/>
      <c r="M30">
        <v>15</v>
      </c>
      <c r="N30"/>
      <c r="O30"/>
      <c r="P30"/>
      <c r="Q30" s="7"/>
      <c r="R30" s="27" t="str">
        <f t="shared" si="0"/>
        <v/>
      </c>
      <c r="S30" s="27" t="str">
        <f>IF(SUM(COUNTIFS('12_02_12_08'!E:E,'12_02_12_08 Acc Rate'!C30,'12_02_12_08'!O:O,"*M*"),COUNTIFS('12_02_12_08'!E:E,'12_02_12_08 Acc Rate'!C30,'12_02_12_08'!R:R,"*M*"))=0,"",SUM(COUNTIFS('12_02_12_08'!E:E,'12_02_12_08 Acc Rate'!C30,'12_02_12_08'!O:O,"*M*"),COUNTIFS('12_02_12_08'!E:E,'12_02_12_08 Acc Rate'!C30,'12_02_12_08'!R:R,"*M*")))</f>
        <v/>
      </c>
      <c r="T30" s="1" t="str">
        <f>IF(SUM(COUNTIFS('12_02_12_08'!E:E,'12_02_12_08 Acc Rate'!C30,'12_02_12_08'!P:P,"*E*"),COUNTIFS('12_02_12_08'!E:E,'12_02_12_08 Acc Rate'!C30,'12_02_12_08'!S:S,"*E*"))=0,"",SUM(COUNTIFS('12_02_12_08'!E:E,'12_02_12_08 Acc Rate'!C30,'12_02_12_08'!P:P,"*E*"),COUNTIFS('12_02_12_08'!E:E,'12_02_12_08 Acc Rate'!C30,'12_02_12_08'!S:S,"*E*")))</f>
        <v/>
      </c>
      <c r="U30" s="9" t="str">
        <f t="shared" si="1"/>
        <v/>
      </c>
    </row>
    <row r="31" spans="2:21" s="1" customFormat="1" ht="15" customHeight="1" x14ac:dyDescent="0.25">
      <c r="B31" s="1" t="s">
        <v>639</v>
      </c>
      <c r="C31" s="1" t="s">
        <v>635</v>
      </c>
      <c r="D31" s="1" t="s">
        <v>640</v>
      </c>
      <c r="E31"/>
      <c r="F31" t="s">
        <v>641</v>
      </c>
      <c r="G31" t="s">
        <v>642</v>
      </c>
      <c r="H31" t="s">
        <v>583</v>
      </c>
      <c r="I31" t="s">
        <v>643</v>
      </c>
      <c r="J31" t="s">
        <v>607</v>
      </c>
      <c r="K31"/>
      <c r="L31"/>
      <c r="M31">
        <v>1</v>
      </c>
      <c r="N31"/>
      <c r="O31"/>
      <c r="P31"/>
      <c r="Q31" s="7"/>
      <c r="R31" s="27" t="str">
        <f t="shared" si="0"/>
        <v/>
      </c>
      <c r="S31" s="27" t="str">
        <f>IF(SUM(COUNTIFS('12_02_12_08'!E:E,'12_02_12_08 Acc Rate'!C31,'12_02_12_08'!O:O,"*M*"),COUNTIFS('12_02_12_08'!E:E,'12_02_12_08 Acc Rate'!C31,'12_02_12_08'!R:R,"*M*"))=0,"",SUM(COUNTIFS('12_02_12_08'!E:E,'12_02_12_08 Acc Rate'!C31,'12_02_12_08'!O:O,"*M*"),COUNTIFS('12_02_12_08'!E:E,'12_02_12_08 Acc Rate'!C31,'12_02_12_08'!R:R,"*M*")))</f>
        <v/>
      </c>
      <c r="T31" s="1" t="str">
        <f>IF(SUM(COUNTIFS('12_02_12_08'!E:E,'12_02_12_08 Acc Rate'!C31,'12_02_12_08'!P:P,"*E*"),COUNTIFS('12_02_12_08'!E:E,'12_02_12_08 Acc Rate'!C31,'12_02_12_08'!S:S,"*E*"))=0,"",SUM(COUNTIFS('12_02_12_08'!E:E,'12_02_12_08 Acc Rate'!C31,'12_02_12_08'!P:P,"*E*"),COUNTIFS('12_02_12_08'!E:E,'12_02_12_08 Acc Rate'!C31,'12_02_12_08'!S:S,"*E*")))</f>
        <v/>
      </c>
      <c r="U31" s="9" t="str">
        <f t="shared" si="1"/>
        <v/>
      </c>
    </row>
    <row r="32" spans="2:21" ht="15" customHeight="1" x14ac:dyDescent="0.25">
      <c r="B32" s="1" t="s">
        <v>644</v>
      </c>
      <c r="C32" s="1" t="s">
        <v>162</v>
      </c>
      <c r="D32" s="1" t="s">
        <v>163</v>
      </c>
      <c r="E32"/>
      <c r="F32" t="s">
        <v>645</v>
      </c>
      <c r="G32" t="s">
        <v>646</v>
      </c>
      <c r="H32" t="s">
        <v>583</v>
      </c>
      <c r="I32" t="s">
        <v>647</v>
      </c>
      <c r="J32" t="s">
        <v>648</v>
      </c>
      <c r="K32" t="s">
        <v>643</v>
      </c>
      <c r="L32"/>
      <c r="M32">
        <v>1</v>
      </c>
      <c r="N32"/>
      <c r="O32"/>
      <c r="P32"/>
      <c r="Q32" s="7"/>
      <c r="R32" s="27" t="str">
        <f t="shared" si="0"/>
        <v/>
      </c>
      <c r="S32" s="27" t="str">
        <f>IF(SUM(COUNTIFS('12_02_12_08'!E:E,'12_02_12_08 Acc Rate'!C32,'12_02_12_08'!O:O,"*M*"),COUNTIFS('12_02_12_08'!E:E,'12_02_12_08 Acc Rate'!C32,'12_02_12_08'!R:R,"*M*"))=0,"",SUM(COUNTIFS('12_02_12_08'!E:E,'12_02_12_08 Acc Rate'!C32,'12_02_12_08'!O:O,"*M*"),COUNTIFS('12_02_12_08'!E:E,'12_02_12_08 Acc Rate'!C32,'12_02_12_08'!R:R,"*M*")))</f>
        <v/>
      </c>
      <c r="T32" s="1" t="str">
        <f>IF(SUM(COUNTIFS('12_02_12_08'!E:E,'12_02_12_08 Acc Rate'!C32,'12_02_12_08'!P:P,"*E*"),COUNTIFS('12_02_12_08'!E:E,'12_02_12_08 Acc Rate'!C32,'12_02_12_08'!S:S,"*E*"))=0,"",SUM(COUNTIFS('12_02_12_08'!E:E,'12_02_12_08 Acc Rate'!C32,'12_02_12_08'!P:P,"*E*"),COUNTIFS('12_02_12_08'!E:E,'12_02_12_08 Acc Rate'!C32,'12_02_12_08'!S:S,"*E*")))</f>
        <v/>
      </c>
      <c r="U32" s="8" t="str">
        <f t="shared" si="1"/>
        <v/>
      </c>
    </row>
    <row r="33" spans="2:21" ht="15" customHeight="1" x14ac:dyDescent="0.25">
      <c r="B33" s="1" t="s">
        <v>649</v>
      </c>
      <c r="C33" s="1" t="s">
        <v>264</v>
      </c>
      <c r="D33" s="1" t="s">
        <v>650</v>
      </c>
      <c r="E33"/>
      <c r="F33" t="s">
        <v>651</v>
      </c>
      <c r="G33" t="s">
        <v>652</v>
      </c>
      <c r="H33" t="s">
        <v>583</v>
      </c>
      <c r="I33" t="s">
        <v>653</v>
      </c>
      <c r="J33" t="s">
        <v>648</v>
      </c>
      <c r="K33" t="s">
        <v>643</v>
      </c>
      <c r="L33"/>
      <c r="M33">
        <v>1</v>
      </c>
      <c r="N33"/>
      <c r="O33"/>
      <c r="P33"/>
      <c r="Q33" s="7"/>
      <c r="R33" s="27" t="str">
        <f t="shared" si="0"/>
        <v/>
      </c>
      <c r="S33" s="27" t="str">
        <f>IF(SUM(COUNTIFS('12_02_12_08'!E:E,'12_02_12_08 Acc Rate'!C33,'12_02_12_08'!O:O,"*M*"),COUNTIFS('12_02_12_08'!E:E,'12_02_12_08 Acc Rate'!C33,'12_02_12_08'!R:R,"*M*"))=0,"",SUM(COUNTIFS('12_02_12_08'!E:E,'12_02_12_08 Acc Rate'!C33,'12_02_12_08'!O:O,"*M*"),COUNTIFS('12_02_12_08'!E:E,'12_02_12_08 Acc Rate'!C33,'12_02_12_08'!R:R,"*M*")))</f>
        <v/>
      </c>
      <c r="T33" s="1" t="str">
        <f>IF(SUM(COUNTIFS('12_02_12_08'!E:E,'12_02_12_08 Acc Rate'!C33,'12_02_12_08'!P:P,"*E*"),COUNTIFS('12_02_12_08'!E:E,'12_02_12_08 Acc Rate'!C33,'12_02_12_08'!S:S,"*E*"))=0,"",SUM(COUNTIFS('12_02_12_08'!E:E,'12_02_12_08 Acc Rate'!C33,'12_02_12_08'!P:P,"*E*"),COUNTIFS('12_02_12_08'!E:E,'12_02_12_08 Acc Rate'!C33,'12_02_12_08'!S:S,"*E*")))</f>
        <v/>
      </c>
      <c r="U33" s="8" t="str">
        <f t="shared" si="1"/>
        <v/>
      </c>
    </row>
    <row r="34" spans="2:21" ht="15" customHeight="1" x14ac:dyDescent="0.25">
      <c r="B34" s="1" t="s">
        <v>654</v>
      </c>
      <c r="C34" s="1" t="s">
        <v>417</v>
      </c>
      <c r="D34" s="1" t="s">
        <v>418</v>
      </c>
      <c r="E34"/>
      <c r="F34" t="s">
        <v>655</v>
      </c>
      <c r="G34" t="s">
        <v>656</v>
      </c>
      <c r="H34" t="s">
        <v>583</v>
      </c>
      <c r="I34" t="s">
        <v>657</v>
      </c>
      <c r="J34" t="s">
        <v>648</v>
      </c>
      <c r="K34" t="s">
        <v>643</v>
      </c>
      <c r="L34"/>
      <c r="M34">
        <v>1</v>
      </c>
      <c r="N34"/>
      <c r="O34"/>
      <c r="P34"/>
      <c r="Q34" s="7"/>
      <c r="R34" s="27" t="str">
        <f t="shared" si="0"/>
        <v/>
      </c>
      <c r="S34" s="27" t="str">
        <f>IF(SUM(COUNTIFS('12_02_12_08'!E:E,'12_02_12_08 Acc Rate'!C34,'12_02_12_08'!O:O,"*M*"),COUNTIFS('12_02_12_08'!E:E,'12_02_12_08 Acc Rate'!C34,'12_02_12_08'!R:R,"*M*"))=0,"",SUM(COUNTIFS('12_02_12_08'!E:E,'12_02_12_08 Acc Rate'!C34,'12_02_12_08'!O:O,"*M*"),COUNTIFS('12_02_12_08'!E:E,'12_02_12_08 Acc Rate'!C34,'12_02_12_08'!R:R,"*M*")))</f>
        <v/>
      </c>
      <c r="T34" s="1" t="str">
        <f>IF(SUM(COUNTIFS('12_02_12_08'!E:E,'12_02_12_08 Acc Rate'!C34,'12_02_12_08'!P:P,"*E*"),COUNTIFS('12_02_12_08'!E:E,'12_02_12_08 Acc Rate'!C34,'12_02_12_08'!S:S,"*E*"))=0,"",SUM(COUNTIFS('12_02_12_08'!E:E,'12_02_12_08 Acc Rate'!C34,'12_02_12_08'!P:P,"*E*"),COUNTIFS('12_02_12_08'!E:E,'12_02_12_08 Acc Rate'!C34,'12_02_12_08'!S:S,"*E*")))</f>
        <v/>
      </c>
      <c r="U34" s="8" t="str">
        <f t="shared" si="1"/>
        <v/>
      </c>
    </row>
    <row r="35" spans="2:21" ht="15" customHeight="1" x14ac:dyDescent="0.25">
      <c r="B35" s="1" t="s">
        <v>1641</v>
      </c>
      <c r="C35" s="1" t="s">
        <v>345</v>
      </c>
      <c r="D35" s="1" t="s">
        <v>1642</v>
      </c>
      <c r="E35"/>
      <c r="F35" t="s">
        <v>1643</v>
      </c>
      <c r="G35" t="s">
        <v>1644</v>
      </c>
      <c r="H35" t="s">
        <v>583</v>
      </c>
      <c r="I35" t="s">
        <v>1645</v>
      </c>
      <c r="J35" t="s">
        <v>648</v>
      </c>
      <c r="K35" t="s">
        <v>643</v>
      </c>
      <c r="L35"/>
      <c r="M35">
        <v>15</v>
      </c>
      <c r="N35"/>
      <c r="O35"/>
      <c r="P35"/>
      <c r="Q35" s="7"/>
      <c r="R35" s="27" t="str">
        <f t="shared" si="0"/>
        <v/>
      </c>
      <c r="S35" s="27" t="str">
        <f>IF(SUM(COUNTIFS('12_02_12_08'!E:E,'12_02_12_08 Acc Rate'!C35,'12_02_12_08'!O:O,"*M*"),COUNTIFS('12_02_12_08'!E:E,'12_02_12_08 Acc Rate'!C35,'12_02_12_08'!R:R,"*M*"))=0,"",SUM(COUNTIFS('12_02_12_08'!E:E,'12_02_12_08 Acc Rate'!C35,'12_02_12_08'!O:O,"*M*"),COUNTIFS('12_02_12_08'!E:E,'12_02_12_08 Acc Rate'!C35,'12_02_12_08'!R:R,"*M*")))</f>
        <v/>
      </c>
      <c r="T35" s="1" t="str">
        <f>IF(SUM(COUNTIFS('12_02_12_08'!E:E,'12_02_12_08 Acc Rate'!C35,'12_02_12_08'!P:P,"*E*"),COUNTIFS('12_02_12_08'!E:E,'12_02_12_08 Acc Rate'!C35,'12_02_12_08'!S:S,"*E*"))=0,"",SUM(COUNTIFS('12_02_12_08'!E:E,'12_02_12_08 Acc Rate'!C35,'12_02_12_08'!P:P,"*E*"),COUNTIFS('12_02_12_08'!E:E,'12_02_12_08 Acc Rate'!C35,'12_02_12_08'!S:S,"*E*")))</f>
        <v/>
      </c>
      <c r="U35" s="8" t="str">
        <f t="shared" si="1"/>
        <v/>
      </c>
    </row>
    <row r="36" spans="2:21" ht="15" customHeight="1" x14ac:dyDescent="0.25">
      <c r="B36" s="1" t="s">
        <v>658</v>
      </c>
      <c r="C36" s="1" t="s">
        <v>659</v>
      </c>
      <c r="D36" s="1" t="s">
        <v>660</v>
      </c>
      <c r="E36"/>
      <c r="F36" t="s">
        <v>661</v>
      </c>
      <c r="G36" t="s">
        <v>662</v>
      </c>
      <c r="H36" t="s">
        <v>583</v>
      </c>
      <c r="I36" t="s">
        <v>663</v>
      </c>
      <c r="J36" t="s">
        <v>607</v>
      </c>
      <c r="K36"/>
      <c r="L36"/>
      <c r="M36">
        <v>1</v>
      </c>
      <c r="N36"/>
      <c r="O36"/>
      <c r="P36"/>
      <c r="Q36" s="7"/>
      <c r="R36" s="27" t="str">
        <f t="shared" si="0"/>
        <v/>
      </c>
      <c r="S36" s="27" t="str">
        <f>IF(SUM(COUNTIFS('12_02_12_08'!E:E,'12_02_12_08 Acc Rate'!C36,'12_02_12_08'!O:O,"*M*"),COUNTIFS('12_02_12_08'!E:E,'12_02_12_08 Acc Rate'!C36,'12_02_12_08'!R:R,"*M*"))=0,"",SUM(COUNTIFS('12_02_12_08'!E:E,'12_02_12_08 Acc Rate'!C36,'12_02_12_08'!O:O,"*M*"),COUNTIFS('12_02_12_08'!E:E,'12_02_12_08 Acc Rate'!C36,'12_02_12_08'!R:R,"*M*")))</f>
        <v/>
      </c>
      <c r="T36" s="1" t="str">
        <f>IF(SUM(COUNTIFS('12_02_12_08'!E:E,'12_02_12_08 Acc Rate'!C36,'12_02_12_08'!P:P,"*E*"),COUNTIFS('12_02_12_08'!E:E,'12_02_12_08 Acc Rate'!C36,'12_02_12_08'!S:S,"*E*"))=0,"",SUM(COUNTIFS('12_02_12_08'!E:E,'12_02_12_08 Acc Rate'!C36,'12_02_12_08'!P:P,"*E*"),COUNTIFS('12_02_12_08'!E:E,'12_02_12_08 Acc Rate'!C36,'12_02_12_08'!S:S,"*E*")))</f>
        <v/>
      </c>
      <c r="U36" s="8" t="str">
        <f t="shared" si="1"/>
        <v/>
      </c>
    </row>
    <row r="37" spans="2:21" ht="15" customHeight="1" x14ac:dyDescent="0.25">
      <c r="B37" s="1" t="s">
        <v>664</v>
      </c>
      <c r="C37" s="1" t="s">
        <v>155</v>
      </c>
      <c r="D37" s="1" t="s">
        <v>156</v>
      </c>
      <c r="E37"/>
      <c r="F37" t="s">
        <v>550</v>
      </c>
      <c r="G37" t="s">
        <v>665</v>
      </c>
      <c r="H37" t="s">
        <v>583</v>
      </c>
      <c r="I37" t="s">
        <v>666</v>
      </c>
      <c r="J37" t="s">
        <v>667</v>
      </c>
      <c r="K37" t="s">
        <v>663</v>
      </c>
      <c r="L37"/>
      <c r="M37">
        <v>1</v>
      </c>
      <c r="N37"/>
      <c r="O37"/>
      <c r="P37"/>
      <c r="Q37" s="7"/>
      <c r="R37" s="27" t="str">
        <f t="shared" si="0"/>
        <v/>
      </c>
      <c r="S37" s="27" t="str">
        <f>IF(SUM(COUNTIFS('12_02_12_08'!E:E,'12_02_12_08 Acc Rate'!C37,'12_02_12_08'!O:O,"*M*"),COUNTIFS('12_02_12_08'!E:E,'12_02_12_08 Acc Rate'!C37,'12_02_12_08'!R:R,"*M*"))=0,"",SUM(COUNTIFS('12_02_12_08'!E:E,'12_02_12_08 Acc Rate'!C37,'12_02_12_08'!O:O,"*M*"),COUNTIFS('12_02_12_08'!E:E,'12_02_12_08 Acc Rate'!C37,'12_02_12_08'!R:R,"*M*")))</f>
        <v/>
      </c>
      <c r="T37" s="1" t="str">
        <f>IF(SUM(COUNTIFS('12_02_12_08'!E:E,'12_02_12_08 Acc Rate'!C37,'12_02_12_08'!P:P,"*E*"),COUNTIFS('12_02_12_08'!E:E,'12_02_12_08 Acc Rate'!C37,'12_02_12_08'!S:S,"*E*"))=0,"",SUM(COUNTIFS('12_02_12_08'!E:E,'12_02_12_08 Acc Rate'!C37,'12_02_12_08'!P:P,"*E*"),COUNTIFS('12_02_12_08'!E:E,'12_02_12_08 Acc Rate'!C37,'12_02_12_08'!S:S,"*E*")))</f>
        <v/>
      </c>
      <c r="U37" s="8" t="str">
        <f t="shared" si="1"/>
        <v/>
      </c>
    </row>
    <row r="38" spans="2:21" ht="15" customHeight="1" x14ac:dyDescent="0.25">
      <c r="B38" s="1" t="s">
        <v>668</v>
      </c>
      <c r="C38" s="1" t="s">
        <v>669</v>
      </c>
      <c r="D38" s="1" t="s">
        <v>670</v>
      </c>
      <c r="E38"/>
      <c r="F38" t="s">
        <v>671</v>
      </c>
      <c r="G38" t="s">
        <v>672</v>
      </c>
      <c r="H38" t="s">
        <v>583</v>
      </c>
      <c r="I38" t="s">
        <v>673</v>
      </c>
      <c r="J38" t="s">
        <v>667</v>
      </c>
      <c r="K38" t="s">
        <v>663</v>
      </c>
      <c r="L38"/>
      <c r="M38">
        <v>1</v>
      </c>
      <c r="N38"/>
      <c r="O38"/>
      <c r="P38"/>
      <c r="Q38" s="7"/>
      <c r="R38" s="27" t="str">
        <f t="shared" si="0"/>
        <v/>
      </c>
      <c r="S38" s="27" t="str">
        <f>IF(SUM(COUNTIFS('12_02_12_08'!E:E,'12_02_12_08 Acc Rate'!C38,'12_02_12_08'!O:O,"*M*"),COUNTIFS('12_02_12_08'!E:E,'12_02_12_08 Acc Rate'!C38,'12_02_12_08'!R:R,"*M*"))=0,"",SUM(COUNTIFS('12_02_12_08'!E:E,'12_02_12_08 Acc Rate'!C38,'12_02_12_08'!O:O,"*M*"),COUNTIFS('12_02_12_08'!E:E,'12_02_12_08 Acc Rate'!C38,'12_02_12_08'!R:R,"*M*")))</f>
        <v/>
      </c>
      <c r="T38" s="1" t="str">
        <f>IF(SUM(COUNTIFS('12_02_12_08'!E:E,'12_02_12_08 Acc Rate'!C38,'12_02_12_08'!P:P,"*E*"),COUNTIFS('12_02_12_08'!E:E,'12_02_12_08 Acc Rate'!C38,'12_02_12_08'!S:S,"*E*"))=0,"",SUM(COUNTIFS('12_02_12_08'!E:E,'12_02_12_08 Acc Rate'!C38,'12_02_12_08'!P:P,"*E*"),COUNTIFS('12_02_12_08'!E:E,'12_02_12_08 Acc Rate'!C38,'12_02_12_08'!S:S,"*E*")))</f>
        <v/>
      </c>
      <c r="U38" s="8" t="str">
        <f t="shared" si="1"/>
        <v/>
      </c>
    </row>
    <row r="39" spans="2:21" ht="15" customHeight="1" x14ac:dyDescent="0.25">
      <c r="B39" s="1" t="s">
        <v>701</v>
      </c>
      <c r="C39" s="1" t="s">
        <v>696</v>
      </c>
      <c r="D39" s="1" t="s">
        <v>702</v>
      </c>
      <c r="E39"/>
      <c r="F39" t="s">
        <v>703</v>
      </c>
      <c r="G39" t="s">
        <v>704</v>
      </c>
      <c r="H39" t="s">
        <v>583</v>
      </c>
      <c r="I39" t="s">
        <v>705</v>
      </c>
      <c r="J39" t="s">
        <v>667</v>
      </c>
      <c r="K39" t="s">
        <v>663</v>
      </c>
      <c r="L39"/>
      <c r="M39">
        <v>1</v>
      </c>
      <c r="N39"/>
      <c r="O39"/>
      <c r="P39"/>
      <c r="Q39" s="7"/>
      <c r="R39" s="27" t="str">
        <f t="shared" si="0"/>
        <v/>
      </c>
      <c r="S39" s="27" t="str">
        <f>IF(SUM(COUNTIFS('12_02_12_08'!E:E,'12_02_12_08 Acc Rate'!C39,'12_02_12_08'!O:O,"*M*"),COUNTIFS('12_02_12_08'!E:E,'12_02_12_08 Acc Rate'!C39,'12_02_12_08'!R:R,"*M*"))=0,"",SUM(COUNTIFS('12_02_12_08'!E:E,'12_02_12_08 Acc Rate'!C39,'12_02_12_08'!O:O,"*M*"),COUNTIFS('12_02_12_08'!E:E,'12_02_12_08 Acc Rate'!C39,'12_02_12_08'!R:R,"*M*")))</f>
        <v/>
      </c>
      <c r="T39" s="1" t="str">
        <f>IF(SUM(COUNTIFS('12_02_12_08'!E:E,'12_02_12_08 Acc Rate'!C39,'12_02_12_08'!P:P,"*E*"),COUNTIFS('12_02_12_08'!E:E,'12_02_12_08 Acc Rate'!C39,'12_02_12_08'!S:S,"*E*"))=0,"",SUM(COUNTIFS('12_02_12_08'!E:E,'12_02_12_08 Acc Rate'!C39,'12_02_12_08'!P:P,"*E*"),COUNTIFS('12_02_12_08'!E:E,'12_02_12_08 Acc Rate'!C39,'12_02_12_08'!S:S,"*E*")))</f>
        <v/>
      </c>
      <c r="U39" s="8" t="str">
        <f t="shared" si="1"/>
        <v/>
      </c>
    </row>
    <row r="40" spans="2:21" ht="15" customHeight="1" x14ac:dyDescent="0.25">
      <c r="B40" s="1" t="s">
        <v>674</v>
      </c>
      <c r="C40" s="1" t="s">
        <v>411</v>
      </c>
      <c r="D40" s="1" t="s">
        <v>412</v>
      </c>
      <c r="E40"/>
      <c r="F40" t="s">
        <v>675</v>
      </c>
      <c r="G40" t="s">
        <v>676</v>
      </c>
      <c r="H40" t="s">
        <v>583</v>
      </c>
      <c r="I40" t="s">
        <v>677</v>
      </c>
      <c r="J40" t="s">
        <v>667</v>
      </c>
      <c r="K40" t="s">
        <v>663</v>
      </c>
      <c r="L40"/>
      <c r="M40">
        <v>1</v>
      </c>
      <c r="N40"/>
      <c r="O40"/>
      <c r="P40"/>
      <c r="Q40" s="7"/>
      <c r="R40" s="27" t="str">
        <f t="shared" si="0"/>
        <v/>
      </c>
      <c r="S40" s="27" t="str">
        <f>IF(SUM(COUNTIFS('12_02_12_08'!E:E,'12_02_12_08 Acc Rate'!C40,'12_02_12_08'!O:O,"*M*"),COUNTIFS('12_02_12_08'!E:E,'12_02_12_08 Acc Rate'!C40,'12_02_12_08'!R:R,"*M*"))=0,"",SUM(COUNTIFS('12_02_12_08'!E:E,'12_02_12_08 Acc Rate'!C40,'12_02_12_08'!O:O,"*M*"),COUNTIFS('12_02_12_08'!E:E,'12_02_12_08 Acc Rate'!C40,'12_02_12_08'!R:R,"*M*")))</f>
        <v/>
      </c>
      <c r="T40" s="1" t="str">
        <f>IF(SUM(COUNTIFS('12_02_12_08'!E:E,'12_02_12_08 Acc Rate'!C40,'12_02_12_08'!P:P,"*E*"),COUNTIFS('12_02_12_08'!E:E,'12_02_12_08 Acc Rate'!C40,'12_02_12_08'!S:S,"*E*"))=0,"",SUM(COUNTIFS('12_02_12_08'!E:E,'12_02_12_08 Acc Rate'!C40,'12_02_12_08'!P:P,"*E*"),COUNTIFS('12_02_12_08'!E:E,'12_02_12_08 Acc Rate'!C40,'12_02_12_08'!S:S,"*E*")))</f>
        <v/>
      </c>
      <c r="U40" s="8" t="str">
        <f t="shared" si="1"/>
        <v/>
      </c>
    </row>
    <row r="41" spans="2:21" ht="15" customHeight="1" x14ac:dyDescent="0.25">
      <c r="B41" s="1" t="s">
        <v>678</v>
      </c>
      <c r="C41" s="1" t="s">
        <v>679</v>
      </c>
      <c r="D41" s="1" t="s">
        <v>680</v>
      </c>
      <c r="E41"/>
      <c r="F41" t="s">
        <v>681</v>
      </c>
      <c r="G41" t="s">
        <v>682</v>
      </c>
      <c r="H41" t="s">
        <v>583</v>
      </c>
      <c r="I41" t="s">
        <v>683</v>
      </c>
      <c r="J41" t="s">
        <v>607</v>
      </c>
      <c r="K41"/>
      <c r="L41"/>
      <c r="M41">
        <v>1</v>
      </c>
      <c r="N41"/>
      <c r="O41"/>
      <c r="P41"/>
      <c r="Q41" s="7"/>
      <c r="R41" s="27" t="str">
        <f t="shared" si="0"/>
        <v/>
      </c>
      <c r="S41" s="27" t="str">
        <f>IF(SUM(COUNTIFS('12_02_12_08'!E:E,'12_02_12_08 Acc Rate'!C41,'12_02_12_08'!O:O,"*M*"),COUNTIFS('12_02_12_08'!E:E,'12_02_12_08 Acc Rate'!C41,'12_02_12_08'!R:R,"*M*"))=0,"",SUM(COUNTIFS('12_02_12_08'!E:E,'12_02_12_08 Acc Rate'!C41,'12_02_12_08'!O:O,"*M*"),COUNTIFS('12_02_12_08'!E:E,'12_02_12_08 Acc Rate'!C41,'12_02_12_08'!R:R,"*M*")))</f>
        <v/>
      </c>
      <c r="T41" s="1" t="str">
        <f>IF(SUM(COUNTIFS('12_02_12_08'!E:E,'12_02_12_08 Acc Rate'!C41,'12_02_12_08'!P:P,"*E*"),COUNTIFS('12_02_12_08'!E:E,'12_02_12_08 Acc Rate'!C41,'12_02_12_08'!S:S,"*E*"))=0,"",SUM(COUNTIFS('12_02_12_08'!E:E,'12_02_12_08 Acc Rate'!C41,'12_02_12_08'!P:P,"*E*"),COUNTIFS('12_02_12_08'!E:E,'12_02_12_08 Acc Rate'!C41,'12_02_12_08'!S:S,"*E*")))</f>
        <v/>
      </c>
      <c r="U41" s="8" t="str">
        <f t="shared" si="1"/>
        <v/>
      </c>
    </row>
    <row r="42" spans="2:21" ht="15" customHeight="1" x14ac:dyDescent="0.25">
      <c r="B42" s="1" t="s">
        <v>684</v>
      </c>
      <c r="C42" s="1" t="s">
        <v>84</v>
      </c>
      <c r="D42" s="1" t="s">
        <v>273</v>
      </c>
      <c r="E42"/>
      <c r="F42" t="s">
        <v>685</v>
      </c>
      <c r="G42" t="s">
        <v>686</v>
      </c>
      <c r="H42" t="s">
        <v>583</v>
      </c>
      <c r="I42" t="s">
        <v>687</v>
      </c>
      <c r="J42" t="s">
        <v>688</v>
      </c>
      <c r="K42" t="s">
        <v>683</v>
      </c>
      <c r="L42"/>
      <c r="M42">
        <v>1</v>
      </c>
      <c r="N42"/>
      <c r="O42"/>
      <c r="P42"/>
      <c r="Q42" s="7"/>
      <c r="R42" s="27" t="str">
        <f t="shared" si="0"/>
        <v/>
      </c>
      <c r="S42" s="27" t="str">
        <f>IF(SUM(COUNTIFS('12_02_12_08'!E:E,'12_02_12_08 Acc Rate'!C42,'12_02_12_08'!O:O,"*M*"),COUNTIFS('12_02_12_08'!E:E,'12_02_12_08 Acc Rate'!C42,'12_02_12_08'!R:R,"*M*"))=0,"",SUM(COUNTIFS('12_02_12_08'!E:E,'12_02_12_08 Acc Rate'!C42,'12_02_12_08'!O:O,"*M*"),COUNTIFS('12_02_12_08'!E:E,'12_02_12_08 Acc Rate'!C42,'12_02_12_08'!R:R,"*M*")))</f>
        <v/>
      </c>
      <c r="T42" s="1" t="str">
        <f>IF(SUM(COUNTIFS('12_02_12_08'!E:E,'12_02_12_08 Acc Rate'!C42,'12_02_12_08'!P:P,"*E*"),COUNTIFS('12_02_12_08'!E:E,'12_02_12_08 Acc Rate'!C42,'12_02_12_08'!S:S,"*E*"))=0,"",SUM(COUNTIFS('12_02_12_08'!E:E,'12_02_12_08 Acc Rate'!C42,'12_02_12_08'!P:P,"*E*"),COUNTIFS('12_02_12_08'!E:E,'12_02_12_08 Acc Rate'!C42,'12_02_12_08'!S:S,"*E*")))</f>
        <v/>
      </c>
      <c r="U42" s="8" t="str">
        <f t="shared" si="1"/>
        <v/>
      </c>
    </row>
    <row r="43" spans="2:21" ht="15" customHeight="1" x14ac:dyDescent="0.25">
      <c r="B43" s="1" t="s">
        <v>689</v>
      </c>
      <c r="C43" s="1" t="s">
        <v>690</v>
      </c>
      <c r="D43" s="1" t="s">
        <v>691</v>
      </c>
      <c r="E43"/>
      <c r="F43" t="s">
        <v>692</v>
      </c>
      <c r="G43" t="s">
        <v>693</v>
      </c>
      <c r="H43" t="s">
        <v>583</v>
      </c>
      <c r="I43" t="s">
        <v>694</v>
      </c>
      <c r="J43" t="s">
        <v>688</v>
      </c>
      <c r="K43" t="s">
        <v>683</v>
      </c>
      <c r="L43"/>
      <c r="M43">
        <v>1</v>
      </c>
      <c r="N43"/>
      <c r="O43"/>
      <c r="P43"/>
      <c r="Q43" s="7"/>
      <c r="R43" s="27" t="str">
        <f t="shared" si="0"/>
        <v/>
      </c>
      <c r="S43" s="27" t="str">
        <f>IF(SUM(COUNTIFS('12_02_12_08'!E:E,'12_02_12_08 Acc Rate'!C43,'12_02_12_08'!O:O,"*M*"),COUNTIFS('12_02_12_08'!E:E,'12_02_12_08 Acc Rate'!C43,'12_02_12_08'!R:R,"*M*"))=0,"",SUM(COUNTIFS('12_02_12_08'!E:E,'12_02_12_08 Acc Rate'!C43,'12_02_12_08'!O:O,"*M*"),COUNTIFS('12_02_12_08'!E:E,'12_02_12_08 Acc Rate'!C43,'12_02_12_08'!R:R,"*M*")))</f>
        <v/>
      </c>
      <c r="T43" s="1" t="str">
        <f>IF(SUM(COUNTIFS('12_02_12_08'!E:E,'12_02_12_08 Acc Rate'!C43,'12_02_12_08'!P:P,"*E*"),COUNTIFS('12_02_12_08'!E:E,'12_02_12_08 Acc Rate'!C43,'12_02_12_08'!S:S,"*E*"))=0,"",SUM(COUNTIFS('12_02_12_08'!E:E,'12_02_12_08 Acc Rate'!C43,'12_02_12_08'!P:P,"*E*"),COUNTIFS('12_02_12_08'!E:E,'12_02_12_08 Acc Rate'!C43,'12_02_12_08'!S:S,"*E*")))</f>
        <v/>
      </c>
      <c r="U43" s="8" t="str">
        <f t="shared" si="1"/>
        <v/>
      </c>
    </row>
    <row r="44" spans="2:21" ht="15" customHeight="1" x14ac:dyDescent="0.25">
      <c r="B44" s="1" t="s">
        <v>695</v>
      </c>
      <c r="C44" s="1" t="s">
        <v>696</v>
      </c>
      <c r="D44" s="1" t="s">
        <v>697</v>
      </c>
      <c r="E44"/>
      <c r="F44" t="s">
        <v>698</v>
      </c>
      <c r="G44" t="s">
        <v>699</v>
      </c>
      <c r="H44" t="s">
        <v>583</v>
      </c>
      <c r="I44" t="s">
        <v>700</v>
      </c>
      <c r="J44" t="s">
        <v>607</v>
      </c>
      <c r="K44"/>
      <c r="L44"/>
      <c r="M44">
        <v>1</v>
      </c>
      <c r="N44"/>
      <c r="O44"/>
      <c r="P44"/>
      <c r="Q44" s="7"/>
      <c r="R44" s="27" t="str">
        <f t="shared" si="0"/>
        <v/>
      </c>
      <c r="S44" s="27" t="str">
        <f>IF(SUM(COUNTIFS('12_02_12_08'!E:E,'12_02_12_08 Acc Rate'!C44,'12_02_12_08'!O:O,"*M*"),COUNTIFS('12_02_12_08'!E:E,'12_02_12_08 Acc Rate'!C44,'12_02_12_08'!R:R,"*M*"))=0,"",SUM(COUNTIFS('12_02_12_08'!E:E,'12_02_12_08 Acc Rate'!C44,'12_02_12_08'!O:O,"*M*"),COUNTIFS('12_02_12_08'!E:E,'12_02_12_08 Acc Rate'!C44,'12_02_12_08'!R:R,"*M*")))</f>
        <v/>
      </c>
      <c r="T44" s="1" t="str">
        <f>IF(SUM(COUNTIFS('12_02_12_08'!E:E,'12_02_12_08 Acc Rate'!C44,'12_02_12_08'!P:P,"*E*"),COUNTIFS('12_02_12_08'!E:E,'12_02_12_08 Acc Rate'!C44,'12_02_12_08'!S:S,"*E*"))=0,"",SUM(COUNTIFS('12_02_12_08'!E:E,'12_02_12_08 Acc Rate'!C44,'12_02_12_08'!P:P,"*E*"),COUNTIFS('12_02_12_08'!E:E,'12_02_12_08 Acc Rate'!C44,'12_02_12_08'!S:S,"*E*")))</f>
        <v/>
      </c>
      <c r="U44" s="8" t="str">
        <f t="shared" si="1"/>
        <v/>
      </c>
    </row>
    <row r="45" spans="2:21" ht="15" customHeight="1" x14ac:dyDescent="0.25">
      <c r="B45" s="1" t="s">
        <v>707</v>
      </c>
      <c r="C45" s="1" t="s">
        <v>708</v>
      </c>
      <c r="D45" s="1" t="s">
        <v>709</v>
      </c>
      <c r="E45"/>
      <c r="F45" t="s">
        <v>710</v>
      </c>
      <c r="G45" t="s">
        <v>711</v>
      </c>
      <c r="H45" t="s">
        <v>583</v>
      </c>
      <c r="I45" t="s">
        <v>712</v>
      </c>
      <c r="J45" t="s">
        <v>706</v>
      </c>
      <c r="K45" t="s">
        <v>700</v>
      </c>
      <c r="L45"/>
      <c r="M45">
        <v>1</v>
      </c>
      <c r="N45"/>
      <c r="O45"/>
      <c r="P45"/>
      <c r="Q45" s="7"/>
      <c r="R45" s="27" t="str">
        <f t="shared" si="0"/>
        <v/>
      </c>
      <c r="S45" s="27" t="str">
        <f>IF(SUM(COUNTIFS('12_02_12_08'!E:E,'12_02_12_08 Acc Rate'!C45,'12_02_12_08'!O:O,"*M*"),COUNTIFS('12_02_12_08'!E:E,'12_02_12_08 Acc Rate'!C45,'12_02_12_08'!R:R,"*M*"))=0,"",SUM(COUNTIFS('12_02_12_08'!E:E,'12_02_12_08 Acc Rate'!C45,'12_02_12_08'!O:O,"*M*"),COUNTIFS('12_02_12_08'!E:E,'12_02_12_08 Acc Rate'!C45,'12_02_12_08'!R:R,"*M*")))</f>
        <v/>
      </c>
      <c r="T45" s="1" t="str">
        <f>IF(SUM(COUNTIFS('12_02_12_08'!E:E,'12_02_12_08 Acc Rate'!C45,'12_02_12_08'!P:P,"*E*"),COUNTIFS('12_02_12_08'!E:E,'12_02_12_08 Acc Rate'!C45,'12_02_12_08'!S:S,"*E*"))=0,"",SUM(COUNTIFS('12_02_12_08'!E:E,'12_02_12_08 Acc Rate'!C45,'12_02_12_08'!P:P,"*E*"),COUNTIFS('12_02_12_08'!E:E,'12_02_12_08 Acc Rate'!C45,'12_02_12_08'!S:S,"*E*")))</f>
        <v/>
      </c>
      <c r="U45" s="8" t="str">
        <f t="shared" si="1"/>
        <v/>
      </c>
    </row>
    <row r="46" spans="2:21" ht="15" customHeight="1" x14ac:dyDescent="0.25">
      <c r="B46" s="1" t="s">
        <v>713</v>
      </c>
      <c r="C46" s="1" t="s">
        <v>714</v>
      </c>
      <c r="D46" s="1" t="s">
        <v>715</v>
      </c>
      <c r="E46"/>
      <c r="F46" t="s">
        <v>716</v>
      </c>
      <c r="G46" t="s">
        <v>717</v>
      </c>
      <c r="H46" t="s">
        <v>583</v>
      </c>
      <c r="I46" t="s">
        <v>718</v>
      </c>
      <c r="J46" t="s">
        <v>706</v>
      </c>
      <c r="K46" t="s">
        <v>700</v>
      </c>
      <c r="L46"/>
      <c r="M46">
        <v>1</v>
      </c>
      <c r="N46"/>
      <c r="O46"/>
      <c r="P46"/>
      <c r="Q46" s="7"/>
      <c r="R46" s="27" t="str">
        <f t="shared" si="0"/>
        <v/>
      </c>
      <c r="S46" s="27" t="str">
        <f>IF(SUM(COUNTIFS('12_02_12_08'!E:E,'12_02_12_08 Acc Rate'!C46,'12_02_12_08'!O:O,"*M*"),COUNTIFS('12_02_12_08'!E:E,'12_02_12_08 Acc Rate'!C46,'12_02_12_08'!R:R,"*M*"))=0,"",SUM(COUNTIFS('12_02_12_08'!E:E,'12_02_12_08 Acc Rate'!C46,'12_02_12_08'!O:O,"*M*"),COUNTIFS('12_02_12_08'!E:E,'12_02_12_08 Acc Rate'!C46,'12_02_12_08'!R:R,"*M*")))</f>
        <v/>
      </c>
      <c r="T46" s="1" t="str">
        <f>IF(SUM(COUNTIFS('12_02_12_08'!E:E,'12_02_12_08 Acc Rate'!C46,'12_02_12_08'!P:P,"*E*"),COUNTIFS('12_02_12_08'!E:E,'12_02_12_08 Acc Rate'!C46,'12_02_12_08'!S:S,"*E*"))=0,"",SUM(COUNTIFS('12_02_12_08'!E:E,'12_02_12_08 Acc Rate'!C46,'12_02_12_08'!P:P,"*E*"),COUNTIFS('12_02_12_08'!E:E,'12_02_12_08 Acc Rate'!C46,'12_02_12_08'!S:S,"*E*")))</f>
        <v/>
      </c>
      <c r="U46" s="8" t="str">
        <f t="shared" si="1"/>
        <v/>
      </c>
    </row>
    <row r="47" spans="2:21" ht="15" customHeight="1" x14ac:dyDescent="0.25">
      <c r="B47" s="1" t="s">
        <v>2034</v>
      </c>
      <c r="C47" s="1" t="s">
        <v>848</v>
      </c>
      <c r="D47" s="1" t="s">
        <v>2035</v>
      </c>
      <c r="E47"/>
      <c r="F47" t="s">
        <v>2036</v>
      </c>
      <c r="G47" t="s">
        <v>2037</v>
      </c>
      <c r="H47" t="s">
        <v>583</v>
      </c>
      <c r="I47" t="s">
        <v>2038</v>
      </c>
      <c r="J47" t="s">
        <v>706</v>
      </c>
      <c r="K47" t="s">
        <v>700</v>
      </c>
      <c r="L47"/>
      <c r="M47">
        <v>1</v>
      </c>
      <c r="N47"/>
      <c r="O47"/>
      <c r="P47"/>
      <c r="Q47" s="7"/>
      <c r="R47" s="27" t="str">
        <f t="shared" si="0"/>
        <v/>
      </c>
      <c r="S47" s="27" t="str">
        <f>IF(SUM(COUNTIFS('12_02_12_08'!E:E,'12_02_12_08 Acc Rate'!C47,'12_02_12_08'!O:O,"*M*"),COUNTIFS('12_02_12_08'!E:E,'12_02_12_08 Acc Rate'!C47,'12_02_12_08'!R:R,"*M*"))=0,"",SUM(COUNTIFS('12_02_12_08'!E:E,'12_02_12_08 Acc Rate'!C47,'12_02_12_08'!O:O,"*M*"),COUNTIFS('12_02_12_08'!E:E,'12_02_12_08 Acc Rate'!C47,'12_02_12_08'!R:R,"*M*")))</f>
        <v/>
      </c>
      <c r="T47" s="1" t="str">
        <f>IF(SUM(COUNTIFS('12_02_12_08'!E:E,'12_02_12_08 Acc Rate'!C47,'12_02_12_08'!P:P,"*E*"),COUNTIFS('12_02_12_08'!E:E,'12_02_12_08 Acc Rate'!C47,'12_02_12_08'!S:S,"*E*"))=0,"",SUM(COUNTIFS('12_02_12_08'!E:E,'12_02_12_08 Acc Rate'!C47,'12_02_12_08'!P:P,"*E*"),COUNTIFS('12_02_12_08'!E:E,'12_02_12_08 Acc Rate'!C47,'12_02_12_08'!S:S,"*E*")))</f>
        <v/>
      </c>
      <c r="U47" s="8" t="str">
        <f t="shared" si="1"/>
        <v/>
      </c>
    </row>
    <row r="48" spans="2:21" ht="15" customHeight="1" x14ac:dyDescent="0.25">
      <c r="B48" s="1" t="s">
        <v>719</v>
      </c>
      <c r="C48" s="1" t="s">
        <v>556</v>
      </c>
      <c r="D48" s="1" t="s">
        <v>720</v>
      </c>
      <c r="E48"/>
      <c r="F48" t="s">
        <v>721</v>
      </c>
      <c r="G48" t="s">
        <v>722</v>
      </c>
      <c r="H48" t="s">
        <v>583</v>
      </c>
      <c r="I48" t="s">
        <v>723</v>
      </c>
      <c r="J48" t="s">
        <v>706</v>
      </c>
      <c r="K48" t="s">
        <v>700</v>
      </c>
      <c r="L48"/>
      <c r="M48">
        <v>1</v>
      </c>
      <c r="N48"/>
      <c r="O48"/>
      <c r="P48"/>
      <c r="Q48" s="7"/>
      <c r="R48" s="27" t="str">
        <f t="shared" si="0"/>
        <v/>
      </c>
      <c r="S48" s="27" t="str">
        <f>IF(SUM(COUNTIFS('12_02_12_08'!E:E,'12_02_12_08 Acc Rate'!C48,'12_02_12_08'!O:O,"*M*"),COUNTIFS('12_02_12_08'!E:E,'12_02_12_08 Acc Rate'!C48,'12_02_12_08'!R:R,"*M*"))=0,"",SUM(COUNTIFS('12_02_12_08'!E:E,'12_02_12_08 Acc Rate'!C48,'12_02_12_08'!O:O,"*M*"),COUNTIFS('12_02_12_08'!E:E,'12_02_12_08 Acc Rate'!C48,'12_02_12_08'!R:R,"*M*")))</f>
        <v/>
      </c>
      <c r="T48" s="1" t="str">
        <f>IF(SUM(COUNTIFS('12_02_12_08'!E:E,'12_02_12_08 Acc Rate'!C48,'12_02_12_08'!P:P,"*E*"),COUNTIFS('12_02_12_08'!E:E,'12_02_12_08 Acc Rate'!C48,'12_02_12_08'!S:S,"*E*"))=0,"",SUM(COUNTIFS('12_02_12_08'!E:E,'12_02_12_08 Acc Rate'!C48,'12_02_12_08'!P:P,"*E*"),COUNTIFS('12_02_12_08'!E:E,'12_02_12_08 Acc Rate'!C48,'12_02_12_08'!S:S,"*E*")))</f>
        <v/>
      </c>
      <c r="U48" s="8"/>
    </row>
    <row r="49" spans="5:21" ht="15" customHeight="1" x14ac:dyDescent="0.25">
      <c r="E49"/>
      <c r="F49"/>
      <c r="G49"/>
      <c r="H49"/>
      <c r="I49"/>
      <c r="J49"/>
      <c r="K49"/>
      <c r="L49"/>
      <c r="M49" t="s">
        <v>724</v>
      </c>
      <c r="N49"/>
      <c r="O49"/>
      <c r="P49"/>
      <c r="Q49" s="1">
        <f>SUM(Q3:Q47)</f>
        <v>0</v>
      </c>
      <c r="R49" s="27">
        <f>SUM(R3:R47)</f>
        <v>-9</v>
      </c>
      <c r="S49" s="27">
        <f>SUM(S3:S47)</f>
        <v>5</v>
      </c>
      <c r="T49" s="1">
        <f>SUM(T3:T47)</f>
        <v>4</v>
      </c>
      <c r="U49" s="2">
        <f>IFERROR(SUM(S48*8+T48*2)/Q48,0)</f>
        <v>0</v>
      </c>
    </row>
    <row r="50" spans="5:21" ht="15" customHeight="1" x14ac:dyDescent="0.25">
      <c r="E50"/>
      <c r="F50"/>
      <c r="G50"/>
      <c r="H50"/>
      <c r="I50"/>
      <c r="J50"/>
      <c r="K50"/>
      <c r="L50"/>
      <c r="M50"/>
      <c r="N50"/>
      <c r="O50"/>
      <c r="P50"/>
    </row>
  </sheetData>
  <mergeCells count="3">
    <mergeCell ref="W3:X3"/>
    <mergeCell ref="W7:X7"/>
    <mergeCell ref="W8:X8"/>
  </mergeCells>
  <conditionalFormatting sqref="B1:P1048576">
    <cfRule type="expression" dxfId="83" priority="6">
      <formula>$H1="Service Center"</formula>
    </cfRule>
    <cfRule type="expression" dxfId="82" priority="7">
      <formula>$H1="COBRA"</formula>
    </cfRule>
    <cfRule type="expression" dxfId="81" priority="8">
      <formula>$H1="Claims"</formula>
    </cfRule>
  </conditionalFormatting>
  <conditionalFormatting sqref="B1:U1048576">
    <cfRule type="expression" dxfId="80" priority="4">
      <formula>NOT(ISBLANK($B1))</formula>
    </cfRule>
    <cfRule type="expression" dxfId="79" priority="5">
      <formula>AND($H1="Service Center",$M1=15)</formula>
    </cfRule>
    <cfRule type="expression" dxfId="78" priority="9">
      <formula>$B1="Full Name"</formula>
    </cfRule>
    <cfRule type="expression" dxfId="77" priority="10">
      <formula>$M1="Totals"</formula>
    </cfRule>
  </conditionalFormatting>
  <conditionalFormatting sqref="Q2">
    <cfRule type="expression" dxfId="76" priority="1">
      <formula>$H2="Service Center"</formula>
    </cfRule>
    <cfRule type="expression" dxfId="75" priority="2">
      <formula>$H2="COBRA"</formula>
    </cfRule>
    <cfRule type="expression" dxfId="74" priority="3">
      <formula>$H2="Claims"</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CD55F1-4130-4E69-8BEB-5756CCA0D938}">
  <dimension ref="A1:U192"/>
  <sheetViews>
    <sheetView topLeftCell="A174" workbookViewId="0">
      <selection activeCell="N129" sqref="N129"/>
    </sheetView>
  </sheetViews>
  <sheetFormatPr defaultRowHeight="15" x14ac:dyDescent="0.25"/>
  <cols>
    <col min="1" max="1" width="8.7109375" customWidth="1"/>
    <col min="2" max="2" width="12.140625" customWidth="1"/>
    <col min="3" max="3" width="8.7109375" customWidth="1"/>
    <col min="4" max="4" width="12.7109375" customWidth="1"/>
    <col min="5" max="6" width="15.7109375" customWidth="1"/>
    <col min="7" max="7" width="40.7109375" customWidth="1"/>
    <col min="8" max="9" width="15.7109375" customWidth="1"/>
    <col min="10" max="11" width="10.7109375" customWidth="1"/>
    <col min="12" max="12" width="12.140625" customWidth="1"/>
    <col min="13" max="13" width="13.7109375" style="21" customWidth="1"/>
    <col min="14" max="14" width="14.85546875" customWidth="1"/>
    <col min="15" max="16" width="10.7109375" customWidth="1"/>
    <col min="17" max="17" width="30.7109375" customWidth="1"/>
    <col min="18" max="19" width="17.7109375" customWidth="1"/>
    <col min="20" max="20" width="30.7109375" customWidth="1"/>
    <col min="21" max="21" width="8.7109375" customWidth="1"/>
  </cols>
  <sheetData>
    <row r="1" spans="1:21" ht="38.25" x14ac:dyDescent="0.25">
      <c r="A1" s="42" t="s">
        <v>0</v>
      </c>
      <c r="B1" s="42" t="s">
        <v>1</v>
      </c>
      <c r="C1" s="42" t="s">
        <v>2</v>
      </c>
      <c r="D1" s="42" t="s">
        <v>3</v>
      </c>
      <c r="E1" s="42" t="s">
        <v>4</v>
      </c>
      <c r="F1" s="42" t="s">
        <v>5</v>
      </c>
      <c r="G1" s="42" t="s">
        <v>6</v>
      </c>
      <c r="H1" s="42" t="s">
        <v>7</v>
      </c>
      <c r="I1" s="42" t="s">
        <v>8</v>
      </c>
      <c r="J1" s="42" t="s">
        <v>9</v>
      </c>
      <c r="K1" s="42" t="s">
        <v>10</v>
      </c>
      <c r="L1" s="42" t="s">
        <v>11</v>
      </c>
      <c r="M1" s="43" t="s">
        <v>12</v>
      </c>
      <c r="N1" s="42" t="s">
        <v>13</v>
      </c>
      <c r="O1" s="42" t="s">
        <v>14</v>
      </c>
      <c r="P1" s="42" t="s">
        <v>15</v>
      </c>
      <c r="Q1" s="42" t="s">
        <v>16</v>
      </c>
      <c r="R1" s="42" t="s">
        <v>17</v>
      </c>
      <c r="S1" s="42" t="s">
        <v>18</v>
      </c>
      <c r="T1" s="42" t="s">
        <v>16</v>
      </c>
      <c r="U1" s="44" t="s">
        <v>19</v>
      </c>
    </row>
    <row r="2" spans="1:21" x14ac:dyDescent="0.25">
      <c r="A2" s="45" t="s">
        <v>20</v>
      </c>
      <c r="B2" s="75">
        <v>45764</v>
      </c>
      <c r="C2" s="45" t="s">
        <v>168</v>
      </c>
      <c r="D2" s="47" t="s">
        <v>175</v>
      </c>
      <c r="E2" s="45" t="s">
        <v>316</v>
      </c>
      <c r="F2" s="45" t="s">
        <v>581</v>
      </c>
      <c r="G2" s="45" t="s">
        <v>2588</v>
      </c>
      <c r="H2" s="45" t="s">
        <v>1042</v>
      </c>
      <c r="I2" s="45" t="s">
        <v>2589</v>
      </c>
      <c r="J2" s="45">
        <v>123123111</v>
      </c>
      <c r="K2" s="45" t="s">
        <v>2418</v>
      </c>
      <c r="L2" s="48">
        <v>10</v>
      </c>
      <c r="M2" s="49">
        <v>202412131089</v>
      </c>
      <c r="N2" s="50" t="s">
        <v>28</v>
      </c>
      <c r="O2" s="50"/>
      <c r="P2" s="50"/>
      <c r="Q2" s="51" t="s">
        <v>2590</v>
      </c>
      <c r="R2" s="50"/>
      <c r="S2" s="50"/>
      <c r="T2" s="51"/>
      <c r="U2" s="50"/>
    </row>
    <row r="3" spans="1:21" x14ac:dyDescent="0.25">
      <c r="A3" s="45" t="s">
        <v>20</v>
      </c>
      <c r="B3" s="46">
        <v>45763</v>
      </c>
      <c r="C3" s="45" t="s">
        <v>168</v>
      </c>
      <c r="D3" s="47"/>
      <c r="E3" s="45" t="s">
        <v>563</v>
      </c>
      <c r="F3" s="45" t="s">
        <v>564</v>
      </c>
      <c r="G3" s="45" t="s">
        <v>1101</v>
      </c>
      <c r="H3" s="45" t="s">
        <v>1476</v>
      </c>
      <c r="I3" s="45" t="s">
        <v>1997</v>
      </c>
      <c r="J3" s="45">
        <v>459970292</v>
      </c>
      <c r="K3" s="45" t="s">
        <v>1843</v>
      </c>
      <c r="L3" s="48">
        <v>14.77</v>
      </c>
      <c r="M3" s="49">
        <v>202412131169</v>
      </c>
      <c r="N3" s="50" t="s">
        <v>28</v>
      </c>
      <c r="O3" s="50"/>
      <c r="P3" s="50"/>
      <c r="Q3" s="51"/>
      <c r="R3" s="50"/>
      <c r="S3" s="50"/>
      <c r="T3" s="51"/>
      <c r="U3" s="50"/>
    </row>
    <row r="4" spans="1:21" x14ac:dyDescent="0.25">
      <c r="A4" s="45" t="s">
        <v>20</v>
      </c>
      <c r="B4" s="46">
        <v>45763</v>
      </c>
      <c r="C4" s="45" t="s">
        <v>168</v>
      </c>
      <c r="D4" s="47"/>
      <c r="E4" s="45" t="s">
        <v>563</v>
      </c>
      <c r="F4" s="45" t="s">
        <v>564</v>
      </c>
      <c r="G4" s="45" t="s">
        <v>98</v>
      </c>
      <c r="H4" s="45" t="s">
        <v>1052</v>
      </c>
      <c r="I4" s="45" t="s">
        <v>2591</v>
      </c>
      <c r="J4" s="45">
        <v>576416110</v>
      </c>
      <c r="K4" s="45" t="s">
        <v>2142</v>
      </c>
      <c r="L4" s="48">
        <v>12</v>
      </c>
      <c r="M4" s="49">
        <v>202412131164</v>
      </c>
      <c r="N4" s="50" t="s">
        <v>28</v>
      </c>
      <c r="O4" s="50"/>
      <c r="P4" s="50"/>
      <c r="Q4" s="51"/>
      <c r="R4" s="50"/>
      <c r="S4" s="50"/>
      <c r="T4" s="51"/>
      <c r="U4" s="50"/>
    </row>
    <row r="5" spans="1:21" x14ac:dyDescent="0.25">
      <c r="A5" s="45" t="s">
        <v>20</v>
      </c>
      <c r="B5" s="46">
        <v>45763</v>
      </c>
      <c r="C5" s="45" t="s">
        <v>168</v>
      </c>
      <c r="D5" s="47"/>
      <c r="E5" s="45" t="s">
        <v>563</v>
      </c>
      <c r="F5" s="45" t="s">
        <v>564</v>
      </c>
      <c r="G5" s="45" t="s">
        <v>98</v>
      </c>
      <c r="H5" s="45" t="s">
        <v>1052</v>
      </c>
      <c r="I5" s="45" t="s">
        <v>2591</v>
      </c>
      <c r="J5" s="45">
        <v>576416110</v>
      </c>
      <c r="K5" s="45" t="s">
        <v>2360</v>
      </c>
      <c r="L5" s="48">
        <v>12</v>
      </c>
      <c r="M5" s="49">
        <v>202412131165</v>
      </c>
      <c r="N5" s="50" t="s">
        <v>28</v>
      </c>
      <c r="O5" s="50"/>
      <c r="P5" s="50"/>
      <c r="Q5" s="51"/>
      <c r="R5" s="50"/>
      <c r="S5" s="50"/>
      <c r="T5" s="51"/>
      <c r="U5" s="50"/>
    </row>
    <row r="6" spans="1:21" x14ac:dyDescent="0.25">
      <c r="A6" s="45" t="s">
        <v>20</v>
      </c>
      <c r="B6" s="46">
        <v>45763</v>
      </c>
      <c r="C6" s="45" t="s">
        <v>21</v>
      </c>
      <c r="D6" s="47" t="s">
        <v>168</v>
      </c>
      <c r="E6" s="45" t="s">
        <v>563</v>
      </c>
      <c r="F6" s="45" t="s">
        <v>564</v>
      </c>
      <c r="G6" s="45" t="s">
        <v>30</v>
      </c>
      <c r="H6" s="45" t="s">
        <v>2592</v>
      </c>
      <c r="I6" s="45" t="s">
        <v>2593</v>
      </c>
      <c r="J6" s="45">
        <v>576479732</v>
      </c>
      <c r="K6" s="45" t="s">
        <v>1190</v>
      </c>
      <c r="L6" s="48">
        <v>40.72</v>
      </c>
      <c r="M6" s="49">
        <v>202412131163</v>
      </c>
      <c r="N6" s="50" t="s">
        <v>28</v>
      </c>
      <c r="O6" s="50"/>
      <c r="P6" s="50"/>
      <c r="Q6" s="51"/>
      <c r="R6" s="50"/>
      <c r="S6" s="50"/>
      <c r="T6" s="51"/>
      <c r="U6" s="50"/>
    </row>
    <row r="7" spans="1:21" x14ac:dyDescent="0.25">
      <c r="A7" s="45" t="s">
        <v>20</v>
      </c>
      <c r="B7" s="46">
        <v>45763</v>
      </c>
      <c r="C7" s="45" t="s">
        <v>21</v>
      </c>
      <c r="D7" s="47" t="s">
        <v>168</v>
      </c>
      <c r="E7" s="45" t="s">
        <v>563</v>
      </c>
      <c r="F7" s="45" t="s">
        <v>564</v>
      </c>
      <c r="G7" s="45" t="s">
        <v>2594</v>
      </c>
      <c r="H7" s="45" t="s">
        <v>1362</v>
      </c>
      <c r="I7" s="45" t="s">
        <v>2595</v>
      </c>
      <c r="J7" s="45">
        <v>616863671</v>
      </c>
      <c r="K7" s="45" t="s">
        <v>2142</v>
      </c>
      <c r="L7" s="48">
        <v>104.87</v>
      </c>
      <c r="M7" s="49">
        <v>202412131168</v>
      </c>
      <c r="N7" s="50" t="s">
        <v>28</v>
      </c>
      <c r="O7" s="50"/>
      <c r="P7" s="50"/>
      <c r="Q7" s="51"/>
      <c r="R7" s="50"/>
      <c r="S7" s="50"/>
      <c r="T7" s="51"/>
      <c r="U7" s="50"/>
    </row>
    <row r="8" spans="1:21" x14ac:dyDescent="0.25">
      <c r="A8" s="45" t="s">
        <v>20</v>
      </c>
      <c r="B8" s="46">
        <v>45763</v>
      </c>
      <c r="C8" s="45" t="s">
        <v>21</v>
      </c>
      <c r="D8" s="47" t="s">
        <v>168</v>
      </c>
      <c r="E8" s="45" t="s">
        <v>22</v>
      </c>
      <c r="F8" s="45" t="s">
        <v>23</v>
      </c>
      <c r="G8" s="45" t="s">
        <v>210</v>
      </c>
      <c r="H8" s="45" t="s">
        <v>2596</v>
      </c>
      <c r="I8" s="45" t="s">
        <v>1949</v>
      </c>
      <c r="J8" s="45">
        <v>518849564</v>
      </c>
      <c r="K8" s="45" t="s">
        <v>2597</v>
      </c>
      <c r="L8" s="48">
        <v>461.1</v>
      </c>
      <c r="M8" s="49">
        <v>202412091311</v>
      </c>
      <c r="N8" s="50" t="s">
        <v>28</v>
      </c>
      <c r="O8" s="50"/>
      <c r="P8" s="50"/>
      <c r="Q8" s="51"/>
      <c r="R8" s="50"/>
      <c r="S8" s="50"/>
      <c r="T8" s="51"/>
      <c r="U8" s="50"/>
    </row>
    <row r="9" spans="1:21" x14ac:dyDescent="0.25">
      <c r="A9" s="45" t="s">
        <v>20</v>
      </c>
      <c r="B9" s="46">
        <v>45763</v>
      </c>
      <c r="C9" s="45" t="s">
        <v>21</v>
      </c>
      <c r="D9" s="47" t="s">
        <v>168</v>
      </c>
      <c r="E9" s="45" t="s">
        <v>22</v>
      </c>
      <c r="F9" s="45" t="s">
        <v>23</v>
      </c>
      <c r="G9" s="45" t="s">
        <v>2598</v>
      </c>
      <c r="H9" s="45" t="s">
        <v>2599</v>
      </c>
      <c r="I9" s="45" t="s">
        <v>2600</v>
      </c>
      <c r="J9" s="45">
        <v>519335330</v>
      </c>
      <c r="K9" s="45" t="s">
        <v>2601</v>
      </c>
      <c r="L9" s="48">
        <v>71.900000000000006</v>
      </c>
      <c r="M9" s="49">
        <v>20241105315</v>
      </c>
      <c r="N9" s="50" t="s">
        <v>28</v>
      </c>
      <c r="O9" s="50"/>
      <c r="P9" s="50"/>
      <c r="Q9" s="51"/>
      <c r="R9" s="50"/>
      <c r="S9" s="50"/>
      <c r="T9" s="51"/>
      <c r="U9" s="50"/>
    </row>
    <row r="10" spans="1:21" x14ac:dyDescent="0.25">
      <c r="A10" s="45" t="s">
        <v>29</v>
      </c>
      <c r="B10" s="46">
        <v>45764</v>
      </c>
      <c r="C10" s="45" t="s">
        <v>21</v>
      </c>
      <c r="D10" s="47" t="s">
        <v>168</v>
      </c>
      <c r="E10" s="45" t="s">
        <v>22</v>
      </c>
      <c r="F10" s="45" t="s">
        <v>23</v>
      </c>
      <c r="G10" s="45" t="s">
        <v>376</v>
      </c>
      <c r="H10" s="45" t="s">
        <v>2602</v>
      </c>
      <c r="I10" s="45" t="s">
        <v>2603</v>
      </c>
      <c r="J10" s="45">
        <v>519635295</v>
      </c>
      <c r="K10" s="45" t="s">
        <v>301</v>
      </c>
      <c r="L10" s="48">
        <v>600</v>
      </c>
      <c r="M10" s="49">
        <v>20241127263</v>
      </c>
      <c r="N10" s="50" t="s">
        <v>28</v>
      </c>
      <c r="O10" s="50"/>
      <c r="P10" s="50"/>
      <c r="Q10" s="51"/>
      <c r="R10" s="50"/>
      <c r="S10" s="50"/>
      <c r="T10" s="51"/>
      <c r="U10" s="50"/>
    </row>
    <row r="11" spans="1:21" x14ac:dyDescent="0.25">
      <c r="A11" s="45" t="s">
        <v>20</v>
      </c>
      <c r="B11" s="46">
        <v>45764</v>
      </c>
      <c r="C11" s="45" t="s">
        <v>244</v>
      </c>
      <c r="D11" s="47" t="s">
        <v>168</v>
      </c>
      <c r="E11" s="45" t="s">
        <v>22</v>
      </c>
      <c r="F11" s="45" t="s">
        <v>23</v>
      </c>
      <c r="G11" s="45" t="s">
        <v>376</v>
      </c>
      <c r="H11" s="45" t="s">
        <v>1681</v>
      </c>
      <c r="I11" s="45" t="s">
        <v>2604</v>
      </c>
      <c r="J11" s="45">
        <v>529757624</v>
      </c>
      <c r="K11" s="45" t="s">
        <v>293</v>
      </c>
      <c r="L11" s="48">
        <v>13.99</v>
      </c>
      <c r="M11" s="49">
        <v>20241210835</v>
      </c>
      <c r="N11" s="50" t="s">
        <v>28</v>
      </c>
      <c r="O11" s="50"/>
      <c r="P11" s="50"/>
      <c r="Q11" s="51"/>
      <c r="R11" s="50"/>
      <c r="S11" s="50"/>
      <c r="T11" s="51"/>
      <c r="U11" s="50"/>
    </row>
    <row r="12" spans="1:21" x14ac:dyDescent="0.25">
      <c r="A12" s="45" t="s">
        <v>20</v>
      </c>
      <c r="B12" s="46">
        <v>45764</v>
      </c>
      <c r="C12" s="45" t="s">
        <v>244</v>
      </c>
      <c r="D12" s="47" t="s">
        <v>168</v>
      </c>
      <c r="E12" s="45" t="s">
        <v>22</v>
      </c>
      <c r="F12" s="45" t="s">
        <v>23</v>
      </c>
      <c r="G12" s="45" t="s">
        <v>376</v>
      </c>
      <c r="H12" s="45" t="s">
        <v>1681</v>
      </c>
      <c r="I12" s="45" t="s">
        <v>2604</v>
      </c>
      <c r="J12" s="45">
        <v>529757624</v>
      </c>
      <c r="K12" s="45" t="s">
        <v>2605</v>
      </c>
      <c r="L12" s="48">
        <v>9.99</v>
      </c>
      <c r="M12" s="49">
        <v>20241210836</v>
      </c>
      <c r="N12" s="50" t="s">
        <v>28</v>
      </c>
      <c r="O12" s="50"/>
      <c r="P12" s="50"/>
      <c r="Q12" s="51"/>
      <c r="R12" s="50"/>
      <c r="S12" s="50"/>
      <c r="T12" s="51"/>
      <c r="U12" s="50"/>
    </row>
    <row r="13" spans="1:21" x14ac:dyDescent="0.25">
      <c r="A13" s="45" t="s">
        <v>20</v>
      </c>
      <c r="B13" s="46">
        <v>45764</v>
      </c>
      <c r="C13" s="45" t="s">
        <v>244</v>
      </c>
      <c r="D13" s="47" t="s">
        <v>168</v>
      </c>
      <c r="E13" s="45" t="s">
        <v>22</v>
      </c>
      <c r="F13" s="45" t="s">
        <v>23</v>
      </c>
      <c r="G13" s="45" t="s">
        <v>376</v>
      </c>
      <c r="H13" s="45" t="s">
        <v>1681</v>
      </c>
      <c r="I13" s="45" t="s">
        <v>2604</v>
      </c>
      <c r="J13" s="45">
        <v>529757624</v>
      </c>
      <c r="K13" s="45" t="s">
        <v>260</v>
      </c>
      <c r="L13" s="48">
        <v>17.059999999999999</v>
      </c>
      <c r="M13" s="49">
        <v>20241210837</v>
      </c>
      <c r="N13" s="50" t="s">
        <v>28</v>
      </c>
      <c r="O13" s="50"/>
      <c r="P13" s="50"/>
      <c r="Q13" s="51"/>
      <c r="R13" s="50"/>
      <c r="S13" s="50"/>
      <c r="T13" s="51"/>
      <c r="U13" s="50"/>
    </row>
    <row r="14" spans="1:21" x14ac:dyDescent="0.25">
      <c r="A14" s="45" t="s">
        <v>20</v>
      </c>
      <c r="B14" s="46">
        <v>45764</v>
      </c>
      <c r="C14" s="45" t="s">
        <v>244</v>
      </c>
      <c r="D14" s="47" t="s">
        <v>168</v>
      </c>
      <c r="E14" s="45" t="s">
        <v>22</v>
      </c>
      <c r="F14" s="45" t="s">
        <v>23</v>
      </c>
      <c r="G14" s="45" t="s">
        <v>376</v>
      </c>
      <c r="H14" s="45" t="s">
        <v>1681</v>
      </c>
      <c r="I14" s="45" t="s">
        <v>2604</v>
      </c>
      <c r="J14" s="45">
        <v>529757624</v>
      </c>
      <c r="K14" s="45" t="s">
        <v>260</v>
      </c>
      <c r="L14" s="48">
        <v>23.99</v>
      </c>
      <c r="M14" s="49">
        <v>20241210838</v>
      </c>
      <c r="N14" s="50" t="s">
        <v>28</v>
      </c>
      <c r="O14" s="50"/>
      <c r="P14" s="50"/>
      <c r="Q14" s="51"/>
      <c r="R14" s="50"/>
      <c r="S14" s="50"/>
      <c r="T14" s="51"/>
      <c r="U14" s="50"/>
    </row>
    <row r="15" spans="1:21" x14ac:dyDescent="0.25">
      <c r="A15" s="45" t="s">
        <v>20</v>
      </c>
      <c r="B15" s="46">
        <v>45764</v>
      </c>
      <c r="C15" s="45" t="s">
        <v>244</v>
      </c>
      <c r="D15" s="47" t="s">
        <v>168</v>
      </c>
      <c r="E15" s="45" t="s">
        <v>22</v>
      </c>
      <c r="F15" s="45" t="s">
        <v>23</v>
      </c>
      <c r="G15" s="45" t="s">
        <v>376</v>
      </c>
      <c r="H15" s="45" t="s">
        <v>1681</v>
      </c>
      <c r="I15" s="45" t="s">
        <v>2604</v>
      </c>
      <c r="J15" s="45">
        <v>529757624</v>
      </c>
      <c r="K15" s="45" t="s">
        <v>105</v>
      </c>
      <c r="L15" s="48">
        <v>36.99</v>
      </c>
      <c r="M15" s="49">
        <v>20241210831</v>
      </c>
      <c r="N15" s="50" t="s">
        <v>28</v>
      </c>
      <c r="O15" s="50"/>
      <c r="P15" s="50"/>
      <c r="Q15" s="51"/>
      <c r="R15" s="50"/>
      <c r="S15" s="50"/>
      <c r="T15" s="51"/>
      <c r="U15" s="50"/>
    </row>
    <row r="16" spans="1:21" x14ac:dyDescent="0.25">
      <c r="A16" s="45" t="s">
        <v>20</v>
      </c>
      <c r="B16" s="46">
        <v>45764</v>
      </c>
      <c r="C16" s="45" t="s">
        <v>244</v>
      </c>
      <c r="D16" s="47" t="s">
        <v>168</v>
      </c>
      <c r="E16" s="45" t="s">
        <v>22</v>
      </c>
      <c r="F16" s="45" t="s">
        <v>23</v>
      </c>
      <c r="G16" s="45" t="s">
        <v>376</v>
      </c>
      <c r="H16" s="45" t="s">
        <v>1681</v>
      </c>
      <c r="I16" s="45" t="s">
        <v>2604</v>
      </c>
      <c r="J16" s="45">
        <v>529757624</v>
      </c>
      <c r="K16" s="45" t="s">
        <v>105</v>
      </c>
      <c r="L16" s="48">
        <v>59.99</v>
      </c>
      <c r="M16" s="49">
        <v>20241210832</v>
      </c>
      <c r="N16" s="50" t="s">
        <v>28</v>
      </c>
      <c r="O16" s="50"/>
      <c r="P16" s="50"/>
      <c r="Q16" s="51"/>
      <c r="R16" s="50"/>
      <c r="S16" s="50"/>
      <c r="T16" s="51"/>
      <c r="U16" s="50"/>
    </row>
    <row r="17" spans="1:21" x14ac:dyDescent="0.25">
      <c r="A17" s="45" t="s">
        <v>20</v>
      </c>
      <c r="B17" s="46">
        <v>45764</v>
      </c>
      <c r="C17" s="45" t="s">
        <v>244</v>
      </c>
      <c r="D17" s="47" t="s">
        <v>168</v>
      </c>
      <c r="E17" s="45" t="s">
        <v>22</v>
      </c>
      <c r="F17" s="45" t="s">
        <v>23</v>
      </c>
      <c r="G17" s="45" t="s">
        <v>376</v>
      </c>
      <c r="H17" s="45" t="s">
        <v>1681</v>
      </c>
      <c r="I17" s="45" t="s">
        <v>2604</v>
      </c>
      <c r="J17" s="45">
        <v>529757624</v>
      </c>
      <c r="K17" s="45" t="s">
        <v>1818</v>
      </c>
      <c r="L17" s="48">
        <v>23.99</v>
      </c>
      <c r="M17" s="49">
        <v>20241210833</v>
      </c>
      <c r="N17" s="50" t="s">
        <v>28</v>
      </c>
      <c r="O17" s="50"/>
      <c r="P17" s="50"/>
      <c r="Q17" s="51"/>
      <c r="R17" s="50"/>
      <c r="S17" s="50"/>
      <c r="T17" s="51"/>
      <c r="U17" s="50"/>
    </row>
    <row r="18" spans="1:21" x14ac:dyDescent="0.25">
      <c r="A18" s="45" t="s">
        <v>20</v>
      </c>
      <c r="B18" s="46">
        <v>45764</v>
      </c>
      <c r="C18" s="45" t="s">
        <v>244</v>
      </c>
      <c r="D18" s="47" t="s">
        <v>168</v>
      </c>
      <c r="E18" s="45" t="s">
        <v>22</v>
      </c>
      <c r="F18" s="45" t="s">
        <v>23</v>
      </c>
      <c r="G18" s="45" t="s">
        <v>376</v>
      </c>
      <c r="H18" s="45" t="s">
        <v>1681</v>
      </c>
      <c r="I18" s="45" t="s">
        <v>2604</v>
      </c>
      <c r="J18" s="45">
        <v>529757624</v>
      </c>
      <c r="K18" s="45" t="s">
        <v>1818</v>
      </c>
      <c r="L18" s="48">
        <v>5</v>
      </c>
      <c r="M18" s="49">
        <v>20241210834</v>
      </c>
      <c r="N18" s="50" t="s">
        <v>28</v>
      </c>
      <c r="O18" s="50"/>
      <c r="P18" s="50"/>
      <c r="Q18" s="51"/>
      <c r="R18" s="50"/>
      <c r="S18" s="50"/>
      <c r="T18" s="51"/>
      <c r="U18" s="50"/>
    </row>
    <row r="19" spans="1:21" x14ac:dyDescent="0.25">
      <c r="A19" s="45" t="s">
        <v>29</v>
      </c>
      <c r="B19" s="46">
        <v>45764</v>
      </c>
      <c r="C19" s="45" t="s">
        <v>244</v>
      </c>
      <c r="D19" s="47" t="s">
        <v>168</v>
      </c>
      <c r="E19" s="45" t="s">
        <v>22</v>
      </c>
      <c r="F19" s="45" t="s">
        <v>23</v>
      </c>
      <c r="G19" s="45" t="s">
        <v>1728</v>
      </c>
      <c r="H19" s="45" t="s">
        <v>411</v>
      </c>
      <c r="I19" s="45" t="s">
        <v>2606</v>
      </c>
      <c r="J19" s="45">
        <v>540354278</v>
      </c>
      <c r="K19" s="45" t="s">
        <v>2372</v>
      </c>
      <c r="L19" s="48">
        <v>361.13</v>
      </c>
      <c r="M19" s="49">
        <v>20241206872</v>
      </c>
      <c r="N19" s="50" t="s">
        <v>28</v>
      </c>
      <c r="O19" s="50"/>
      <c r="P19" s="50"/>
      <c r="Q19" s="51"/>
      <c r="R19" s="50"/>
      <c r="S19" s="50"/>
      <c r="T19" s="51"/>
      <c r="U19" s="50"/>
    </row>
    <row r="20" spans="1:21" x14ac:dyDescent="0.25">
      <c r="A20" s="45" t="s">
        <v>20</v>
      </c>
      <c r="B20" s="46">
        <v>45764</v>
      </c>
      <c r="C20" s="45" t="s">
        <v>244</v>
      </c>
      <c r="D20" s="47" t="s">
        <v>168</v>
      </c>
      <c r="E20" s="45" t="s">
        <v>22</v>
      </c>
      <c r="F20" s="45" t="s">
        <v>23</v>
      </c>
      <c r="G20" s="45" t="s">
        <v>24</v>
      </c>
      <c r="H20" s="45" t="s">
        <v>84</v>
      </c>
      <c r="I20" s="45" t="s">
        <v>2607</v>
      </c>
      <c r="J20" s="45">
        <v>546977270</v>
      </c>
      <c r="K20" s="45" t="s">
        <v>48</v>
      </c>
      <c r="L20" s="48">
        <v>640</v>
      </c>
      <c r="M20" s="49">
        <v>20241209849</v>
      </c>
      <c r="N20" s="50" t="s">
        <v>28</v>
      </c>
      <c r="O20" s="50"/>
      <c r="P20" s="50"/>
      <c r="Q20" s="51"/>
      <c r="R20" s="50"/>
      <c r="S20" s="50"/>
      <c r="T20" s="51"/>
      <c r="U20" s="50"/>
    </row>
    <row r="21" spans="1:21" x14ac:dyDescent="0.25">
      <c r="A21" s="45" t="s">
        <v>20</v>
      </c>
      <c r="B21" s="46">
        <v>45764</v>
      </c>
      <c r="C21" s="45" t="s">
        <v>244</v>
      </c>
      <c r="D21" s="47" t="s">
        <v>168</v>
      </c>
      <c r="E21" s="45" t="s">
        <v>22</v>
      </c>
      <c r="F21" s="45" t="s">
        <v>23</v>
      </c>
      <c r="G21" s="45" t="s">
        <v>2608</v>
      </c>
      <c r="H21" s="45" t="s">
        <v>2609</v>
      </c>
      <c r="I21" s="45" t="s">
        <v>855</v>
      </c>
      <c r="J21" s="45">
        <v>552958829</v>
      </c>
      <c r="K21" s="45" t="s">
        <v>2079</v>
      </c>
      <c r="L21" s="48">
        <v>15</v>
      </c>
      <c r="M21" s="49">
        <v>20241209953</v>
      </c>
      <c r="N21" s="50" t="s">
        <v>28</v>
      </c>
      <c r="O21" s="50"/>
      <c r="P21" s="50"/>
      <c r="Q21" s="51"/>
      <c r="R21" s="50"/>
      <c r="S21" s="50"/>
      <c r="T21" s="51"/>
      <c r="U21" s="50"/>
    </row>
    <row r="22" spans="1:21" x14ac:dyDescent="0.25">
      <c r="A22" s="45" t="s">
        <v>20</v>
      </c>
      <c r="B22" s="46">
        <v>45764</v>
      </c>
      <c r="C22" s="45" t="s">
        <v>244</v>
      </c>
      <c r="D22" s="47" t="s">
        <v>168</v>
      </c>
      <c r="E22" s="45" t="s">
        <v>22</v>
      </c>
      <c r="F22" s="45" t="s">
        <v>23</v>
      </c>
      <c r="G22" s="45" t="s">
        <v>2608</v>
      </c>
      <c r="H22" s="45" t="s">
        <v>2609</v>
      </c>
      <c r="I22" s="45" t="s">
        <v>855</v>
      </c>
      <c r="J22" s="45">
        <v>552958829</v>
      </c>
      <c r="K22" s="45" t="s">
        <v>2079</v>
      </c>
      <c r="L22" s="48">
        <v>15</v>
      </c>
      <c r="M22" s="49">
        <v>202412091109</v>
      </c>
      <c r="N22" s="50" t="s">
        <v>28</v>
      </c>
      <c r="O22" s="50"/>
      <c r="P22" s="50"/>
      <c r="Q22" s="51"/>
      <c r="R22" s="50"/>
      <c r="S22" s="50"/>
      <c r="T22" s="51"/>
      <c r="U22" s="50"/>
    </row>
    <row r="23" spans="1:21" x14ac:dyDescent="0.25">
      <c r="A23" s="45" t="s">
        <v>20</v>
      </c>
      <c r="B23" s="46">
        <v>45764</v>
      </c>
      <c r="C23" s="45" t="s">
        <v>244</v>
      </c>
      <c r="D23" s="47" t="s">
        <v>168</v>
      </c>
      <c r="E23" s="45" t="s">
        <v>64</v>
      </c>
      <c r="F23" s="45" t="s">
        <v>65</v>
      </c>
      <c r="G23" s="45" t="s">
        <v>2610</v>
      </c>
      <c r="H23" s="45" t="s">
        <v>2611</v>
      </c>
      <c r="I23" s="45" t="s">
        <v>2612</v>
      </c>
      <c r="J23" s="45">
        <v>445820064</v>
      </c>
      <c r="K23" s="45" t="s">
        <v>2597</v>
      </c>
      <c r="L23" s="48">
        <v>1137.76</v>
      </c>
      <c r="M23" s="49">
        <v>20241212547</v>
      </c>
      <c r="N23" s="50" t="s">
        <v>28</v>
      </c>
      <c r="O23" s="50"/>
      <c r="P23" s="50"/>
      <c r="Q23" s="51"/>
      <c r="R23" s="50"/>
      <c r="S23" s="50"/>
      <c r="T23" s="51"/>
      <c r="U23" s="50"/>
    </row>
    <row r="24" spans="1:21" x14ac:dyDescent="0.25">
      <c r="A24" s="45" t="s">
        <v>20</v>
      </c>
      <c r="B24" s="46">
        <v>45764</v>
      </c>
      <c r="C24" s="45" t="s">
        <v>244</v>
      </c>
      <c r="D24" s="47" t="s">
        <v>168</v>
      </c>
      <c r="E24" s="45" t="s">
        <v>64</v>
      </c>
      <c r="F24" s="45" t="s">
        <v>65</v>
      </c>
      <c r="G24" s="45" t="s">
        <v>178</v>
      </c>
      <c r="H24" s="45" t="s">
        <v>2409</v>
      </c>
      <c r="I24" s="45" t="s">
        <v>2410</v>
      </c>
      <c r="J24" s="45">
        <v>474114744</v>
      </c>
      <c r="K24" s="45" t="s">
        <v>1347</v>
      </c>
      <c r="L24" s="48">
        <v>2720</v>
      </c>
      <c r="M24" s="49">
        <v>20241210783</v>
      </c>
      <c r="N24" s="50" t="s">
        <v>28</v>
      </c>
      <c r="O24" s="50"/>
      <c r="P24" s="50"/>
      <c r="Q24" s="51"/>
      <c r="R24" s="50"/>
      <c r="S24" s="50"/>
      <c r="T24" s="51"/>
      <c r="U24" s="50"/>
    </row>
    <row r="25" spans="1:21" x14ac:dyDescent="0.25">
      <c r="A25" s="45" t="s">
        <v>20</v>
      </c>
      <c r="B25" s="46">
        <v>45764</v>
      </c>
      <c r="C25" s="45" t="s">
        <v>244</v>
      </c>
      <c r="D25" s="47" t="s">
        <v>168</v>
      </c>
      <c r="E25" s="45" t="s">
        <v>64</v>
      </c>
      <c r="F25" s="45" t="s">
        <v>65</v>
      </c>
      <c r="G25" s="45" t="s">
        <v>900</v>
      </c>
      <c r="H25" s="45" t="s">
        <v>2613</v>
      </c>
      <c r="I25" s="45" t="s">
        <v>2614</v>
      </c>
      <c r="J25" s="45">
        <v>518061072</v>
      </c>
      <c r="K25" s="45" t="s">
        <v>1908</v>
      </c>
      <c r="L25" s="48">
        <v>496.55</v>
      </c>
      <c r="M25" s="49">
        <v>20241213981</v>
      </c>
      <c r="N25" s="50" t="s">
        <v>28</v>
      </c>
      <c r="O25" s="50"/>
      <c r="P25" s="50"/>
      <c r="Q25" s="51"/>
      <c r="R25" s="50"/>
      <c r="S25" s="50"/>
      <c r="T25" s="51"/>
      <c r="U25" s="50"/>
    </row>
    <row r="26" spans="1:21" x14ac:dyDescent="0.25">
      <c r="A26" s="45" t="s">
        <v>20</v>
      </c>
      <c r="B26" s="46">
        <v>45764</v>
      </c>
      <c r="C26" s="45" t="s">
        <v>34</v>
      </c>
      <c r="D26" s="47" t="s">
        <v>168</v>
      </c>
      <c r="E26" s="45" t="s">
        <v>64</v>
      </c>
      <c r="F26" s="45" t="s">
        <v>65</v>
      </c>
      <c r="G26" s="45" t="s">
        <v>900</v>
      </c>
      <c r="H26" s="45" t="s">
        <v>2613</v>
      </c>
      <c r="I26" s="45" t="s">
        <v>2614</v>
      </c>
      <c r="J26" s="45">
        <v>518061072</v>
      </c>
      <c r="K26" s="45" t="s">
        <v>1908</v>
      </c>
      <c r="L26" s="48">
        <v>147.97999999999999</v>
      </c>
      <c r="M26" s="49">
        <v>20241213982</v>
      </c>
      <c r="N26" s="50" t="s">
        <v>28</v>
      </c>
      <c r="O26" s="50"/>
      <c r="P26" s="50"/>
      <c r="Q26" s="51"/>
      <c r="R26" s="50"/>
      <c r="S26" s="50"/>
      <c r="T26" s="51"/>
      <c r="U26" s="50"/>
    </row>
    <row r="27" spans="1:21" x14ac:dyDescent="0.25">
      <c r="A27" s="45" t="s">
        <v>20</v>
      </c>
      <c r="B27" s="46">
        <v>45764</v>
      </c>
      <c r="C27" s="45" t="s">
        <v>34</v>
      </c>
      <c r="D27" s="47" t="s">
        <v>168</v>
      </c>
      <c r="E27" s="45" t="s">
        <v>64</v>
      </c>
      <c r="F27" s="45" t="s">
        <v>65</v>
      </c>
      <c r="G27" s="45" t="s">
        <v>900</v>
      </c>
      <c r="H27" s="45" t="s">
        <v>2613</v>
      </c>
      <c r="I27" s="45" t="s">
        <v>2614</v>
      </c>
      <c r="J27" s="45">
        <v>518061072</v>
      </c>
      <c r="K27" s="45" t="s">
        <v>1908</v>
      </c>
      <c r="L27" s="48">
        <v>142.62</v>
      </c>
      <c r="M27" s="49">
        <v>20241213983</v>
      </c>
      <c r="N27" s="50" t="s">
        <v>28</v>
      </c>
      <c r="O27" s="50"/>
      <c r="P27" s="50"/>
      <c r="Q27" s="51"/>
      <c r="R27" s="50"/>
      <c r="S27" s="50"/>
      <c r="T27" s="51"/>
      <c r="U27" s="50"/>
    </row>
    <row r="28" spans="1:21" x14ac:dyDescent="0.25">
      <c r="A28" s="45" t="s">
        <v>20</v>
      </c>
      <c r="B28" s="46">
        <v>45764</v>
      </c>
      <c r="C28" s="45" t="s">
        <v>34</v>
      </c>
      <c r="D28" s="47" t="s">
        <v>168</v>
      </c>
      <c r="E28" s="45" t="s">
        <v>64</v>
      </c>
      <c r="F28" s="45" t="s">
        <v>65</v>
      </c>
      <c r="G28" s="45" t="s">
        <v>900</v>
      </c>
      <c r="H28" s="45" t="s">
        <v>2613</v>
      </c>
      <c r="I28" s="45" t="s">
        <v>2614</v>
      </c>
      <c r="J28" s="45">
        <v>518061072</v>
      </c>
      <c r="K28" s="45" t="s">
        <v>1908</v>
      </c>
      <c r="L28" s="48">
        <v>82.32</v>
      </c>
      <c r="M28" s="49">
        <v>20241213984</v>
      </c>
      <c r="N28" s="50" t="s">
        <v>28</v>
      </c>
      <c r="O28" s="50"/>
      <c r="P28" s="50"/>
      <c r="Q28" s="51"/>
      <c r="R28" s="50"/>
      <c r="S28" s="50"/>
      <c r="T28" s="51"/>
      <c r="U28" s="50"/>
    </row>
    <row r="29" spans="1:21" x14ac:dyDescent="0.25">
      <c r="A29" s="45" t="s">
        <v>20</v>
      </c>
      <c r="B29" s="46">
        <v>45764</v>
      </c>
      <c r="C29" s="45" t="s">
        <v>34</v>
      </c>
      <c r="D29" s="47" t="s">
        <v>168</v>
      </c>
      <c r="E29" s="45" t="s">
        <v>64</v>
      </c>
      <c r="F29" s="45" t="s">
        <v>65</v>
      </c>
      <c r="G29" s="45" t="s">
        <v>900</v>
      </c>
      <c r="H29" s="45" t="s">
        <v>2613</v>
      </c>
      <c r="I29" s="45" t="s">
        <v>2614</v>
      </c>
      <c r="J29" s="45">
        <v>518061072</v>
      </c>
      <c r="K29" s="45" t="s">
        <v>2177</v>
      </c>
      <c r="L29" s="48">
        <v>8.99</v>
      </c>
      <c r="M29" s="49">
        <v>20241213985</v>
      </c>
      <c r="N29" s="50" t="s">
        <v>28</v>
      </c>
      <c r="O29" s="50"/>
      <c r="P29" s="50"/>
      <c r="Q29" s="51"/>
      <c r="R29" s="50"/>
      <c r="S29" s="50"/>
      <c r="T29" s="51"/>
      <c r="U29" s="50"/>
    </row>
    <row r="30" spans="1:21" x14ac:dyDescent="0.25">
      <c r="A30" s="45" t="s">
        <v>20</v>
      </c>
      <c r="B30" s="46">
        <v>45764</v>
      </c>
      <c r="C30" s="45" t="s">
        <v>34</v>
      </c>
      <c r="D30" s="47" t="s">
        <v>168</v>
      </c>
      <c r="E30" s="45" t="s">
        <v>64</v>
      </c>
      <c r="F30" s="45" t="s">
        <v>65</v>
      </c>
      <c r="G30" s="45" t="s">
        <v>900</v>
      </c>
      <c r="H30" s="45" t="s">
        <v>2613</v>
      </c>
      <c r="I30" s="45" t="s">
        <v>2614</v>
      </c>
      <c r="J30" s="45">
        <v>518061072</v>
      </c>
      <c r="K30" s="45" t="s">
        <v>365</v>
      </c>
      <c r="L30" s="48">
        <v>6.79</v>
      </c>
      <c r="M30" s="49">
        <v>20241213986</v>
      </c>
      <c r="N30" s="50" t="s">
        <v>28</v>
      </c>
      <c r="O30" s="50"/>
      <c r="P30" s="50"/>
      <c r="Q30" s="51"/>
      <c r="R30" s="50"/>
      <c r="S30" s="50"/>
      <c r="T30" s="51"/>
      <c r="U30" s="50"/>
    </row>
    <row r="31" spans="1:21" x14ac:dyDescent="0.25">
      <c r="A31" s="45" t="s">
        <v>20</v>
      </c>
      <c r="B31" s="46">
        <v>45764</v>
      </c>
      <c r="C31" s="45" t="s">
        <v>34</v>
      </c>
      <c r="D31" s="47" t="s">
        <v>168</v>
      </c>
      <c r="E31" s="45" t="s">
        <v>64</v>
      </c>
      <c r="F31" s="45" t="s">
        <v>65</v>
      </c>
      <c r="G31" s="45" t="s">
        <v>900</v>
      </c>
      <c r="H31" s="45" t="s">
        <v>2613</v>
      </c>
      <c r="I31" s="45" t="s">
        <v>2614</v>
      </c>
      <c r="J31" s="45">
        <v>518061072</v>
      </c>
      <c r="K31" s="45" t="s">
        <v>365</v>
      </c>
      <c r="L31" s="48">
        <v>10.35</v>
      </c>
      <c r="M31" s="49">
        <v>20241213987</v>
      </c>
      <c r="N31" s="50" t="s">
        <v>28</v>
      </c>
      <c r="O31" s="50"/>
      <c r="P31" s="50"/>
      <c r="Q31" s="51"/>
      <c r="R31" s="50"/>
      <c r="S31" s="50"/>
      <c r="T31" s="51"/>
      <c r="U31" s="50"/>
    </row>
    <row r="32" spans="1:21" x14ac:dyDescent="0.25">
      <c r="A32" s="45" t="s">
        <v>20</v>
      </c>
      <c r="B32" s="46">
        <v>45764</v>
      </c>
      <c r="C32" s="45" t="s">
        <v>34</v>
      </c>
      <c r="D32" s="47" t="s">
        <v>168</v>
      </c>
      <c r="E32" s="45" t="s">
        <v>64</v>
      </c>
      <c r="F32" s="45" t="s">
        <v>65</v>
      </c>
      <c r="G32" s="45" t="s">
        <v>900</v>
      </c>
      <c r="H32" s="45" t="s">
        <v>2613</v>
      </c>
      <c r="I32" s="45" t="s">
        <v>2614</v>
      </c>
      <c r="J32" s="45">
        <v>518061072</v>
      </c>
      <c r="K32" s="45" t="s">
        <v>1964</v>
      </c>
      <c r="L32" s="48">
        <v>8.99</v>
      </c>
      <c r="M32" s="49">
        <v>20241213988</v>
      </c>
      <c r="N32" s="50" t="s">
        <v>28</v>
      </c>
      <c r="O32" s="50"/>
      <c r="P32" s="50"/>
      <c r="Q32" s="51"/>
      <c r="R32" s="50"/>
      <c r="S32" s="50"/>
      <c r="T32" s="51"/>
      <c r="U32" s="50"/>
    </row>
    <row r="33" spans="1:21" x14ac:dyDescent="0.25">
      <c r="A33" s="45" t="s">
        <v>20</v>
      </c>
      <c r="B33" s="46">
        <v>45764</v>
      </c>
      <c r="C33" s="45" t="s">
        <v>34</v>
      </c>
      <c r="D33" s="47" t="s">
        <v>168</v>
      </c>
      <c r="E33" s="45" t="s">
        <v>64</v>
      </c>
      <c r="F33" s="45" t="s">
        <v>65</v>
      </c>
      <c r="G33" s="45" t="s">
        <v>900</v>
      </c>
      <c r="H33" s="45" t="s">
        <v>2613</v>
      </c>
      <c r="I33" s="45" t="s">
        <v>2614</v>
      </c>
      <c r="J33" s="45">
        <v>518061072</v>
      </c>
      <c r="K33" s="45" t="s">
        <v>2615</v>
      </c>
      <c r="L33" s="48">
        <v>11.74</v>
      </c>
      <c r="M33" s="49">
        <v>20241213989</v>
      </c>
      <c r="N33" s="50" t="s">
        <v>28</v>
      </c>
      <c r="O33" s="50"/>
      <c r="P33" s="50"/>
      <c r="Q33" s="51"/>
      <c r="R33" s="50"/>
      <c r="S33" s="50"/>
      <c r="T33" s="51"/>
      <c r="U33" s="50"/>
    </row>
    <row r="34" spans="1:21" x14ac:dyDescent="0.25">
      <c r="A34" s="45" t="s">
        <v>20</v>
      </c>
      <c r="B34" s="46">
        <v>45764</v>
      </c>
      <c r="C34" s="45" t="s">
        <v>34</v>
      </c>
      <c r="D34" s="47" t="s">
        <v>175</v>
      </c>
      <c r="E34" s="45" t="s">
        <v>64</v>
      </c>
      <c r="F34" s="45" t="s">
        <v>65</v>
      </c>
      <c r="G34" s="45" t="s">
        <v>210</v>
      </c>
      <c r="H34" s="45" t="s">
        <v>2616</v>
      </c>
      <c r="I34" s="45" t="s">
        <v>2617</v>
      </c>
      <c r="J34" s="45">
        <v>518399441</v>
      </c>
      <c r="K34" s="45" t="s">
        <v>2618</v>
      </c>
      <c r="L34" s="48">
        <v>130</v>
      </c>
      <c r="M34" s="49">
        <v>20241211647</v>
      </c>
      <c r="N34" s="50" t="s">
        <v>28</v>
      </c>
      <c r="O34" s="50"/>
      <c r="P34" s="50"/>
      <c r="Q34" s="51"/>
      <c r="R34" s="50"/>
      <c r="S34" s="50"/>
      <c r="T34" s="51"/>
      <c r="U34" s="50"/>
    </row>
    <row r="35" spans="1:21" x14ac:dyDescent="0.25">
      <c r="A35" s="45" t="s">
        <v>20</v>
      </c>
      <c r="B35" s="46">
        <v>45764</v>
      </c>
      <c r="C35" s="45" t="s">
        <v>34</v>
      </c>
      <c r="D35" s="47" t="s">
        <v>175</v>
      </c>
      <c r="E35" s="45" t="s">
        <v>64</v>
      </c>
      <c r="F35" s="45" t="s">
        <v>65</v>
      </c>
      <c r="G35" s="45" t="s">
        <v>210</v>
      </c>
      <c r="H35" s="45" t="s">
        <v>2616</v>
      </c>
      <c r="I35" s="45" t="s">
        <v>2617</v>
      </c>
      <c r="J35" s="45">
        <v>518399441</v>
      </c>
      <c r="K35" s="45" t="s">
        <v>2618</v>
      </c>
      <c r="L35" s="48">
        <v>80</v>
      </c>
      <c r="M35" s="49">
        <v>20241211648</v>
      </c>
      <c r="N35" s="50" t="s">
        <v>28</v>
      </c>
      <c r="O35" s="50"/>
      <c r="P35" s="50"/>
      <c r="Q35" s="51"/>
      <c r="R35" s="50"/>
      <c r="S35" s="50"/>
      <c r="T35" s="51"/>
      <c r="U35" s="50"/>
    </row>
    <row r="36" spans="1:21" x14ac:dyDescent="0.25">
      <c r="A36" s="45" t="s">
        <v>20</v>
      </c>
      <c r="B36" s="46">
        <v>45764</v>
      </c>
      <c r="C36" s="45" t="s">
        <v>34</v>
      </c>
      <c r="D36" s="47" t="s">
        <v>175</v>
      </c>
      <c r="E36" s="45" t="s">
        <v>64</v>
      </c>
      <c r="F36" s="45" t="s">
        <v>65</v>
      </c>
      <c r="G36" s="45" t="s">
        <v>210</v>
      </c>
      <c r="H36" s="45" t="s">
        <v>2616</v>
      </c>
      <c r="I36" s="45" t="s">
        <v>2617</v>
      </c>
      <c r="J36" s="45">
        <v>518399441</v>
      </c>
      <c r="K36" s="45" t="s">
        <v>2447</v>
      </c>
      <c r="L36" s="48">
        <v>315</v>
      </c>
      <c r="M36" s="49">
        <v>20241211650</v>
      </c>
      <c r="N36" s="50" t="s">
        <v>28</v>
      </c>
      <c r="O36" s="50"/>
      <c r="P36" s="50"/>
      <c r="Q36" s="51"/>
      <c r="R36" s="50"/>
      <c r="S36" s="50"/>
      <c r="T36" s="51"/>
      <c r="U36" s="50"/>
    </row>
    <row r="37" spans="1:21" x14ac:dyDescent="0.25">
      <c r="A37" s="45" t="s">
        <v>20</v>
      </c>
      <c r="B37" s="46">
        <v>45764</v>
      </c>
      <c r="C37" s="45" t="s">
        <v>34</v>
      </c>
      <c r="D37" s="47" t="s">
        <v>175</v>
      </c>
      <c r="E37" s="45" t="s">
        <v>64</v>
      </c>
      <c r="F37" s="45" t="s">
        <v>65</v>
      </c>
      <c r="G37" s="45" t="s">
        <v>210</v>
      </c>
      <c r="H37" s="45" t="s">
        <v>2616</v>
      </c>
      <c r="I37" s="45" t="s">
        <v>2617</v>
      </c>
      <c r="J37" s="45">
        <v>518399441</v>
      </c>
      <c r="K37" s="45" t="s">
        <v>2618</v>
      </c>
      <c r="L37" s="48">
        <v>471</v>
      </c>
      <c r="M37" s="49">
        <v>20241211643</v>
      </c>
      <c r="N37" s="50" t="s">
        <v>28</v>
      </c>
      <c r="O37" s="50"/>
      <c r="P37" s="50"/>
      <c r="Q37" s="51"/>
      <c r="R37" s="50"/>
      <c r="S37" s="50"/>
      <c r="T37" s="51"/>
      <c r="U37" s="50"/>
    </row>
    <row r="38" spans="1:21" x14ac:dyDescent="0.25">
      <c r="A38" s="45" t="s">
        <v>20</v>
      </c>
      <c r="B38" s="46">
        <v>45764</v>
      </c>
      <c r="C38" s="45" t="s">
        <v>34</v>
      </c>
      <c r="D38" s="47" t="s">
        <v>175</v>
      </c>
      <c r="E38" s="45" t="s">
        <v>609</v>
      </c>
      <c r="F38" s="45" t="s">
        <v>610</v>
      </c>
      <c r="G38" s="45" t="s">
        <v>2619</v>
      </c>
      <c r="H38" s="45" t="s">
        <v>2620</v>
      </c>
      <c r="I38" s="45" t="s">
        <v>2621</v>
      </c>
      <c r="J38" s="45">
        <v>249776954</v>
      </c>
      <c r="K38" s="45" t="s">
        <v>1460</v>
      </c>
      <c r="L38" s="48">
        <v>271.14</v>
      </c>
      <c r="M38" s="49">
        <v>20241106569</v>
      </c>
      <c r="N38" s="50" t="s">
        <v>28</v>
      </c>
      <c r="O38" s="50"/>
      <c r="P38" s="50"/>
      <c r="Q38" s="51"/>
      <c r="R38" s="50"/>
      <c r="S38" s="50"/>
      <c r="T38" s="51"/>
      <c r="U38" s="50"/>
    </row>
    <row r="39" spans="1:21" x14ac:dyDescent="0.25">
      <c r="A39" s="45" t="s">
        <v>20</v>
      </c>
      <c r="B39" s="46">
        <v>45764</v>
      </c>
      <c r="C39" s="45" t="s">
        <v>34</v>
      </c>
      <c r="D39" s="47" t="s">
        <v>175</v>
      </c>
      <c r="E39" s="45" t="s">
        <v>107</v>
      </c>
      <c r="F39" s="45" t="s">
        <v>108</v>
      </c>
      <c r="G39" s="45" t="s">
        <v>2622</v>
      </c>
      <c r="H39" s="45" t="s">
        <v>423</v>
      </c>
      <c r="I39" s="45" t="s">
        <v>2623</v>
      </c>
      <c r="J39" s="45">
        <v>616076903</v>
      </c>
      <c r="K39" s="45" t="s">
        <v>318</v>
      </c>
      <c r="L39" s="48">
        <v>12.12</v>
      </c>
      <c r="M39" s="49">
        <v>20241211736</v>
      </c>
      <c r="N39" s="50" t="s">
        <v>28</v>
      </c>
      <c r="O39" s="50"/>
      <c r="P39" s="50"/>
      <c r="Q39" s="51"/>
      <c r="R39" s="50"/>
      <c r="S39" s="50"/>
      <c r="T39" s="51"/>
      <c r="U39" s="50"/>
    </row>
    <row r="40" spans="1:21" x14ac:dyDescent="0.25">
      <c r="A40" s="45" t="s">
        <v>20</v>
      </c>
      <c r="B40" s="46">
        <v>45764</v>
      </c>
      <c r="C40" s="45" t="s">
        <v>34</v>
      </c>
      <c r="D40" s="47" t="s">
        <v>175</v>
      </c>
      <c r="E40" s="45" t="s">
        <v>107</v>
      </c>
      <c r="F40" s="45" t="s">
        <v>108</v>
      </c>
      <c r="G40" s="45" t="s">
        <v>2622</v>
      </c>
      <c r="H40" s="45" t="s">
        <v>423</v>
      </c>
      <c r="I40" s="45" t="s">
        <v>2623</v>
      </c>
      <c r="J40" s="45">
        <v>616076903</v>
      </c>
      <c r="K40" s="45" t="s">
        <v>2562</v>
      </c>
      <c r="L40" s="48">
        <v>4.97</v>
      </c>
      <c r="M40" s="49">
        <v>20241211738</v>
      </c>
      <c r="N40" s="50" t="s">
        <v>28</v>
      </c>
      <c r="O40" s="50"/>
      <c r="P40" s="50"/>
      <c r="Q40" s="51"/>
      <c r="R40" s="50"/>
      <c r="S40" s="50"/>
      <c r="T40" s="51"/>
      <c r="U40" s="50"/>
    </row>
    <row r="41" spans="1:21" x14ac:dyDescent="0.25">
      <c r="A41" s="45" t="s">
        <v>20</v>
      </c>
      <c r="B41" s="46">
        <v>45764</v>
      </c>
      <c r="C41" s="45" t="s">
        <v>34</v>
      </c>
      <c r="D41" s="47" t="s">
        <v>175</v>
      </c>
      <c r="E41" s="45" t="s">
        <v>107</v>
      </c>
      <c r="F41" s="45" t="s">
        <v>108</v>
      </c>
      <c r="G41" s="45" t="s">
        <v>2622</v>
      </c>
      <c r="H41" s="45" t="s">
        <v>423</v>
      </c>
      <c r="I41" s="45" t="s">
        <v>2623</v>
      </c>
      <c r="J41" s="45">
        <v>616076903</v>
      </c>
      <c r="K41" s="45" t="s">
        <v>1543</v>
      </c>
      <c r="L41" s="48">
        <v>6.64</v>
      </c>
      <c r="M41" s="49">
        <v>20241211753</v>
      </c>
      <c r="N41" s="50" t="s">
        <v>28</v>
      </c>
      <c r="O41" s="50"/>
      <c r="P41" s="50"/>
      <c r="Q41" s="51"/>
      <c r="R41" s="50"/>
      <c r="S41" s="50"/>
      <c r="T41" s="51"/>
      <c r="U41" s="50"/>
    </row>
    <row r="42" spans="1:21" x14ac:dyDescent="0.25">
      <c r="A42" s="45" t="s">
        <v>20</v>
      </c>
      <c r="B42" s="46">
        <v>45764</v>
      </c>
      <c r="C42" s="45" t="s">
        <v>34</v>
      </c>
      <c r="D42" s="47" t="s">
        <v>175</v>
      </c>
      <c r="E42" s="45" t="s">
        <v>107</v>
      </c>
      <c r="F42" s="45" t="s">
        <v>108</v>
      </c>
      <c r="G42" s="45" t="s">
        <v>2622</v>
      </c>
      <c r="H42" s="45" t="s">
        <v>423</v>
      </c>
      <c r="I42" s="45" t="s">
        <v>2623</v>
      </c>
      <c r="J42" s="45">
        <v>616076903</v>
      </c>
      <c r="K42" s="45" t="s">
        <v>289</v>
      </c>
      <c r="L42" s="48">
        <v>12.12</v>
      </c>
      <c r="M42" s="49">
        <v>20241211755</v>
      </c>
      <c r="N42" s="50" t="s">
        <v>28</v>
      </c>
      <c r="O42" s="50"/>
      <c r="P42" s="50"/>
      <c r="Q42" s="51"/>
      <c r="R42" s="50"/>
      <c r="S42" s="50"/>
      <c r="T42" s="51"/>
      <c r="U42" s="50"/>
    </row>
    <row r="43" spans="1:21" x14ac:dyDescent="0.25">
      <c r="A43" s="45" t="s">
        <v>20</v>
      </c>
      <c r="B43" s="46">
        <v>45764</v>
      </c>
      <c r="C43" s="45" t="s">
        <v>34</v>
      </c>
      <c r="D43" s="47" t="s">
        <v>175</v>
      </c>
      <c r="E43" s="45" t="s">
        <v>107</v>
      </c>
      <c r="F43" s="45" t="s">
        <v>108</v>
      </c>
      <c r="G43" s="45" t="s">
        <v>263</v>
      </c>
      <c r="H43" s="45" t="s">
        <v>2624</v>
      </c>
      <c r="I43" s="45" t="s">
        <v>2625</v>
      </c>
      <c r="J43" s="45">
        <v>616088024</v>
      </c>
      <c r="K43" s="45" t="s">
        <v>2597</v>
      </c>
      <c r="L43" s="48">
        <v>6.47</v>
      </c>
      <c r="M43" s="49">
        <v>20241209426</v>
      </c>
      <c r="N43" s="50" t="s">
        <v>28</v>
      </c>
      <c r="O43" s="50"/>
      <c r="P43" s="50"/>
      <c r="Q43" s="51"/>
      <c r="R43" s="50"/>
      <c r="S43" s="50"/>
      <c r="T43" s="51"/>
      <c r="U43" s="50"/>
    </row>
    <row r="44" spans="1:21" x14ac:dyDescent="0.25">
      <c r="A44" s="45" t="s">
        <v>20</v>
      </c>
      <c r="B44" s="46">
        <v>45764</v>
      </c>
      <c r="C44" s="45" t="s">
        <v>34</v>
      </c>
      <c r="D44" s="47" t="s">
        <v>175</v>
      </c>
      <c r="E44" s="45" t="s">
        <v>107</v>
      </c>
      <c r="F44" s="45" t="s">
        <v>108</v>
      </c>
      <c r="G44" s="45" t="s">
        <v>1944</v>
      </c>
      <c r="H44" s="45" t="s">
        <v>179</v>
      </c>
      <c r="I44" s="45" t="s">
        <v>2103</v>
      </c>
      <c r="J44" s="45">
        <v>617274126</v>
      </c>
      <c r="K44" s="45" t="s">
        <v>1702</v>
      </c>
      <c r="L44" s="48">
        <v>570</v>
      </c>
      <c r="M44" s="49">
        <v>20241211587</v>
      </c>
      <c r="N44" s="50" t="s">
        <v>28</v>
      </c>
      <c r="O44" s="50"/>
      <c r="P44" s="50"/>
      <c r="Q44" s="51"/>
      <c r="R44" s="50"/>
      <c r="S44" s="50"/>
      <c r="T44" s="51"/>
      <c r="U44" s="50"/>
    </row>
    <row r="45" spans="1:21" x14ac:dyDescent="0.25">
      <c r="A45" s="45" t="s">
        <v>70</v>
      </c>
      <c r="B45" s="46">
        <v>45764</v>
      </c>
      <c r="C45" s="45" t="s">
        <v>34</v>
      </c>
      <c r="D45" s="47" t="s">
        <v>175</v>
      </c>
      <c r="E45" s="45" t="s">
        <v>107</v>
      </c>
      <c r="F45" s="45" t="s">
        <v>108</v>
      </c>
      <c r="G45" s="45" t="s">
        <v>148</v>
      </c>
      <c r="H45" s="45" t="s">
        <v>2626</v>
      </c>
      <c r="I45" s="45" t="s">
        <v>2627</v>
      </c>
      <c r="J45" s="45">
        <v>617857609</v>
      </c>
      <c r="K45" s="45" t="s">
        <v>1358</v>
      </c>
      <c r="L45" s="48">
        <v>100</v>
      </c>
      <c r="M45" s="49">
        <v>20241213808</v>
      </c>
      <c r="N45" s="50" t="s">
        <v>28</v>
      </c>
      <c r="O45" s="50"/>
      <c r="P45" s="50"/>
      <c r="Q45" s="51"/>
      <c r="R45" s="50"/>
      <c r="S45" s="50"/>
      <c r="T45" s="51"/>
      <c r="U45" s="50"/>
    </row>
    <row r="46" spans="1:21" x14ac:dyDescent="0.25">
      <c r="A46" s="45" t="s">
        <v>20</v>
      </c>
      <c r="B46" s="46">
        <v>45764</v>
      </c>
      <c r="C46" s="45" t="s">
        <v>34</v>
      </c>
      <c r="D46" s="47" t="s">
        <v>175</v>
      </c>
      <c r="E46" s="45" t="s">
        <v>107</v>
      </c>
      <c r="F46" s="45" t="s">
        <v>108</v>
      </c>
      <c r="G46" s="45" t="s">
        <v>2628</v>
      </c>
      <c r="H46" s="45" t="s">
        <v>2629</v>
      </c>
      <c r="I46" s="45" t="s">
        <v>1119</v>
      </c>
      <c r="J46" s="45">
        <v>618424658</v>
      </c>
      <c r="K46" s="45" t="s">
        <v>2050</v>
      </c>
      <c r="L46" s="48">
        <v>1200</v>
      </c>
      <c r="M46" s="49">
        <v>20241209298</v>
      </c>
      <c r="N46" s="50" t="s">
        <v>28</v>
      </c>
      <c r="O46" s="50"/>
      <c r="P46" s="50"/>
      <c r="Q46" s="51"/>
      <c r="R46" s="50"/>
      <c r="S46" s="50"/>
      <c r="T46" s="51"/>
      <c r="U46" s="50"/>
    </row>
    <row r="47" spans="1:21" ht="90" x14ac:dyDescent="0.25">
      <c r="A47" s="45" t="s">
        <v>20</v>
      </c>
      <c r="B47" s="46">
        <v>45764</v>
      </c>
      <c r="C47" s="45" t="s">
        <v>34</v>
      </c>
      <c r="D47" s="47" t="s">
        <v>175</v>
      </c>
      <c r="E47" s="45" t="s">
        <v>107</v>
      </c>
      <c r="F47" s="45" t="s">
        <v>108</v>
      </c>
      <c r="G47" s="45" t="s">
        <v>2630</v>
      </c>
      <c r="H47" s="45" t="s">
        <v>2631</v>
      </c>
      <c r="I47" s="45" t="s">
        <v>2441</v>
      </c>
      <c r="J47" s="45">
        <v>619925128</v>
      </c>
      <c r="K47" s="45" t="s">
        <v>2154</v>
      </c>
      <c r="L47" s="48">
        <v>226.06</v>
      </c>
      <c r="M47" s="49">
        <v>20241211937</v>
      </c>
      <c r="N47" s="50"/>
      <c r="O47" s="50" t="s">
        <v>124</v>
      </c>
      <c r="P47" s="50"/>
      <c r="Q47" s="51" t="s">
        <v>2632</v>
      </c>
      <c r="R47" s="50"/>
      <c r="S47" s="50"/>
      <c r="T47" s="51"/>
      <c r="U47" s="50"/>
    </row>
    <row r="48" spans="1:21" ht="45" x14ac:dyDescent="0.25">
      <c r="A48" s="45" t="s">
        <v>20</v>
      </c>
      <c r="B48" s="46">
        <v>45764</v>
      </c>
      <c r="C48" s="45" t="s">
        <v>34</v>
      </c>
      <c r="D48" s="47" t="s">
        <v>175</v>
      </c>
      <c r="E48" s="45" t="s">
        <v>107</v>
      </c>
      <c r="F48" s="45" t="s">
        <v>108</v>
      </c>
      <c r="G48" s="45" t="s">
        <v>2630</v>
      </c>
      <c r="H48" s="45" t="s">
        <v>2631</v>
      </c>
      <c r="I48" s="45" t="s">
        <v>2441</v>
      </c>
      <c r="J48" s="45">
        <v>619925128</v>
      </c>
      <c r="K48" s="45" t="s">
        <v>2309</v>
      </c>
      <c r="L48" s="48">
        <v>440.1</v>
      </c>
      <c r="M48" s="49">
        <v>20241211938</v>
      </c>
      <c r="N48" s="50"/>
      <c r="O48" s="50" t="s">
        <v>124</v>
      </c>
      <c r="P48" s="50"/>
      <c r="Q48" s="51" t="s">
        <v>2633</v>
      </c>
      <c r="R48" s="50"/>
      <c r="S48" s="50"/>
      <c r="T48" s="51"/>
      <c r="U48" s="50"/>
    </row>
    <row r="49" spans="1:21" x14ac:dyDescent="0.25">
      <c r="A49" s="45" t="s">
        <v>20</v>
      </c>
      <c r="B49" s="46">
        <v>45764</v>
      </c>
      <c r="C49" s="45" t="s">
        <v>34</v>
      </c>
      <c r="D49" s="47" t="s">
        <v>175</v>
      </c>
      <c r="E49" s="45" t="s">
        <v>107</v>
      </c>
      <c r="F49" s="45" t="s">
        <v>108</v>
      </c>
      <c r="G49" s="45" t="s">
        <v>2630</v>
      </c>
      <c r="H49" s="45" t="s">
        <v>2631</v>
      </c>
      <c r="I49" s="45" t="s">
        <v>2441</v>
      </c>
      <c r="J49" s="45">
        <v>619925128</v>
      </c>
      <c r="K49" s="45" t="s">
        <v>1463</v>
      </c>
      <c r="L49" s="48">
        <v>343.02</v>
      </c>
      <c r="M49" s="49">
        <v>20241211939</v>
      </c>
      <c r="N49" s="50" t="s">
        <v>28</v>
      </c>
      <c r="O49" s="50"/>
      <c r="P49" s="50"/>
      <c r="Q49" s="51"/>
      <c r="R49" s="50"/>
      <c r="S49" s="50"/>
      <c r="T49" s="51"/>
      <c r="U49" s="50"/>
    </row>
    <row r="50" spans="1:21" x14ac:dyDescent="0.25">
      <c r="A50" s="45" t="s">
        <v>20</v>
      </c>
      <c r="B50" s="46">
        <v>45764</v>
      </c>
      <c r="C50" s="45" t="s">
        <v>34</v>
      </c>
      <c r="D50" s="47" t="s">
        <v>175</v>
      </c>
      <c r="E50" s="45" t="s">
        <v>107</v>
      </c>
      <c r="F50" s="45" t="s">
        <v>108</v>
      </c>
      <c r="G50" s="45" t="s">
        <v>2630</v>
      </c>
      <c r="H50" s="45" t="s">
        <v>2631</v>
      </c>
      <c r="I50" s="45" t="s">
        <v>2441</v>
      </c>
      <c r="J50" s="45">
        <v>619925128</v>
      </c>
      <c r="K50" s="45" t="s">
        <v>1005</v>
      </c>
      <c r="L50" s="48">
        <v>637</v>
      </c>
      <c r="M50" s="49">
        <v>20241211941</v>
      </c>
      <c r="N50" s="50" t="s">
        <v>28</v>
      </c>
      <c r="O50" s="50"/>
      <c r="P50" s="50"/>
      <c r="Q50" s="51"/>
      <c r="R50" s="50"/>
      <c r="S50" s="50"/>
      <c r="T50" s="51"/>
      <c r="U50" s="50"/>
    </row>
    <row r="51" spans="1:21" x14ac:dyDescent="0.25">
      <c r="A51" s="45" t="s">
        <v>38</v>
      </c>
      <c r="B51" s="46">
        <v>45764</v>
      </c>
      <c r="C51" s="45" t="s">
        <v>34</v>
      </c>
      <c r="D51" s="47" t="s">
        <v>175</v>
      </c>
      <c r="E51" s="45" t="s">
        <v>107</v>
      </c>
      <c r="F51" s="45" t="s">
        <v>108</v>
      </c>
      <c r="G51" s="45" t="s">
        <v>2634</v>
      </c>
      <c r="H51" s="45" t="s">
        <v>696</v>
      </c>
      <c r="I51" s="45" t="s">
        <v>1604</v>
      </c>
      <c r="J51" s="45">
        <v>620078631</v>
      </c>
      <c r="K51" s="45" t="s">
        <v>2475</v>
      </c>
      <c r="L51" s="48">
        <v>50</v>
      </c>
      <c r="M51" s="49">
        <v>20241205393</v>
      </c>
      <c r="N51" s="50" t="s">
        <v>28</v>
      </c>
      <c r="O51" s="50"/>
      <c r="P51" s="50"/>
      <c r="Q51" s="51"/>
      <c r="R51" s="50"/>
      <c r="S51" s="50"/>
      <c r="T51" s="51"/>
      <c r="U51" s="50"/>
    </row>
    <row r="52" spans="1:21" x14ac:dyDescent="0.25">
      <c r="A52" s="45" t="s">
        <v>20</v>
      </c>
      <c r="B52" s="46">
        <v>45764</v>
      </c>
      <c r="C52" s="45" t="s">
        <v>34</v>
      </c>
      <c r="D52" s="47" t="s">
        <v>175</v>
      </c>
      <c r="E52" s="45" t="s">
        <v>107</v>
      </c>
      <c r="F52" s="45" t="s">
        <v>108</v>
      </c>
      <c r="G52" s="45" t="s">
        <v>178</v>
      </c>
      <c r="H52" s="45" t="s">
        <v>2635</v>
      </c>
      <c r="I52" s="45" t="s">
        <v>1595</v>
      </c>
      <c r="J52" s="45">
        <v>620284100</v>
      </c>
      <c r="K52" s="45" t="s">
        <v>783</v>
      </c>
      <c r="L52" s="48">
        <v>424</v>
      </c>
      <c r="M52" s="49">
        <v>20241213751</v>
      </c>
      <c r="N52" s="50" t="s">
        <v>28</v>
      </c>
      <c r="O52" s="50"/>
      <c r="P52" s="50"/>
      <c r="Q52" s="51"/>
      <c r="R52" s="50"/>
      <c r="S52" s="50"/>
      <c r="T52" s="51"/>
      <c r="U52" s="50"/>
    </row>
    <row r="53" spans="1:21" x14ac:dyDescent="0.25">
      <c r="A53" s="45" t="s">
        <v>20</v>
      </c>
      <c r="B53" s="46">
        <v>45764</v>
      </c>
      <c r="C53" s="45" t="s">
        <v>34</v>
      </c>
      <c r="D53" s="47" t="s">
        <v>175</v>
      </c>
      <c r="E53" s="45" t="s">
        <v>107</v>
      </c>
      <c r="F53" s="45" t="s">
        <v>108</v>
      </c>
      <c r="G53" s="45" t="s">
        <v>844</v>
      </c>
      <c r="H53" s="45" t="s">
        <v>2636</v>
      </c>
      <c r="I53" s="45" t="s">
        <v>2637</v>
      </c>
      <c r="J53" s="45">
        <v>620405826</v>
      </c>
      <c r="K53" s="45" t="s">
        <v>1296</v>
      </c>
      <c r="L53" s="48">
        <v>795.96</v>
      </c>
      <c r="M53" s="49">
        <v>20241209389</v>
      </c>
      <c r="N53" s="50" t="s">
        <v>28</v>
      </c>
      <c r="O53" s="50"/>
      <c r="P53" s="50"/>
      <c r="Q53" s="51"/>
      <c r="R53" s="50"/>
      <c r="S53" s="50"/>
      <c r="T53" s="51"/>
      <c r="U53" s="50"/>
    </row>
    <row r="54" spans="1:21" ht="45" x14ac:dyDescent="0.25">
      <c r="A54" s="45" t="s">
        <v>233</v>
      </c>
      <c r="B54" s="46">
        <v>45764</v>
      </c>
      <c r="C54" s="45" t="s">
        <v>34</v>
      </c>
      <c r="D54" s="47" t="s">
        <v>175</v>
      </c>
      <c r="E54" s="45" t="s">
        <v>155</v>
      </c>
      <c r="F54" s="45" t="s">
        <v>156</v>
      </c>
      <c r="G54" s="45" t="s">
        <v>66</v>
      </c>
      <c r="H54" s="45" t="s">
        <v>1396</v>
      </c>
      <c r="I54" s="45" t="s">
        <v>1397</v>
      </c>
      <c r="J54" s="45">
        <v>550539993</v>
      </c>
      <c r="K54" s="45" t="s">
        <v>1019</v>
      </c>
      <c r="L54" s="48">
        <v>1463.12</v>
      </c>
      <c r="M54" s="49">
        <v>202411011628</v>
      </c>
      <c r="N54" s="50" t="s">
        <v>28</v>
      </c>
      <c r="O54" s="50"/>
      <c r="P54" s="50"/>
      <c r="Q54" s="51" t="s">
        <v>2638</v>
      </c>
      <c r="R54" s="50"/>
      <c r="S54" s="50"/>
      <c r="T54" s="51"/>
      <c r="U54" s="50"/>
    </row>
    <row r="55" spans="1:21" x14ac:dyDescent="0.25">
      <c r="A55" s="45" t="s">
        <v>20</v>
      </c>
      <c r="B55" s="46">
        <v>45764</v>
      </c>
      <c r="C55" s="45" t="s">
        <v>34</v>
      </c>
      <c r="D55" s="47" t="s">
        <v>175</v>
      </c>
      <c r="E55" s="45" t="s">
        <v>176</v>
      </c>
      <c r="F55" s="45" t="s">
        <v>177</v>
      </c>
      <c r="G55" s="45" t="s">
        <v>2491</v>
      </c>
      <c r="H55" s="45" t="s">
        <v>1259</v>
      </c>
      <c r="I55" s="45" t="s">
        <v>2639</v>
      </c>
      <c r="J55" s="45">
        <v>535867880</v>
      </c>
      <c r="K55" s="45" t="s">
        <v>2239</v>
      </c>
      <c r="L55" s="48">
        <v>10</v>
      </c>
      <c r="M55" s="49">
        <v>20241210216</v>
      </c>
      <c r="N55" s="50" t="s">
        <v>28</v>
      </c>
      <c r="O55" s="50"/>
      <c r="P55" s="50"/>
      <c r="Q55" s="51"/>
      <c r="R55" s="50"/>
      <c r="S55" s="50"/>
      <c r="T55" s="51"/>
      <c r="U55" s="50"/>
    </row>
    <row r="56" spans="1:21" x14ac:dyDescent="0.25">
      <c r="A56" s="45" t="s">
        <v>20</v>
      </c>
      <c r="B56" s="46">
        <v>45764</v>
      </c>
      <c r="C56" s="45" t="s">
        <v>34</v>
      </c>
      <c r="D56" s="47" t="s">
        <v>175</v>
      </c>
      <c r="E56" s="45" t="s">
        <v>176</v>
      </c>
      <c r="F56" s="45" t="s">
        <v>177</v>
      </c>
      <c r="G56" s="45" t="s">
        <v>2491</v>
      </c>
      <c r="H56" s="45" t="s">
        <v>1259</v>
      </c>
      <c r="I56" s="45" t="s">
        <v>2639</v>
      </c>
      <c r="J56" s="45">
        <v>535867880</v>
      </c>
      <c r="K56" s="45" t="s">
        <v>2244</v>
      </c>
      <c r="L56" s="48">
        <v>10</v>
      </c>
      <c r="M56" s="49">
        <v>20241210217</v>
      </c>
      <c r="N56" s="50" t="s">
        <v>28</v>
      </c>
      <c r="O56" s="50"/>
      <c r="P56" s="50"/>
      <c r="Q56" s="51"/>
      <c r="R56" s="50"/>
      <c r="S56" s="50"/>
      <c r="T56" s="51"/>
      <c r="U56" s="50"/>
    </row>
    <row r="57" spans="1:21" x14ac:dyDescent="0.25">
      <c r="A57" s="45" t="s">
        <v>29</v>
      </c>
      <c r="B57" s="46">
        <v>45764</v>
      </c>
      <c r="C57" s="45" t="s">
        <v>34</v>
      </c>
      <c r="D57" s="47" t="s">
        <v>175</v>
      </c>
      <c r="E57" s="45" t="s">
        <v>176</v>
      </c>
      <c r="F57" s="45" t="s">
        <v>177</v>
      </c>
      <c r="G57" s="45" t="s">
        <v>2640</v>
      </c>
      <c r="H57" s="45" t="s">
        <v>2641</v>
      </c>
      <c r="I57" s="45" t="s">
        <v>2642</v>
      </c>
      <c r="J57" s="45">
        <v>537338797</v>
      </c>
      <c r="K57" s="45" t="s">
        <v>2418</v>
      </c>
      <c r="L57" s="48">
        <v>350</v>
      </c>
      <c r="M57" s="49">
        <v>20241210176</v>
      </c>
      <c r="N57" s="50" t="s">
        <v>28</v>
      </c>
      <c r="O57" s="50"/>
      <c r="P57" s="50"/>
      <c r="Q57" s="51"/>
      <c r="R57" s="50"/>
      <c r="S57" s="50"/>
      <c r="T57" s="51"/>
      <c r="U57" s="50"/>
    </row>
    <row r="58" spans="1:21" x14ac:dyDescent="0.25">
      <c r="A58" s="45" t="s">
        <v>20</v>
      </c>
      <c r="B58" s="46">
        <v>45764</v>
      </c>
      <c r="C58" s="45" t="s">
        <v>34</v>
      </c>
      <c r="D58" s="47" t="s">
        <v>175</v>
      </c>
      <c r="E58" s="45" t="s">
        <v>176</v>
      </c>
      <c r="F58" s="45" t="s">
        <v>177</v>
      </c>
      <c r="G58" s="45" t="s">
        <v>981</v>
      </c>
      <c r="H58" s="45" t="s">
        <v>2643</v>
      </c>
      <c r="I58" s="45" t="s">
        <v>2644</v>
      </c>
      <c r="J58" s="45">
        <v>537489191</v>
      </c>
      <c r="K58" s="45" t="s">
        <v>2464</v>
      </c>
      <c r="L58" s="48">
        <v>32.58</v>
      </c>
      <c r="M58" s="49">
        <v>20241209333</v>
      </c>
      <c r="N58" s="50" t="s">
        <v>28</v>
      </c>
      <c r="O58" s="50"/>
      <c r="P58" s="50"/>
      <c r="Q58" s="51"/>
      <c r="R58" s="50"/>
      <c r="S58" s="50"/>
      <c r="T58" s="51"/>
      <c r="U58" s="50"/>
    </row>
    <row r="59" spans="1:21" x14ac:dyDescent="0.25">
      <c r="A59" s="45" t="s">
        <v>20</v>
      </c>
      <c r="B59" s="46">
        <v>45764</v>
      </c>
      <c r="C59" s="45" t="s">
        <v>34</v>
      </c>
      <c r="D59" s="47" t="s">
        <v>175</v>
      </c>
      <c r="E59" s="45" t="s">
        <v>176</v>
      </c>
      <c r="F59" s="45" t="s">
        <v>177</v>
      </c>
      <c r="G59" s="45" t="s">
        <v>981</v>
      </c>
      <c r="H59" s="45" t="s">
        <v>2643</v>
      </c>
      <c r="I59" s="45" t="s">
        <v>2644</v>
      </c>
      <c r="J59" s="45">
        <v>537489191</v>
      </c>
      <c r="K59" s="45" t="s">
        <v>2464</v>
      </c>
      <c r="L59" s="48">
        <v>32.58</v>
      </c>
      <c r="M59" s="49">
        <v>20241209333</v>
      </c>
      <c r="N59" s="50" t="s">
        <v>28</v>
      </c>
      <c r="O59" s="50"/>
      <c r="P59" s="50"/>
      <c r="Q59" s="51"/>
      <c r="R59" s="50"/>
      <c r="S59" s="50"/>
      <c r="T59" s="51"/>
      <c r="U59" s="50"/>
    </row>
    <row r="60" spans="1:21" x14ac:dyDescent="0.25">
      <c r="A60" s="45" t="s">
        <v>20</v>
      </c>
      <c r="B60" s="46">
        <v>45764</v>
      </c>
      <c r="C60" s="45" t="s">
        <v>34</v>
      </c>
      <c r="D60" s="47" t="s">
        <v>175</v>
      </c>
      <c r="E60" s="45" t="s">
        <v>176</v>
      </c>
      <c r="F60" s="45" t="s">
        <v>177</v>
      </c>
      <c r="G60" s="45" t="s">
        <v>2619</v>
      </c>
      <c r="H60" s="45" t="s">
        <v>2645</v>
      </c>
      <c r="I60" s="45" t="s">
        <v>2646</v>
      </c>
      <c r="J60" s="45">
        <v>539193905</v>
      </c>
      <c r="K60" s="45" t="s">
        <v>897</v>
      </c>
      <c r="L60" s="48">
        <v>160.36000000000001</v>
      </c>
      <c r="M60" s="49">
        <v>20241212109</v>
      </c>
      <c r="N60" s="50" t="s">
        <v>28</v>
      </c>
      <c r="O60" s="50"/>
      <c r="P60" s="50"/>
      <c r="Q60" s="51"/>
      <c r="R60" s="50"/>
      <c r="S60" s="50"/>
      <c r="T60" s="51"/>
      <c r="U60" s="50"/>
    </row>
    <row r="61" spans="1:21" ht="25.5" x14ac:dyDescent="0.25">
      <c r="A61" s="45" t="s">
        <v>20</v>
      </c>
      <c r="B61" s="46">
        <v>45764</v>
      </c>
      <c r="C61" s="45" t="s">
        <v>34</v>
      </c>
      <c r="D61" s="47" t="s">
        <v>175</v>
      </c>
      <c r="E61" s="45" t="s">
        <v>176</v>
      </c>
      <c r="F61" s="45" t="s">
        <v>177</v>
      </c>
      <c r="G61" s="45" t="s">
        <v>2108</v>
      </c>
      <c r="H61" s="45" t="s">
        <v>46</v>
      </c>
      <c r="I61" s="45" t="s">
        <v>2647</v>
      </c>
      <c r="J61" s="45">
        <v>539907356</v>
      </c>
      <c r="K61" s="45" t="s">
        <v>2464</v>
      </c>
      <c r="L61" s="48">
        <v>1400</v>
      </c>
      <c r="M61" s="49">
        <v>20241209573</v>
      </c>
      <c r="N61" s="50" t="s">
        <v>28</v>
      </c>
      <c r="O61" s="50"/>
      <c r="P61" s="50"/>
      <c r="Q61" s="51"/>
      <c r="R61" s="50"/>
      <c r="S61" s="50"/>
      <c r="T61" s="51"/>
      <c r="U61" s="50"/>
    </row>
    <row r="62" spans="1:21" x14ac:dyDescent="0.25">
      <c r="A62" s="45" t="s">
        <v>29</v>
      </c>
      <c r="B62" s="46">
        <v>45764</v>
      </c>
      <c r="C62" s="45" t="s">
        <v>34</v>
      </c>
      <c r="D62" s="47" t="s">
        <v>175</v>
      </c>
      <c r="E62" s="45" t="s">
        <v>176</v>
      </c>
      <c r="F62" s="45" t="s">
        <v>177</v>
      </c>
      <c r="G62" s="45" t="s">
        <v>1866</v>
      </c>
      <c r="H62" s="45" t="s">
        <v>2648</v>
      </c>
      <c r="I62" s="45" t="s">
        <v>2500</v>
      </c>
      <c r="J62" s="45">
        <v>540371326</v>
      </c>
      <c r="K62" s="45" t="s">
        <v>56</v>
      </c>
      <c r="L62" s="48">
        <v>470</v>
      </c>
      <c r="M62" s="49">
        <v>2024121316</v>
      </c>
      <c r="N62" s="50" t="s">
        <v>28</v>
      </c>
      <c r="O62" s="50"/>
      <c r="P62" s="50"/>
      <c r="Q62" s="51"/>
      <c r="R62" s="50"/>
      <c r="S62" s="50"/>
      <c r="T62" s="51"/>
      <c r="U62" s="50"/>
    </row>
    <row r="63" spans="1:21" x14ac:dyDescent="0.25">
      <c r="A63" s="45" t="s">
        <v>29</v>
      </c>
      <c r="B63" s="46">
        <v>45648</v>
      </c>
      <c r="C63" s="45" t="s">
        <v>175</v>
      </c>
      <c r="D63" s="47"/>
      <c r="E63" s="45" t="s">
        <v>176</v>
      </c>
      <c r="F63" s="45" t="s">
        <v>177</v>
      </c>
      <c r="G63" s="45" t="s">
        <v>1866</v>
      </c>
      <c r="H63" s="45" t="s">
        <v>2648</v>
      </c>
      <c r="I63" s="45" t="s">
        <v>2500</v>
      </c>
      <c r="J63" s="45">
        <v>540371326</v>
      </c>
      <c r="K63" s="45" t="s">
        <v>184</v>
      </c>
      <c r="L63" s="48">
        <v>1155</v>
      </c>
      <c r="M63" s="49">
        <v>202412091148</v>
      </c>
      <c r="N63" s="50" t="s">
        <v>13</v>
      </c>
      <c r="O63" s="50"/>
      <c r="P63" s="50"/>
      <c r="Q63" s="51"/>
      <c r="R63" s="50"/>
      <c r="S63" s="50"/>
      <c r="T63" s="51"/>
      <c r="U63" s="50"/>
    </row>
    <row r="64" spans="1:21" x14ac:dyDescent="0.25">
      <c r="A64" s="45" t="s">
        <v>29</v>
      </c>
      <c r="B64" s="46">
        <v>45648</v>
      </c>
      <c r="C64" s="45" t="s">
        <v>175</v>
      </c>
      <c r="D64" s="47"/>
      <c r="E64" s="45" t="s">
        <v>176</v>
      </c>
      <c r="F64" s="45" t="s">
        <v>177</v>
      </c>
      <c r="G64" s="45" t="s">
        <v>274</v>
      </c>
      <c r="H64" s="45" t="s">
        <v>343</v>
      </c>
      <c r="I64" s="45" t="s">
        <v>1451</v>
      </c>
      <c r="J64" s="45">
        <v>542355896</v>
      </c>
      <c r="K64" s="45" t="s">
        <v>2418</v>
      </c>
      <c r="L64" s="48">
        <v>235.71</v>
      </c>
      <c r="M64" s="49">
        <v>202412091087</v>
      </c>
      <c r="N64" s="50" t="s">
        <v>13</v>
      </c>
      <c r="O64" s="50"/>
      <c r="P64" s="50"/>
      <c r="Q64" s="51"/>
      <c r="R64" s="50"/>
      <c r="S64" s="50"/>
      <c r="T64" s="51"/>
      <c r="U64" s="50"/>
    </row>
    <row r="65" spans="1:21" x14ac:dyDescent="0.25">
      <c r="A65" s="45" t="s">
        <v>29</v>
      </c>
      <c r="B65" s="46">
        <v>45648</v>
      </c>
      <c r="C65" s="45" t="s">
        <v>175</v>
      </c>
      <c r="D65" s="47"/>
      <c r="E65" s="45" t="s">
        <v>176</v>
      </c>
      <c r="F65" s="45" t="s">
        <v>177</v>
      </c>
      <c r="G65" s="45" t="s">
        <v>1880</v>
      </c>
      <c r="H65" s="45" t="s">
        <v>149</v>
      </c>
      <c r="I65" s="45" t="s">
        <v>1881</v>
      </c>
      <c r="J65" s="45">
        <v>543296230</v>
      </c>
      <c r="K65" s="45" t="s">
        <v>2372</v>
      </c>
      <c r="L65" s="48">
        <v>703.27</v>
      </c>
      <c r="M65" s="49">
        <v>20241211844</v>
      </c>
      <c r="N65" s="50" t="s">
        <v>13</v>
      </c>
      <c r="O65" s="50"/>
      <c r="P65" s="50"/>
      <c r="Q65" s="51"/>
      <c r="R65" s="50"/>
      <c r="S65" s="50"/>
      <c r="T65" s="51"/>
      <c r="U65" s="50"/>
    </row>
    <row r="66" spans="1:21" x14ac:dyDescent="0.25">
      <c r="A66" s="45" t="s">
        <v>20</v>
      </c>
      <c r="B66" s="46">
        <v>45648</v>
      </c>
      <c r="C66" s="45" t="s">
        <v>175</v>
      </c>
      <c r="D66" s="47"/>
      <c r="E66" s="45" t="s">
        <v>176</v>
      </c>
      <c r="F66" s="45" t="s">
        <v>177</v>
      </c>
      <c r="G66" s="45" t="s">
        <v>30</v>
      </c>
      <c r="H66" s="45" t="s">
        <v>2274</v>
      </c>
      <c r="I66" s="45" t="s">
        <v>2649</v>
      </c>
      <c r="J66" s="45">
        <v>545657397</v>
      </c>
      <c r="K66" s="45" t="s">
        <v>2418</v>
      </c>
      <c r="L66" s="48">
        <v>17.5</v>
      </c>
      <c r="M66" s="49">
        <v>20241213549</v>
      </c>
      <c r="N66" s="50" t="s">
        <v>13</v>
      </c>
      <c r="O66" s="50"/>
      <c r="P66" s="50"/>
      <c r="Q66" s="51"/>
      <c r="R66" s="50"/>
      <c r="S66" s="50"/>
      <c r="T66" s="51"/>
      <c r="U66" s="50"/>
    </row>
    <row r="67" spans="1:21" x14ac:dyDescent="0.25">
      <c r="A67" s="45" t="s">
        <v>20</v>
      </c>
      <c r="B67" s="46">
        <v>45648</v>
      </c>
      <c r="C67" s="45" t="s">
        <v>175</v>
      </c>
      <c r="D67" s="47"/>
      <c r="E67" s="45" t="s">
        <v>176</v>
      </c>
      <c r="F67" s="45" t="s">
        <v>177</v>
      </c>
      <c r="G67" s="45" t="s">
        <v>1646</v>
      </c>
      <c r="H67" s="45" t="s">
        <v>251</v>
      </c>
      <c r="I67" s="45" t="s">
        <v>2650</v>
      </c>
      <c r="J67" s="45">
        <v>545737716</v>
      </c>
      <c r="K67" s="45" t="s">
        <v>147</v>
      </c>
      <c r="L67" s="48">
        <v>10</v>
      </c>
      <c r="M67" s="49">
        <v>20241212505</v>
      </c>
      <c r="N67" s="50" t="s">
        <v>13</v>
      </c>
      <c r="O67" s="50"/>
      <c r="P67" s="50"/>
      <c r="Q67" s="51"/>
      <c r="R67" s="50"/>
      <c r="S67" s="50"/>
      <c r="T67" s="51"/>
      <c r="U67" s="50"/>
    </row>
    <row r="68" spans="1:21" x14ac:dyDescent="0.25">
      <c r="A68" s="45" t="s">
        <v>20</v>
      </c>
      <c r="B68" s="46">
        <v>45648</v>
      </c>
      <c r="C68" s="45" t="s">
        <v>175</v>
      </c>
      <c r="D68" s="47"/>
      <c r="E68" s="45" t="s">
        <v>176</v>
      </c>
      <c r="F68" s="45" t="s">
        <v>177</v>
      </c>
      <c r="G68" s="45" t="s">
        <v>1646</v>
      </c>
      <c r="H68" s="45" t="s">
        <v>251</v>
      </c>
      <c r="I68" s="45" t="s">
        <v>2650</v>
      </c>
      <c r="J68" s="45">
        <v>545737716</v>
      </c>
      <c r="K68" s="45" t="s">
        <v>56</v>
      </c>
      <c r="L68" s="48">
        <v>7.4</v>
      </c>
      <c r="M68" s="49">
        <v>20241212507</v>
      </c>
      <c r="N68" s="50" t="s">
        <v>13</v>
      </c>
      <c r="O68" s="50"/>
      <c r="P68" s="50"/>
      <c r="Q68" s="51"/>
      <c r="R68" s="50"/>
      <c r="S68" s="50"/>
      <c r="T68" s="51"/>
      <c r="U68" s="50"/>
    </row>
    <row r="69" spans="1:21" x14ac:dyDescent="0.25">
      <c r="A69" s="45" t="s">
        <v>20</v>
      </c>
      <c r="B69" s="46">
        <v>45648</v>
      </c>
      <c r="C69" s="45" t="s">
        <v>175</v>
      </c>
      <c r="D69" s="47"/>
      <c r="E69" s="45" t="s">
        <v>176</v>
      </c>
      <c r="F69" s="45" t="s">
        <v>177</v>
      </c>
      <c r="G69" s="45" t="s">
        <v>1646</v>
      </c>
      <c r="H69" s="45" t="s">
        <v>251</v>
      </c>
      <c r="I69" s="45" t="s">
        <v>2650</v>
      </c>
      <c r="J69" s="45">
        <v>545737716</v>
      </c>
      <c r="K69" s="45" t="s">
        <v>928</v>
      </c>
      <c r="L69" s="48">
        <v>25</v>
      </c>
      <c r="M69" s="49">
        <v>20241212512</v>
      </c>
      <c r="N69" s="50" t="s">
        <v>13</v>
      </c>
      <c r="O69" s="50"/>
      <c r="P69" s="50"/>
      <c r="Q69" s="51"/>
      <c r="R69" s="50"/>
      <c r="S69" s="50"/>
      <c r="T69" s="51"/>
      <c r="U69" s="50"/>
    </row>
    <row r="70" spans="1:21" x14ac:dyDescent="0.25">
      <c r="A70" s="45" t="s">
        <v>29</v>
      </c>
      <c r="B70" s="46">
        <v>45648</v>
      </c>
      <c r="C70" s="45" t="s">
        <v>175</v>
      </c>
      <c r="D70" s="47"/>
      <c r="E70" s="45" t="s">
        <v>1631</v>
      </c>
      <c r="F70" s="45" t="s">
        <v>1122</v>
      </c>
      <c r="G70" s="45" t="s">
        <v>786</v>
      </c>
      <c r="H70" s="45" t="s">
        <v>2651</v>
      </c>
      <c r="I70" s="45" t="s">
        <v>1786</v>
      </c>
      <c r="J70" s="45">
        <v>2703440</v>
      </c>
      <c r="K70" s="45" t="s">
        <v>1041</v>
      </c>
      <c r="L70" s="48">
        <v>7112</v>
      </c>
      <c r="M70" s="49">
        <v>20241106890</v>
      </c>
      <c r="N70" s="50" t="s">
        <v>13</v>
      </c>
      <c r="O70" s="50"/>
      <c r="P70" s="50"/>
      <c r="Q70" s="51"/>
      <c r="R70" s="50"/>
      <c r="S70" s="50"/>
      <c r="T70" s="51"/>
      <c r="U70" s="50"/>
    </row>
    <row r="71" spans="1:21" x14ac:dyDescent="0.25">
      <c r="A71" s="45" t="s">
        <v>29</v>
      </c>
      <c r="B71" s="46">
        <v>45648</v>
      </c>
      <c r="C71" s="45" t="s">
        <v>175</v>
      </c>
      <c r="D71" s="47"/>
      <c r="E71" s="45" t="s">
        <v>1631</v>
      </c>
      <c r="F71" s="45" t="s">
        <v>1122</v>
      </c>
      <c r="G71" s="45" t="s">
        <v>995</v>
      </c>
      <c r="H71" s="45" t="s">
        <v>2652</v>
      </c>
      <c r="I71" s="45" t="s">
        <v>2653</v>
      </c>
      <c r="J71" s="45">
        <v>343843325</v>
      </c>
      <c r="K71" s="45" t="s">
        <v>241</v>
      </c>
      <c r="L71" s="48">
        <v>1353.75</v>
      </c>
      <c r="M71" s="49">
        <v>20241028546</v>
      </c>
      <c r="N71" s="50" t="s">
        <v>13</v>
      </c>
      <c r="O71" s="50"/>
      <c r="P71" s="50"/>
      <c r="Q71" s="51"/>
      <c r="R71" s="50"/>
      <c r="S71" s="50"/>
      <c r="T71" s="51"/>
      <c r="U71" s="50"/>
    </row>
    <row r="72" spans="1:21" x14ac:dyDescent="0.25">
      <c r="A72" s="45" t="s">
        <v>29</v>
      </c>
      <c r="B72" s="46">
        <v>45648</v>
      </c>
      <c r="C72" s="45" t="s">
        <v>175</v>
      </c>
      <c r="D72" s="47"/>
      <c r="E72" s="45" t="s">
        <v>1631</v>
      </c>
      <c r="F72" s="45" t="s">
        <v>1122</v>
      </c>
      <c r="G72" s="45" t="s">
        <v>828</v>
      </c>
      <c r="H72" s="45" t="s">
        <v>2376</v>
      </c>
      <c r="I72" s="45" t="s">
        <v>2654</v>
      </c>
      <c r="J72" s="45">
        <v>359762858</v>
      </c>
      <c r="K72" s="45" t="s">
        <v>1358</v>
      </c>
      <c r="L72" s="48">
        <v>1207</v>
      </c>
      <c r="M72" s="49">
        <v>20241205737</v>
      </c>
      <c r="N72" s="50" t="s">
        <v>13</v>
      </c>
      <c r="O72" s="50"/>
      <c r="P72" s="50"/>
      <c r="Q72" s="51"/>
      <c r="R72" s="50"/>
      <c r="S72" s="50"/>
      <c r="T72" s="51"/>
      <c r="U72" s="50"/>
    </row>
    <row r="73" spans="1:21" x14ac:dyDescent="0.25">
      <c r="A73" s="45" t="s">
        <v>29</v>
      </c>
      <c r="B73" s="46">
        <v>45648</v>
      </c>
      <c r="C73" s="45" t="s">
        <v>175</v>
      </c>
      <c r="D73" s="47"/>
      <c r="E73" s="45" t="s">
        <v>1631</v>
      </c>
      <c r="F73" s="45" t="s">
        <v>1122</v>
      </c>
      <c r="G73" s="45" t="s">
        <v>2655</v>
      </c>
      <c r="H73" s="45" t="s">
        <v>2656</v>
      </c>
      <c r="I73" s="45" t="s">
        <v>1766</v>
      </c>
      <c r="J73" s="45">
        <v>528958666</v>
      </c>
      <c r="K73" s="45" t="s">
        <v>184</v>
      </c>
      <c r="L73" s="48">
        <v>1300</v>
      </c>
      <c r="M73" s="49">
        <v>20241209753</v>
      </c>
      <c r="N73" s="50" t="s">
        <v>13</v>
      </c>
      <c r="O73" s="50"/>
      <c r="P73" s="50"/>
      <c r="Q73" s="51"/>
      <c r="R73" s="50"/>
      <c r="S73" s="50"/>
      <c r="T73" s="51"/>
      <c r="U73" s="50"/>
    </row>
    <row r="74" spans="1:21" ht="25.5" x14ac:dyDescent="0.25">
      <c r="A74" s="45" t="s">
        <v>20</v>
      </c>
      <c r="B74" s="46">
        <v>45648</v>
      </c>
      <c r="C74" s="45" t="s">
        <v>175</v>
      </c>
      <c r="D74" s="47"/>
      <c r="E74" s="45" t="s">
        <v>1631</v>
      </c>
      <c r="F74" s="45" t="s">
        <v>1122</v>
      </c>
      <c r="G74" s="45" t="s">
        <v>2497</v>
      </c>
      <c r="H74" s="45" t="s">
        <v>110</v>
      </c>
      <c r="I74" s="45" t="s">
        <v>2657</v>
      </c>
      <c r="J74" s="45">
        <v>601186167</v>
      </c>
      <c r="K74" s="45" t="s">
        <v>2087</v>
      </c>
      <c r="L74" s="48">
        <v>35</v>
      </c>
      <c r="M74" s="49">
        <v>20241209734</v>
      </c>
      <c r="N74" s="50" t="s">
        <v>13</v>
      </c>
      <c r="O74" s="50"/>
      <c r="P74" s="50"/>
      <c r="Q74" s="51"/>
      <c r="R74" s="50"/>
      <c r="S74" s="50"/>
      <c r="T74" s="51"/>
      <c r="U74" s="50"/>
    </row>
    <row r="75" spans="1:21" ht="105" x14ac:dyDescent="0.25">
      <c r="A75" s="45" t="s">
        <v>20</v>
      </c>
      <c r="B75" s="46">
        <v>45648</v>
      </c>
      <c r="C75" s="45" t="s">
        <v>175</v>
      </c>
      <c r="D75" s="47"/>
      <c r="E75" s="45" t="s">
        <v>208</v>
      </c>
      <c r="F75" s="45" t="s">
        <v>209</v>
      </c>
      <c r="G75" s="45" t="s">
        <v>1646</v>
      </c>
      <c r="H75" s="45" t="s">
        <v>2658</v>
      </c>
      <c r="I75" s="45" t="s">
        <v>2659</v>
      </c>
      <c r="J75" s="45">
        <v>603094448</v>
      </c>
      <c r="K75" s="45" t="s">
        <v>2360</v>
      </c>
      <c r="L75" s="48">
        <v>334.95</v>
      </c>
      <c r="M75" s="49">
        <v>20241210717</v>
      </c>
      <c r="N75" s="50"/>
      <c r="O75" s="50" t="s">
        <v>124</v>
      </c>
      <c r="P75" s="50"/>
      <c r="Q75" s="51" t="s">
        <v>2660</v>
      </c>
      <c r="R75" s="50"/>
      <c r="S75" s="50"/>
      <c r="T75" s="51"/>
      <c r="U75" s="50"/>
    </row>
    <row r="76" spans="1:21" x14ac:dyDescent="0.25">
      <c r="A76" s="45" t="s">
        <v>20</v>
      </c>
      <c r="B76" s="46">
        <v>45648</v>
      </c>
      <c r="C76" s="45" t="s">
        <v>175</v>
      </c>
      <c r="D76" s="47"/>
      <c r="E76" s="45" t="s">
        <v>208</v>
      </c>
      <c r="F76" s="45" t="s">
        <v>209</v>
      </c>
      <c r="G76" s="45" t="s">
        <v>1646</v>
      </c>
      <c r="H76" s="45" t="s">
        <v>2658</v>
      </c>
      <c r="I76" s="45" t="s">
        <v>2659</v>
      </c>
      <c r="J76" s="45">
        <v>603094448</v>
      </c>
      <c r="K76" s="45" t="s">
        <v>1227</v>
      </c>
      <c r="L76" s="48">
        <v>334.95</v>
      </c>
      <c r="M76" s="49">
        <v>20241210717</v>
      </c>
      <c r="N76" s="50" t="s">
        <v>13</v>
      </c>
      <c r="O76" s="50"/>
      <c r="P76" s="50"/>
      <c r="Q76" s="51"/>
      <c r="R76" s="50"/>
      <c r="S76" s="50"/>
      <c r="T76" s="51"/>
      <c r="U76" s="50"/>
    </row>
    <row r="77" spans="1:21" x14ac:dyDescent="0.25">
      <c r="A77" s="45" t="s">
        <v>20</v>
      </c>
      <c r="B77" s="46">
        <v>45648</v>
      </c>
      <c r="C77" s="45" t="s">
        <v>175</v>
      </c>
      <c r="D77" s="47"/>
      <c r="E77" s="45" t="s">
        <v>208</v>
      </c>
      <c r="F77" s="45" t="s">
        <v>209</v>
      </c>
      <c r="G77" s="45" t="s">
        <v>2547</v>
      </c>
      <c r="H77" s="45" t="s">
        <v>2661</v>
      </c>
      <c r="I77" s="45" t="s">
        <v>2662</v>
      </c>
      <c r="J77" s="45">
        <v>608032989</v>
      </c>
      <c r="K77" s="45" t="s">
        <v>2255</v>
      </c>
      <c r="L77" s="48">
        <v>198</v>
      </c>
      <c r="M77" s="49">
        <v>20241209293</v>
      </c>
      <c r="N77" s="50" t="s">
        <v>13</v>
      </c>
      <c r="O77" s="50"/>
      <c r="P77" s="50"/>
      <c r="Q77" s="51"/>
      <c r="R77" s="50"/>
      <c r="S77" s="50"/>
      <c r="T77" s="51"/>
      <c r="U77" s="50"/>
    </row>
    <row r="78" spans="1:21" x14ac:dyDescent="0.25">
      <c r="A78" s="45" t="s">
        <v>20</v>
      </c>
      <c r="B78" s="46">
        <v>45764</v>
      </c>
      <c r="C78" s="45" t="s">
        <v>352</v>
      </c>
      <c r="D78" s="47" t="s">
        <v>168</v>
      </c>
      <c r="E78" s="45" t="s">
        <v>208</v>
      </c>
      <c r="F78" s="45" t="s">
        <v>209</v>
      </c>
      <c r="G78" s="45" t="s">
        <v>263</v>
      </c>
      <c r="H78" s="45" t="s">
        <v>2376</v>
      </c>
      <c r="I78" s="45" t="s">
        <v>2663</v>
      </c>
      <c r="J78" s="45">
        <v>608428762</v>
      </c>
      <c r="K78" s="45" t="s">
        <v>2664</v>
      </c>
      <c r="L78" s="48">
        <v>12.98</v>
      </c>
      <c r="M78" s="49">
        <v>20241209883</v>
      </c>
      <c r="N78" s="50" t="s">
        <v>28</v>
      </c>
      <c r="O78" s="50"/>
      <c r="P78" s="50"/>
      <c r="Q78" s="51"/>
      <c r="R78" s="50"/>
      <c r="S78" s="50"/>
      <c r="T78" s="51"/>
      <c r="U78" s="50"/>
    </row>
    <row r="79" spans="1:21" x14ac:dyDescent="0.25">
      <c r="A79" s="45" t="s">
        <v>29</v>
      </c>
      <c r="B79" s="46">
        <v>45764</v>
      </c>
      <c r="C79" s="45" t="s">
        <v>352</v>
      </c>
      <c r="D79" s="47" t="s">
        <v>168</v>
      </c>
      <c r="E79" s="45" t="s">
        <v>208</v>
      </c>
      <c r="F79" s="45" t="s">
        <v>209</v>
      </c>
      <c r="G79" s="45" t="s">
        <v>1944</v>
      </c>
      <c r="H79" s="45" t="s">
        <v>1362</v>
      </c>
      <c r="I79" s="45" t="s">
        <v>2665</v>
      </c>
      <c r="J79" s="45">
        <v>608624480</v>
      </c>
      <c r="K79" s="45" t="s">
        <v>232</v>
      </c>
      <c r="L79" s="48">
        <v>3125</v>
      </c>
      <c r="M79" s="49">
        <v>202412091426</v>
      </c>
      <c r="N79" s="50" t="s">
        <v>28</v>
      </c>
      <c r="O79" s="50"/>
      <c r="P79" s="50"/>
      <c r="Q79" s="51"/>
      <c r="R79" s="50"/>
      <c r="S79" s="50"/>
      <c r="T79" s="51"/>
      <c r="U79" s="50"/>
    </row>
    <row r="80" spans="1:21" x14ac:dyDescent="0.25">
      <c r="A80" s="45" t="s">
        <v>20</v>
      </c>
      <c r="B80" s="46">
        <v>45764</v>
      </c>
      <c r="C80" s="45" t="s">
        <v>352</v>
      </c>
      <c r="D80" s="47" t="s">
        <v>168</v>
      </c>
      <c r="E80" s="45" t="s">
        <v>208</v>
      </c>
      <c r="F80" s="45" t="s">
        <v>209</v>
      </c>
      <c r="G80" s="45" t="s">
        <v>1646</v>
      </c>
      <c r="H80" s="45" t="s">
        <v>2666</v>
      </c>
      <c r="I80" s="45" t="s">
        <v>2667</v>
      </c>
      <c r="J80" s="45">
        <v>609845213</v>
      </c>
      <c r="K80" s="45" t="s">
        <v>83</v>
      </c>
      <c r="L80" s="48">
        <v>50</v>
      </c>
      <c r="M80" s="49">
        <v>20241210695</v>
      </c>
      <c r="N80" s="50" t="s">
        <v>28</v>
      </c>
      <c r="O80" s="50"/>
      <c r="P80" s="50"/>
      <c r="Q80" s="51"/>
      <c r="R80" s="50"/>
      <c r="S80" s="50"/>
      <c r="T80" s="51"/>
      <c r="U80" s="50"/>
    </row>
    <row r="81" spans="1:21" x14ac:dyDescent="0.25">
      <c r="A81" s="45" t="s">
        <v>20</v>
      </c>
      <c r="B81" s="46">
        <v>45764</v>
      </c>
      <c r="C81" s="45" t="s">
        <v>352</v>
      </c>
      <c r="D81" s="47" t="s">
        <v>168</v>
      </c>
      <c r="E81" s="45" t="s">
        <v>208</v>
      </c>
      <c r="F81" s="45" t="s">
        <v>209</v>
      </c>
      <c r="G81" s="45" t="s">
        <v>1646</v>
      </c>
      <c r="H81" s="45" t="s">
        <v>2666</v>
      </c>
      <c r="I81" s="45" t="s">
        <v>2667</v>
      </c>
      <c r="J81" s="45">
        <v>609845213</v>
      </c>
      <c r="K81" s="45" t="s">
        <v>2455</v>
      </c>
      <c r="L81" s="48">
        <v>50</v>
      </c>
      <c r="M81" s="49">
        <v>20241210698</v>
      </c>
      <c r="N81" s="50" t="s">
        <v>28</v>
      </c>
      <c r="O81" s="50"/>
      <c r="P81" s="50"/>
      <c r="Q81" s="51"/>
      <c r="R81" s="50"/>
      <c r="S81" s="50"/>
      <c r="T81" s="51"/>
      <c r="U81" s="50"/>
    </row>
    <row r="82" spans="1:21" x14ac:dyDescent="0.25">
      <c r="A82" s="45" t="s">
        <v>20</v>
      </c>
      <c r="B82" s="46">
        <v>45764</v>
      </c>
      <c r="C82" s="45" t="s">
        <v>352</v>
      </c>
      <c r="D82" s="47" t="s">
        <v>168</v>
      </c>
      <c r="E82" s="45" t="s">
        <v>208</v>
      </c>
      <c r="F82" s="45" t="s">
        <v>209</v>
      </c>
      <c r="G82" s="45" t="s">
        <v>1646</v>
      </c>
      <c r="H82" s="45" t="s">
        <v>2666</v>
      </c>
      <c r="I82" s="45" t="s">
        <v>2667</v>
      </c>
      <c r="J82" s="45">
        <v>609845213</v>
      </c>
      <c r="K82" s="45" t="s">
        <v>83</v>
      </c>
      <c r="L82" s="48">
        <v>50</v>
      </c>
      <c r="M82" s="49">
        <v>20241210670</v>
      </c>
      <c r="N82" s="50" t="s">
        <v>28</v>
      </c>
      <c r="O82" s="50"/>
      <c r="P82" s="50"/>
      <c r="Q82" s="51"/>
      <c r="R82" s="50"/>
      <c r="S82" s="50"/>
      <c r="T82" s="51"/>
      <c r="U82" s="50"/>
    </row>
    <row r="83" spans="1:21" x14ac:dyDescent="0.25">
      <c r="A83" s="45" t="s">
        <v>29</v>
      </c>
      <c r="B83" s="46">
        <v>45764</v>
      </c>
      <c r="C83" s="45" t="s">
        <v>352</v>
      </c>
      <c r="D83" s="47" t="s">
        <v>168</v>
      </c>
      <c r="E83" s="45" t="s">
        <v>208</v>
      </c>
      <c r="F83" s="45" t="s">
        <v>209</v>
      </c>
      <c r="G83" s="45" t="s">
        <v>869</v>
      </c>
      <c r="H83" s="45" t="s">
        <v>371</v>
      </c>
      <c r="I83" s="45" t="s">
        <v>2668</v>
      </c>
      <c r="J83" s="45">
        <v>611052429</v>
      </c>
      <c r="K83" s="45" t="s">
        <v>1358</v>
      </c>
      <c r="L83" s="48">
        <v>416.66</v>
      </c>
      <c r="M83" s="49">
        <v>20241209519</v>
      </c>
      <c r="N83" s="50" t="s">
        <v>28</v>
      </c>
      <c r="O83" s="50"/>
      <c r="P83" s="50"/>
      <c r="Q83" s="51"/>
      <c r="R83" s="50"/>
      <c r="S83" s="50"/>
      <c r="T83" s="51"/>
      <c r="U83" s="50"/>
    </row>
    <row r="84" spans="1:21" x14ac:dyDescent="0.25">
      <c r="A84" s="45" t="s">
        <v>20</v>
      </c>
      <c r="B84" s="46">
        <v>45764</v>
      </c>
      <c r="C84" s="45" t="s">
        <v>352</v>
      </c>
      <c r="D84" s="47" t="s">
        <v>168</v>
      </c>
      <c r="E84" s="45" t="s">
        <v>208</v>
      </c>
      <c r="F84" s="45" t="s">
        <v>209</v>
      </c>
      <c r="G84" s="45" t="s">
        <v>263</v>
      </c>
      <c r="H84" s="45" t="s">
        <v>182</v>
      </c>
      <c r="I84" s="45" t="s">
        <v>2669</v>
      </c>
      <c r="J84" s="45">
        <v>611147858</v>
      </c>
      <c r="K84" s="45" t="s">
        <v>2447</v>
      </c>
      <c r="L84" s="48">
        <v>293</v>
      </c>
      <c r="M84" s="49">
        <v>20241210603</v>
      </c>
      <c r="N84" s="50" t="s">
        <v>28</v>
      </c>
      <c r="O84" s="50"/>
      <c r="P84" s="50"/>
      <c r="Q84" s="51"/>
      <c r="R84" s="50"/>
      <c r="S84" s="50"/>
      <c r="T84" s="51"/>
      <c r="U84" s="50"/>
    </row>
    <row r="85" spans="1:21" x14ac:dyDescent="0.25">
      <c r="A85" s="45" t="s">
        <v>29</v>
      </c>
      <c r="B85" s="46">
        <v>45764</v>
      </c>
      <c r="C85" s="45" t="s">
        <v>352</v>
      </c>
      <c r="D85" s="47" t="s">
        <v>168</v>
      </c>
      <c r="E85" s="45" t="s">
        <v>208</v>
      </c>
      <c r="F85" s="45" t="s">
        <v>209</v>
      </c>
      <c r="G85" s="45" t="s">
        <v>1866</v>
      </c>
      <c r="H85" s="45" t="s">
        <v>2670</v>
      </c>
      <c r="I85" s="45" t="s">
        <v>2671</v>
      </c>
      <c r="J85" s="45">
        <v>611289368</v>
      </c>
      <c r="K85" s="45" t="s">
        <v>184</v>
      </c>
      <c r="L85" s="48">
        <v>658.98</v>
      </c>
      <c r="M85" s="49">
        <v>20241210248</v>
      </c>
      <c r="N85" s="50" t="s">
        <v>28</v>
      </c>
      <c r="O85" s="50"/>
      <c r="P85" s="50"/>
      <c r="Q85" s="51"/>
      <c r="R85" s="50"/>
      <c r="S85" s="50"/>
      <c r="T85" s="51"/>
      <c r="U85" s="50"/>
    </row>
    <row r="86" spans="1:21" x14ac:dyDescent="0.25">
      <c r="A86" s="45" t="s">
        <v>29</v>
      </c>
      <c r="B86" s="46">
        <v>45764</v>
      </c>
      <c r="C86" s="45" t="s">
        <v>352</v>
      </c>
      <c r="D86" s="47" t="s">
        <v>168</v>
      </c>
      <c r="E86" s="45" t="s">
        <v>208</v>
      </c>
      <c r="F86" s="45" t="s">
        <v>209</v>
      </c>
      <c r="G86" s="45" t="s">
        <v>263</v>
      </c>
      <c r="H86" s="45" t="s">
        <v>2672</v>
      </c>
      <c r="I86" s="45" t="s">
        <v>1132</v>
      </c>
      <c r="J86" s="45">
        <v>612261061</v>
      </c>
      <c r="K86" s="45" t="s">
        <v>1702</v>
      </c>
      <c r="L86" s="48">
        <v>200</v>
      </c>
      <c r="M86" s="49">
        <v>20241209940</v>
      </c>
      <c r="N86" s="50" t="s">
        <v>28</v>
      </c>
      <c r="O86" s="50"/>
      <c r="P86" s="50"/>
      <c r="Q86" s="51"/>
      <c r="R86" s="50"/>
      <c r="S86" s="50"/>
      <c r="T86" s="51"/>
      <c r="U86" s="50"/>
    </row>
    <row r="87" spans="1:21" x14ac:dyDescent="0.25">
      <c r="A87" s="45" t="s">
        <v>233</v>
      </c>
      <c r="B87" s="46">
        <v>45648</v>
      </c>
      <c r="C87" s="45" t="s">
        <v>175</v>
      </c>
      <c r="D87" s="47"/>
      <c r="E87" s="45" t="s">
        <v>208</v>
      </c>
      <c r="F87" s="45" t="s">
        <v>209</v>
      </c>
      <c r="G87" s="45" t="s">
        <v>66</v>
      </c>
      <c r="H87" s="45" t="s">
        <v>2673</v>
      </c>
      <c r="I87" s="45" t="s">
        <v>2674</v>
      </c>
      <c r="J87" s="45">
        <v>612327611</v>
      </c>
      <c r="K87" s="45" t="s">
        <v>2675</v>
      </c>
      <c r="L87" s="48">
        <v>57.41</v>
      </c>
      <c r="M87" s="49">
        <v>20241212698</v>
      </c>
      <c r="N87" s="50" t="s">
        <v>13</v>
      </c>
      <c r="O87" s="50"/>
      <c r="P87" s="50"/>
      <c r="Q87" s="51"/>
      <c r="R87" s="50"/>
      <c r="S87" s="50"/>
      <c r="T87" s="51"/>
      <c r="U87" s="50"/>
    </row>
    <row r="88" spans="1:21" x14ac:dyDescent="0.25">
      <c r="A88" s="45" t="s">
        <v>233</v>
      </c>
      <c r="B88" s="46">
        <v>45648</v>
      </c>
      <c r="C88" s="45" t="s">
        <v>175</v>
      </c>
      <c r="D88" s="47"/>
      <c r="E88" s="45" t="s">
        <v>208</v>
      </c>
      <c r="F88" s="45" t="s">
        <v>209</v>
      </c>
      <c r="G88" s="45" t="s">
        <v>66</v>
      </c>
      <c r="H88" s="45" t="s">
        <v>2673</v>
      </c>
      <c r="I88" s="45" t="s">
        <v>2674</v>
      </c>
      <c r="J88" s="45">
        <v>612327611</v>
      </c>
      <c r="K88" s="45" t="s">
        <v>2079</v>
      </c>
      <c r="L88" s="48">
        <v>504.15</v>
      </c>
      <c r="M88" s="49">
        <v>20241212692</v>
      </c>
      <c r="N88" s="50" t="s">
        <v>13</v>
      </c>
      <c r="O88" s="50"/>
      <c r="P88" s="50"/>
      <c r="Q88" s="51"/>
      <c r="R88" s="50"/>
      <c r="S88" s="50"/>
      <c r="T88" s="51"/>
      <c r="U88" s="50"/>
    </row>
    <row r="89" spans="1:21" x14ac:dyDescent="0.25">
      <c r="A89" s="45" t="s">
        <v>233</v>
      </c>
      <c r="B89" s="46">
        <v>45648</v>
      </c>
      <c r="C89" s="45" t="s">
        <v>175</v>
      </c>
      <c r="D89" s="47"/>
      <c r="E89" s="45" t="s">
        <v>208</v>
      </c>
      <c r="F89" s="45" t="s">
        <v>209</v>
      </c>
      <c r="G89" s="45" t="s">
        <v>66</v>
      </c>
      <c r="H89" s="45" t="s">
        <v>2673</v>
      </c>
      <c r="I89" s="45" t="s">
        <v>2674</v>
      </c>
      <c r="J89" s="45">
        <v>612327611</v>
      </c>
      <c r="K89" s="45" t="s">
        <v>2675</v>
      </c>
      <c r="L89" s="48">
        <v>128.71</v>
      </c>
      <c r="M89" s="49">
        <v>20241212693</v>
      </c>
      <c r="N89" s="50" t="s">
        <v>13</v>
      </c>
      <c r="O89" s="50"/>
      <c r="P89" s="50"/>
      <c r="Q89" s="51"/>
      <c r="R89" s="50"/>
      <c r="S89" s="50"/>
      <c r="T89" s="51"/>
      <c r="U89" s="50"/>
    </row>
    <row r="90" spans="1:21" x14ac:dyDescent="0.25">
      <c r="A90" s="45" t="s">
        <v>233</v>
      </c>
      <c r="B90" s="45" t="s">
        <v>2676</v>
      </c>
      <c r="C90" s="45" t="s">
        <v>352</v>
      </c>
      <c r="D90" s="47" t="s">
        <v>175</v>
      </c>
      <c r="E90" s="45" t="s">
        <v>245</v>
      </c>
      <c r="F90" s="45" t="s">
        <v>246</v>
      </c>
      <c r="G90" s="45" t="s">
        <v>1079</v>
      </c>
      <c r="H90" s="45" t="s">
        <v>616</v>
      </c>
      <c r="I90" s="45" t="s">
        <v>2677</v>
      </c>
      <c r="J90" s="45">
        <v>390021000</v>
      </c>
      <c r="K90" s="45" t="s">
        <v>1943</v>
      </c>
      <c r="L90" s="48">
        <v>258.52999999999997</v>
      </c>
      <c r="M90" s="49">
        <v>20241209286</v>
      </c>
      <c r="N90" s="50" t="s">
        <v>13</v>
      </c>
      <c r="O90" s="50"/>
      <c r="P90" s="50"/>
      <c r="Q90" s="51"/>
      <c r="R90" s="50"/>
      <c r="S90" s="50"/>
      <c r="T90" s="51"/>
      <c r="U90" s="50"/>
    </row>
    <row r="91" spans="1:21" x14ac:dyDescent="0.25">
      <c r="A91" s="45" t="s">
        <v>233</v>
      </c>
      <c r="B91" s="45" t="s">
        <v>2676</v>
      </c>
      <c r="C91" s="45" t="s">
        <v>352</v>
      </c>
      <c r="D91" s="47" t="s">
        <v>175</v>
      </c>
      <c r="E91" s="45" t="s">
        <v>245</v>
      </c>
      <c r="F91" s="45" t="s">
        <v>246</v>
      </c>
      <c r="G91" s="45" t="s">
        <v>1079</v>
      </c>
      <c r="H91" s="45" t="s">
        <v>245</v>
      </c>
      <c r="I91" s="45" t="s">
        <v>2678</v>
      </c>
      <c r="J91" s="45">
        <v>394136968</v>
      </c>
      <c r="K91" s="45" t="s">
        <v>759</v>
      </c>
      <c r="L91" s="48">
        <v>321.79000000000002</v>
      </c>
      <c r="M91" s="49">
        <v>20241210970</v>
      </c>
      <c r="N91" s="50" t="s">
        <v>13</v>
      </c>
      <c r="O91" s="50"/>
      <c r="P91" s="50"/>
      <c r="Q91" s="51"/>
      <c r="R91" s="50"/>
      <c r="S91" s="50"/>
      <c r="T91" s="51"/>
      <c r="U91" s="50"/>
    </row>
    <row r="92" spans="1:21" x14ac:dyDescent="0.25">
      <c r="A92" s="45" t="s">
        <v>233</v>
      </c>
      <c r="B92" s="45" t="s">
        <v>2676</v>
      </c>
      <c r="C92" s="45" t="s">
        <v>352</v>
      </c>
      <c r="D92" s="47" t="s">
        <v>175</v>
      </c>
      <c r="E92" s="45" t="s">
        <v>245</v>
      </c>
      <c r="F92" s="45" t="s">
        <v>246</v>
      </c>
      <c r="G92" s="45" t="s">
        <v>2679</v>
      </c>
      <c r="H92" s="45" t="s">
        <v>2680</v>
      </c>
      <c r="I92" s="45" t="s">
        <v>2681</v>
      </c>
      <c r="J92" s="45">
        <v>434021504</v>
      </c>
      <c r="K92" s="45" t="s">
        <v>2682</v>
      </c>
      <c r="L92" s="48">
        <v>370</v>
      </c>
      <c r="M92" s="49">
        <v>202412091374</v>
      </c>
      <c r="N92" s="50" t="s">
        <v>13</v>
      </c>
      <c r="O92" s="50"/>
      <c r="P92" s="50"/>
      <c r="Q92" s="51"/>
      <c r="R92" s="50"/>
      <c r="S92" s="50"/>
      <c r="T92" s="51"/>
      <c r="U92" s="50"/>
    </row>
    <row r="93" spans="1:21" x14ac:dyDescent="0.25">
      <c r="A93" s="45" t="s">
        <v>233</v>
      </c>
      <c r="B93" s="45" t="s">
        <v>2676</v>
      </c>
      <c r="C93" s="45" t="s">
        <v>352</v>
      </c>
      <c r="D93" s="47" t="s">
        <v>175</v>
      </c>
      <c r="E93" s="45" t="s">
        <v>245</v>
      </c>
      <c r="F93" s="45" t="s">
        <v>246</v>
      </c>
      <c r="G93" s="45" t="s">
        <v>247</v>
      </c>
      <c r="H93" s="45" t="s">
        <v>2683</v>
      </c>
      <c r="I93" s="45" t="s">
        <v>2684</v>
      </c>
      <c r="J93" s="45">
        <v>434753714</v>
      </c>
      <c r="K93" s="45" t="s">
        <v>2244</v>
      </c>
      <c r="L93" s="48">
        <v>123</v>
      </c>
      <c r="M93" s="49">
        <v>20241209229</v>
      </c>
      <c r="N93" s="50" t="s">
        <v>13</v>
      </c>
      <c r="O93" s="50"/>
      <c r="P93" s="50"/>
      <c r="Q93" s="51"/>
      <c r="R93" s="50"/>
      <c r="S93" s="50"/>
      <c r="T93" s="51"/>
      <c r="U93" s="50"/>
    </row>
    <row r="94" spans="1:21" x14ac:dyDescent="0.25">
      <c r="A94" s="45" t="s">
        <v>324</v>
      </c>
      <c r="B94" s="45" t="s">
        <v>2676</v>
      </c>
      <c r="C94" s="45" t="s">
        <v>352</v>
      </c>
      <c r="D94" s="47" t="s">
        <v>175</v>
      </c>
      <c r="E94" s="45" t="s">
        <v>245</v>
      </c>
      <c r="F94" s="45" t="s">
        <v>246</v>
      </c>
      <c r="G94" s="45" t="s">
        <v>1713</v>
      </c>
      <c r="H94" s="45" t="s">
        <v>2399</v>
      </c>
      <c r="I94" s="45" t="s">
        <v>2685</v>
      </c>
      <c r="J94" s="45">
        <v>440944887</v>
      </c>
      <c r="K94" s="45" t="s">
        <v>1358</v>
      </c>
      <c r="L94" s="48">
        <v>1378.64</v>
      </c>
      <c r="M94" s="49">
        <v>20241210361</v>
      </c>
      <c r="N94" s="50" t="s">
        <v>13</v>
      </c>
      <c r="O94" s="50"/>
      <c r="P94" s="50"/>
      <c r="Q94" s="51"/>
      <c r="R94" s="50"/>
      <c r="S94" s="50"/>
      <c r="T94" s="51"/>
      <c r="U94" s="50"/>
    </row>
    <row r="95" spans="1:21" x14ac:dyDescent="0.25">
      <c r="A95" s="45" t="s">
        <v>233</v>
      </c>
      <c r="B95" s="45" t="s">
        <v>2676</v>
      </c>
      <c r="C95" s="45" t="s">
        <v>352</v>
      </c>
      <c r="D95" s="47" t="s">
        <v>175</v>
      </c>
      <c r="E95" s="45" t="s">
        <v>245</v>
      </c>
      <c r="F95" s="45" t="s">
        <v>246</v>
      </c>
      <c r="G95" s="45" t="s">
        <v>2686</v>
      </c>
      <c r="H95" s="45" t="s">
        <v>356</v>
      </c>
      <c r="I95" s="45" t="s">
        <v>2687</v>
      </c>
      <c r="J95" s="45">
        <v>506087385</v>
      </c>
      <c r="K95" s="45" t="s">
        <v>56</v>
      </c>
      <c r="L95" s="48">
        <v>5814.07</v>
      </c>
      <c r="M95" s="49">
        <v>20241209364</v>
      </c>
      <c r="N95" s="50" t="s">
        <v>13</v>
      </c>
      <c r="O95" s="50"/>
      <c r="P95" s="50"/>
      <c r="Q95" s="51"/>
      <c r="R95" s="50"/>
      <c r="S95" s="50"/>
      <c r="T95" s="51"/>
      <c r="U95" s="50"/>
    </row>
    <row r="96" spans="1:21" x14ac:dyDescent="0.25">
      <c r="A96" s="45" t="s">
        <v>20</v>
      </c>
      <c r="B96" s="46">
        <v>45764</v>
      </c>
      <c r="C96" s="45" t="s">
        <v>352</v>
      </c>
      <c r="D96" s="47" t="s">
        <v>168</v>
      </c>
      <c r="E96" s="45" t="s">
        <v>245</v>
      </c>
      <c r="F96" s="45" t="s">
        <v>246</v>
      </c>
      <c r="G96" s="45" t="s">
        <v>1284</v>
      </c>
      <c r="H96" s="45" t="s">
        <v>362</v>
      </c>
      <c r="I96" s="45" t="s">
        <v>2688</v>
      </c>
      <c r="J96" s="45">
        <v>518130788</v>
      </c>
      <c r="K96" s="45" t="s">
        <v>2689</v>
      </c>
      <c r="L96" s="48">
        <v>180</v>
      </c>
      <c r="M96" s="49">
        <v>20241209162</v>
      </c>
      <c r="N96" s="50" t="s">
        <v>28</v>
      </c>
      <c r="O96" s="50"/>
      <c r="P96" s="50"/>
      <c r="Q96" s="51"/>
      <c r="R96" s="50"/>
      <c r="S96" s="50"/>
      <c r="T96" s="51"/>
      <c r="U96" s="50"/>
    </row>
    <row r="97" spans="1:21" x14ac:dyDescent="0.25">
      <c r="A97" s="45" t="s">
        <v>407</v>
      </c>
      <c r="B97" s="45" t="s">
        <v>2676</v>
      </c>
      <c r="C97" s="45" t="s">
        <v>352</v>
      </c>
      <c r="D97" s="47" t="s">
        <v>175</v>
      </c>
      <c r="E97" s="45" t="s">
        <v>245</v>
      </c>
      <c r="F97" s="45" t="s">
        <v>246</v>
      </c>
      <c r="G97" s="45" t="s">
        <v>2511</v>
      </c>
      <c r="H97" s="45" t="s">
        <v>1313</v>
      </c>
      <c r="I97" s="45" t="s">
        <v>2690</v>
      </c>
      <c r="J97" s="45">
        <v>518570566</v>
      </c>
      <c r="K97" s="45" t="s">
        <v>196</v>
      </c>
      <c r="L97" s="48">
        <v>97.18</v>
      </c>
      <c r="M97" s="49">
        <v>20241210350</v>
      </c>
      <c r="N97" s="50" t="s">
        <v>28</v>
      </c>
      <c r="O97" s="50"/>
      <c r="P97" s="50"/>
      <c r="Q97" s="51"/>
      <c r="R97" s="50"/>
      <c r="S97" s="50"/>
      <c r="T97" s="51"/>
      <c r="U97" s="50"/>
    </row>
    <row r="98" spans="1:21" x14ac:dyDescent="0.25">
      <c r="A98" s="45" t="s">
        <v>407</v>
      </c>
      <c r="B98" s="45" t="s">
        <v>2676</v>
      </c>
      <c r="C98" s="45" t="s">
        <v>352</v>
      </c>
      <c r="D98" s="47" t="s">
        <v>175</v>
      </c>
      <c r="E98" s="45" t="s">
        <v>245</v>
      </c>
      <c r="F98" s="45" t="s">
        <v>246</v>
      </c>
      <c r="G98" s="45" t="s">
        <v>2511</v>
      </c>
      <c r="H98" s="45" t="s">
        <v>1313</v>
      </c>
      <c r="I98" s="45" t="s">
        <v>2690</v>
      </c>
      <c r="J98" s="45">
        <v>518570566</v>
      </c>
      <c r="K98" s="45" t="s">
        <v>86</v>
      </c>
      <c r="L98" s="48">
        <v>115.35</v>
      </c>
      <c r="M98" s="49">
        <v>20241210352</v>
      </c>
      <c r="N98" s="50" t="s">
        <v>28</v>
      </c>
      <c r="O98" s="50"/>
      <c r="P98" s="50"/>
      <c r="Q98" s="51"/>
      <c r="R98" s="50"/>
      <c r="S98" s="50"/>
      <c r="T98" s="51"/>
      <c r="U98" s="50"/>
    </row>
    <row r="99" spans="1:21" x14ac:dyDescent="0.25">
      <c r="A99" s="45" t="s">
        <v>407</v>
      </c>
      <c r="B99" s="45" t="s">
        <v>2676</v>
      </c>
      <c r="C99" s="45" t="s">
        <v>352</v>
      </c>
      <c r="D99" s="47" t="s">
        <v>175</v>
      </c>
      <c r="E99" s="45" t="s">
        <v>245</v>
      </c>
      <c r="F99" s="45" t="s">
        <v>246</v>
      </c>
      <c r="G99" s="45" t="s">
        <v>2511</v>
      </c>
      <c r="H99" s="45" t="s">
        <v>1313</v>
      </c>
      <c r="I99" s="45" t="s">
        <v>2690</v>
      </c>
      <c r="J99" s="45">
        <v>518570566</v>
      </c>
      <c r="K99" s="45" t="s">
        <v>1146</v>
      </c>
      <c r="L99" s="48">
        <v>115.35</v>
      </c>
      <c r="M99" s="49">
        <v>20241210353</v>
      </c>
      <c r="N99" s="50" t="s">
        <v>28</v>
      </c>
      <c r="O99" s="50"/>
      <c r="P99" s="50"/>
      <c r="Q99" s="51"/>
      <c r="R99" s="50"/>
      <c r="S99" s="50"/>
      <c r="T99" s="51"/>
      <c r="U99" s="50"/>
    </row>
    <row r="100" spans="1:21" x14ac:dyDescent="0.25">
      <c r="A100" s="45" t="s">
        <v>407</v>
      </c>
      <c r="B100" s="45" t="s">
        <v>2676</v>
      </c>
      <c r="C100" s="45" t="s">
        <v>352</v>
      </c>
      <c r="D100" s="47" t="s">
        <v>175</v>
      </c>
      <c r="E100" s="45" t="s">
        <v>245</v>
      </c>
      <c r="F100" s="45" t="s">
        <v>246</v>
      </c>
      <c r="G100" s="45" t="s">
        <v>2511</v>
      </c>
      <c r="H100" s="45" t="s">
        <v>959</v>
      </c>
      <c r="I100" s="45" t="s">
        <v>2691</v>
      </c>
      <c r="J100" s="45">
        <v>519298663</v>
      </c>
      <c r="K100" s="45" t="s">
        <v>194</v>
      </c>
      <c r="L100" s="48">
        <v>224.77</v>
      </c>
      <c r="M100" s="49">
        <v>20241209332</v>
      </c>
      <c r="N100" s="50" t="s">
        <v>13</v>
      </c>
      <c r="O100" s="50"/>
      <c r="P100" s="50"/>
      <c r="Q100" s="51"/>
      <c r="R100" s="50"/>
      <c r="S100" s="50"/>
      <c r="T100" s="51"/>
      <c r="U100" s="50"/>
    </row>
    <row r="101" spans="1:21" x14ac:dyDescent="0.25">
      <c r="A101" s="45" t="s">
        <v>407</v>
      </c>
      <c r="B101" s="45" t="s">
        <v>2676</v>
      </c>
      <c r="C101" s="45" t="s">
        <v>352</v>
      </c>
      <c r="D101" s="47" t="s">
        <v>175</v>
      </c>
      <c r="E101" s="45" t="s">
        <v>245</v>
      </c>
      <c r="F101" s="45" t="s">
        <v>246</v>
      </c>
      <c r="G101" s="45" t="s">
        <v>2511</v>
      </c>
      <c r="H101" s="45" t="s">
        <v>959</v>
      </c>
      <c r="I101" s="45" t="s">
        <v>2691</v>
      </c>
      <c r="J101" s="45">
        <v>519298663</v>
      </c>
      <c r="K101" s="45" t="s">
        <v>45</v>
      </c>
      <c r="L101" s="48">
        <v>49.92</v>
      </c>
      <c r="M101" s="49">
        <v>20241209356</v>
      </c>
      <c r="N101" s="50" t="s">
        <v>13</v>
      </c>
      <c r="O101" s="50"/>
      <c r="P101" s="50"/>
      <c r="Q101" s="51"/>
      <c r="R101" s="50"/>
      <c r="S101" s="50"/>
      <c r="T101" s="51"/>
      <c r="U101" s="50"/>
    </row>
    <row r="102" spans="1:21" x14ac:dyDescent="0.25">
      <c r="A102" s="45" t="s">
        <v>1138</v>
      </c>
      <c r="B102" s="45" t="s">
        <v>2676</v>
      </c>
      <c r="C102" s="45" t="s">
        <v>352</v>
      </c>
      <c r="D102" s="47" t="s">
        <v>175</v>
      </c>
      <c r="E102" s="45" t="s">
        <v>245</v>
      </c>
      <c r="F102" s="45" t="s">
        <v>246</v>
      </c>
      <c r="G102" s="45" t="s">
        <v>2511</v>
      </c>
      <c r="H102" s="45" t="s">
        <v>959</v>
      </c>
      <c r="I102" s="45" t="s">
        <v>2691</v>
      </c>
      <c r="J102" s="45">
        <v>519298663</v>
      </c>
      <c r="K102" s="45" t="s">
        <v>781</v>
      </c>
      <c r="L102" s="48">
        <v>37.75</v>
      </c>
      <c r="M102" s="49">
        <v>20241209360</v>
      </c>
      <c r="N102" s="50" t="s">
        <v>13</v>
      </c>
      <c r="O102" s="50"/>
      <c r="P102" s="50"/>
      <c r="Q102" s="51"/>
      <c r="R102" s="50"/>
      <c r="S102" s="50"/>
      <c r="T102" s="51"/>
      <c r="U102" s="50"/>
    </row>
    <row r="103" spans="1:21" x14ac:dyDescent="0.25">
      <c r="A103" s="45" t="s">
        <v>407</v>
      </c>
      <c r="B103" s="45" t="s">
        <v>2676</v>
      </c>
      <c r="C103" s="45" t="s">
        <v>352</v>
      </c>
      <c r="D103" s="47" t="s">
        <v>175</v>
      </c>
      <c r="E103" s="45" t="s">
        <v>245</v>
      </c>
      <c r="F103" s="45" t="s">
        <v>246</v>
      </c>
      <c r="G103" s="45" t="s">
        <v>2511</v>
      </c>
      <c r="H103" s="45" t="s">
        <v>959</v>
      </c>
      <c r="I103" s="45" t="s">
        <v>2691</v>
      </c>
      <c r="J103" s="45">
        <v>519298663</v>
      </c>
      <c r="K103" s="45" t="s">
        <v>1005</v>
      </c>
      <c r="L103" s="48">
        <v>28.93</v>
      </c>
      <c r="M103" s="49">
        <v>20241209349</v>
      </c>
      <c r="N103" s="50" t="s">
        <v>13</v>
      </c>
      <c r="O103" s="50"/>
      <c r="P103" s="50"/>
      <c r="Q103" s="51"/>
      <c r="R103" s="50"/>
      <c r="S103" s="50"/>
      <c r="T103" s="51"/>
      <c r="U103" s="50"/>
    </row>
    <row r="104" spans="1:21" x14ac:dyDescent="0.25">
      <c r="A104" s="45" t="s">
        <v>1138</v>
      </c>
      <c r="B104" s="45" t="s">
        <v>2676</v>
      </c>
      <c r="C104" s="45" t="s">
        <v>352</v>
      </c>
      <c r="D104" s="47" t="s">
        <v>175</v>
      </c>
      <c r="E104" s="45" t="s">
        <v>245</v>
      </c>
      <c r="F104" s="45" t="s">
        <v>246</v>
      </c>
      <c r="G104" s="45" t="s">
        <v>2511</v>
      </c>
      <c r="H104" s="45" t="s">
        <v>959</v>
      </c>
      <c r="I104" s="45" t="s">
        <v>2691</v>
      </c>
      <c r="J104" s="45">
        <v>519298663</v>
      </c>
      <c r="K104" s="45" t="s">
        <v>1005</v>
      </c>
      <c r="L104" s="48">
        <v>28.93</v>
      </c>
      <c r="M104" s="49">
        <v>20241209349</v>
      </c>
      <c r="N104" s="50" t="s">
        <v>13</v>
      </c>
      <c r="O104" s="50"/>
      <c r="P104" s="50"/>
      <c r="Q104" s="51"/>
      <c r="R104" s="50"/>
      <c r="S104" s="50"/>
      <c r="T104" s="51"/>
      <c r="U104" s="50"/>
    </row>
    <row r="105" spans="1:21" x14ac:dyDescent="0.25">
      <c r="A105" s="45" t="s">
        <v>20</v>
      </c>
      <c r="B105" s="45" t="s">
        <v>2676</v>
      </c>
      <c r="C105" s="45" t="s">
        <v>352</v>
      </c>
      <c r="D105" s="47" t="s">
        <v>168</v>
      </c>
      <c r="E105" s="45" t="s">
        <v>569</v>
      </c>
      <c r="F105" s="45" t="s">
        <v>570</v>
      </c>
      <c r="G105" s="45" t="s">
        <v>178</v>
      </c>
      <c r="H105" s="45" t="s">
        <v>84</v>
      </c>
      <c r="I105" s="45" t="s">
        <v>2692</v>
      </c>
      <c r="J105" s="45">
        <v>384844139</v>
      </c>
      <c r="K105" s="45" t="s">
        <v>1371</v>
      </c>
      <c r="L105" s="48">
        <v>439</v>
      </c>
      <c r="M105" s="49">
        <v>20241213999</v>
      </c>
      <c r="N105" s="50" t="s">
        <v>28</v>
      </c>
      <c r="O105" s="50"/>
      <c r="P105" s="50"/>
      <c r="Q105" s="51"/>
      <c r="R105" s="50"/>
      <c r="S105" s="50"/>
      <c r="T105" s="51"/>
      <c r="U105" s="50"/>
    </row>
    <row r="106" spans="1:21" ht="45" x14ac:dyDescent="0.25">
      <c r="A106" s="45" t="s">
        <v>20</v>
      </c>
      <c r="B106" s="45" t="s">
        <v>2676</v>
      </c>
      <c r="C106" s="45" t="s">
        <v>352</v>
      </c>
      <c r="D106" s="47" t="s">
        <v>168</v>
      </c>
      <c r="E106" s="45" t="s">
        <v>569</v>
      </c>
      <c r="F106" s="45" t="s">
        <v>570</v>
      </c>
      <c r="G106" s="45" t="s">
        <v>1475</v>
      </c>
      <c r="H106" s="45" t="s">
        <v>2693</v>
      </c>
      <c r="I106" s="45" t="s">
        <v>793</v>
      </c>
      <c r="J106" s="45">
        <v>528476986</v>
      </c>
      <c r="K106" s="45" t="s">
        <v>269</v>
      </c>
      <c r="L106" s="48">
        <v>15</v>
      </c>
      <c r="M106" s="49">
        <v>20241211988</v>
      </c>
      <c r="N106" s="50"/>
      <c r="O106" s="50"/>
      <c r="P106" s="50" t="s">
        <v>304</v>
      </c>
      <c r="Q106" s="51" t="s">
        <v>2694</v>
      </c>
      <c r="R106" s="50"/>
      <c r="S106" s="50"/>
      <c r="T106" s="51"/>
      <c r="U106" s="50"/>
    </row>
    <row r="107" spans="1:21" x14ac:dyDescent="0.25">
      <c r="A107" s="45" t="s">
        <v>20</v>
      </c>
      <c r="B107" s="45" t="s">
        <v>2676</v>
      </c>
      <c r="C107" s="45" t="s">
        <v>352</v>
      </c>
      <c r="D107" s="47" t="s">
        <v>168</v>
      </c>
      <c r="E107" s="45" t="s">
        <v>569</v>
      </c>
      <c r="F107" s="45" t="s">
        <v>570</v>
      </c>
      <c r="G107" s="45" t="s">
        <v>1475</v>
      </c>
      <c r="H107" s="45" t="s">
        <v>2693</v>
      </c>
      <c r="I107" s="45" t="s">
        <v>793</v>
      </c>
      <c r="J107" s="45">
        <v>528476986</v>
      </c>
      <c r="K107" s="45" t="s">
        <v>2255</v>
      </c>
      <c r="L107" s="48">
        <v>15</v>
      </c>
      <c r="M107" s="49">
        <v>20241211989</v>
      </c>
      <c r="N107" s="50" t="s">
        <v>28</v>
      </c>
      <c r="O107" s="50"/>
      <c r="P107" s="50"/>
      <c r="Q107" s="51"/>
      <c r="R107" s="50"/>
      <c r="S107" s="50"/>
      <c r="T107" s="51"/>
      <c r="U107" s="50"/>
    </row>
    <row r="108" spans="1:21" x14ac:dyDescent="0.25">
      <c r="A108" s="45" t="s">
        <v>756</v>
      </c>
      <c r="B108" s="45" t="s">
        <v>2676</v>
      </c>
      <c r="C108" s="45" t="s">
        <v>352</v>
      </c>
      <c r="D108" s="47" t="s">
        <v>168</v>
      </c>
      <c r="E108" s="45" t="s">
        <v>569</v>
      </c>
      <c r="F108" s="45" t="s">
        <v>570</v>
      </c>
      <c r="G108" s="45" t="s">
        <v>2695</v>
      </c>
      <c r="H108" s="45" t="s">
        <v>829</v>
      </c>
      <c r="I108" s="45" t="s">
        <v>2696</v>
      </c>
      <c r="J108" s="45">
        <v>529793952</v>
      </c>
      <c r="K108" s="45" t="s">
        <v>2618</v>
      </c>
      <c r="L108" s="48">
        <v>145</v>
      </c>
      <c r="M108" s="49">
        <v>20241211990</v>
      </c>
      <c r="N108" s="50" t="s">
        <v>28</v>
      </c>
      <c r="O108" s="50"/>
      <c r="P108" s="50"/>
      <c r="Q108" s="51"/>
      <c r="R108" s="50"/>
      <c r="S108" s="50"/>
      <c r="T108" s="51"/>
      <c r="U108" s="50"/>
    </row>
    <row r="109" spans="1:21" x14ac:dyDescent="0.25">
      <c r="A109" s="45" t="s">
        <v>20</v>
      </c>
      <c r="B109" s="45" t="s">
        <v>2676</v>
      </c>
      <c r="C109" s="45" t="s">
        <v>352</v>
      </c>
      <c r="D109" s="47" t="s">
        <v>168</v>
      </c>
      <c r="E109" s="45" t="s">
        <v>569</v>
      </c>
      <c r="F109" s="45" t="s">
        <v>570</v>
      </c>
      <c r="G109" s="45" t="s">
        <v>885</v>
      </c>
      <c r="H109" s="45" t="s">
        <v>886</v>
      </c>
      <c r="I109" s="45" t="s">
        <v>887</v>
      </c>
      <c r="J109" s="45">
        <v>568733561</v>
      </c>
      <c r="K109" s="45" t="s">
        <v>2697</v>
      </c>
      <c r="L109" s="48">
        <v>21.99</v>
      </c>
      <c r="M109" s="49">
        <v>202412131016</v>
      </c>
      <c r="N109" s="50" t="s">
        <v>28</v>
      </c>
      <c r="O109" s="50"/>
      <c r="P109" s="50"/>
      <c r="Q109" s="51"/>
      <c r="R109" s="50"/>
      <c r="S109" s="50"/>
      <c r="T109" s="51"/>
      <c r="U109" s="50"/>
    </row>
    <row r="110" spans="1:21" x14ac:dyDescent="0.25">
      <c r="A110" s="45" t="s">
        <v>20</v>
      </c>
      <c r="B110" s="46">
        <v>45765</v>
      </c>
      <c r="C110" s="45" t="s">
        <v>352</v>
      </c>
      <c r="D110" s="47" t="s">
        <v>168</v>
      </c>
      <c r="E110" s="45" t="s">
        <v>569</v>
      </c>
      <c r="F110" s="45" t="s">
        <v>570</v>
      </c>
      <c r="G110" s="45" t="s">
        <v>885</v>
      </c>
      <c r="H110" s="45" t="s">
        <v>886</v>
      </c>
      <c r="I110" s="45" t="s">
        <v>887</v>
      </c>
      <c r="J110" s="45">
        <v>568733561</v>
      </c>
      <c r="K110" s="45" t="s">
        <v>101</v>
      </c>
      <c r="L110" s="48">
        <v>14.24</v>
      </c>
      <c r="M110" s="49">
        <v>202412131017</v>
      </c>
      <c r="N110" s="50"/>
      <c r="O110" s="50"/>
      <c r="P110" s="50" t="s">
        <v>304</v>
      </c>
      <c r="Q110" s="51" t="s">
        <v>2698</v>
      </c>
      <c r="R110" s="50"/>
      <c r="S110" s="50"/>
      <c r="T110" s="51"/>
      <c r="U110" s="50"/>
    </row>
    <row r="111" spans="1:21" x14ac:dyDescent="0.25">
      <c r="A111" s="45" t="s">
        <v>20</v>
      </c>
      <c r="B111" s="46">
        <v>45765</v>
      </c>
      <c r="C111" s="45" t="s">
        <v>352</v>
      </c>
      <c r="D111" s="47" t="s">
        <v>168</v>
      </c>
      <c r="E111" s="45" t="s">
        <v>277</v>
      </c>
      <c r="F111" s="45" t="s">
        <v>278</v>
      </c>
      <c r="G111" s="45" t="s">
        <v>1689</v>
      </c>
      <c r="H111" s="45" t="s">
        <v>2620</v>
      </c>
      <c r="I111" s="45" t="s">
        <v>2699</v>
      </c>
      <c r="J111" s="45">
        <v>530621554</v>
      </c>
      <c r="K111" s="45" t="s">
        <v>933</v>
      </c>
      <c r="L111" s="48">
        <v>1.52</v>
      </c>
      <c r="M111" s="49">
        <v>202412091047</v>
      </c>
      <c r="N111" s="50" t="s">
        <v>28</v>
      </c>
      <c r="O111" s="50"/>
      <c r="P111" s="50"/>
      <c r="Q111" s="51"/>
      <c r="R111" s="50"/>
      <c r="S111" s="50"/>
      <c r="T111" s="51"/>
      <c r="U111" s="50"/>
    </row>
    <row r="112" spans="1:21" x14ac:dyDescent="0.25">
      <c r="A112" s="45" t="s">
        <v>20</v>
      </c>
      <c r="B112" s="46">
        <v>45765</v>
      </c>
      <c r="C112" s="45" t="s">
        <v>352</v>
      </c>
      <c r="D112" s="47" t="s">
        <v>168</v>
      </c>
      <c r="E112" s="45" t="s">
        <v>277</v>
      </c>
      <c r="F112" s="45" t="s">
        <v>278</v>
      </c>
      <c r="G112" s="45" t="s">
        <v>1689</v>
      </c>
      <c r="H112" s="45" t="s">
        <v>2620</v>
      </c>
      <c r="I112" s="45" t="s">
        <v>2699</v>
      </c>
      <c r="J112" s="45">
        <v>530621554</v>
      </c>
      <c r="K112" s="45" t="s">
        <v>59</v>
      </c>
      <c r="L112" s="48">
        <v>9.33</v>
      </c>
      <c r="M112" s="49">
        <v>202412091048</v>
      </c>
      <c r="N112" s="50" t="s">
        <v>28</v>
      </c>
      <c r="O112" s="50"/>
      <c r="P112" s="50"/>
      <c r="Q112" s="51"/>
      <c r="R112" s="50"/>
      <c r="S112" s="50"/>
      <c r="T112" s="51"/>
      <c r="U112" s="50"/>
    </row>
    <row r="113" spans="1:21" x14ac:dyDescent="0.25">
      <c r="A113" s="45" t="s">
        <v>20</v>
      </c>
      <c r="B113" s="46">
        <v>45765</v>
      </c>
      <c r="C113" s="45" t="s">
        <v>114</v>
      </c>
      <c r="D113" s="47" t="s">
        <v>168</v>
      </c>
      <c r="E113" s="45" t="s">
        <v>277</v>
      </c>
      <c r="F113" s="45" t="s">
        <v>278</v>
      </c>
      <c r="G113" s="45" t="s">
        <v>1689</v>
      </c>
      <c r="H113" s="45" t="s">
        <v>2620</v>
      </c>
      <c r="I113" s="45" t="s">
        <v>2699</v>
      </c>
      <c r="J113" s="45">
        <v>530621554</v>
      </c>
      <c r="K113" s="45" t="s">
        <v>2309</v>
      </c>
      <c r="L113" s="48">
        <v>2.5299999999999998</v>
      </c>
      <c r="M113" s="49">
        <v>202412091049</v>
      </c>
      <c r="N113" s="50" t="s">
        <v>28</v>
      </c>
      <c r="O113" s="50"/>
      <c r="P113" s="50"/>
      <c r="Q113" s="51"/>
      <c r="R113" s="50"/>
      <c r="S113" s="50"/>
      <c r="T113" s="51"/>
      <c r="U113" s="50"/>
    </row>
    <row r="114" spans="1:21" x14ac:dyDescent="0.25">
      <c r="A114" s="45" t="s">
        <v>20</v>
      </c>
      <c r="B114" s="46">
        <v>45765</v>
      </c>
      <c r="C114" s="45" t="s">
        <v>114</v>
      </c>
      <c r="D114" s="47" t="s">
        <v>168</v>
      </c>
      <c r="E114" s="45" t="s">
        <v>277</v>
      </c>
      <c r="F114" s="45" t="s">
        <v>278</v>
      </c>
      <c r="G114" s="45" t="s">
        <v>2700</v>
      </c>
      <c r="H114" s="45" t="s">
        <v>2701</v>
      </c>
      <c r="I114" s="45" t="s">
        <v>1558</v>
      </c>
      <c r="J114" s="45">
        <v>543159279</v>
      </c>
      <c r="K114" s="45" t="s">
        <v>59</v>
      </c>
      <c r="L114" s="48">
        <v>100</v>
      </c>
      <c r="M114" s="49">
        <v>20241210533</v>
      </c>
      <c r="N114" s="50" t="s">
        <v>28</v>
      </c>
      <c r="O114" s="50"/>
      <c r="P114" s="50"/>
      <c r="Q114" s="51"/>
      <c r="R114" s="50"/>
      <c r="S114" s="50"/>
      <c r="T114" s="51"/>
      <c r="U114" s="50"/>
    </row>
    <row r="115" spans="1:21" x14ac:dyDescent="0.25">
      <c r="A115" s="45" t="s">
        <v>20</v>
      </c>
      <c r="B115" s="46">
        <v>45765</v>
      </c>
      <c r="C115" s="45" t="s">
        <v>114</v>
      </c>
      <c r="D115" s="47" t="s">
        <v>168</v>
      </c>
      <c r="E115" s="45" t="s">
        <v>277</v>
      </c>
      <c r="F115" s="45" t="s">
        <v>278</v>
      </c>
      <c r="G115" s="45" t="s">
        <v>2702</v>
      </c>
      <c r="H115" s="45" t="s">
        <v>616</v>
      </c>
      <c r="I115" s="45" t="s">
        <v>2703</v>
      </c>
      <c r="J115" s="45">
        <v>543706120</v>
      </c>
      <c r="K115" s="45" t="s">
        <v>2447</v>
      </c>
      <c r="L115" s="48">
        <v>650</v>
      </c>
      <c r="M115" s="49">
        <v>20241209931</v>
      </c>
      <c r="N115" s="50" t="s">
        <v>28</v>
      </c>
      <c r="O115" s="50"/>
      <c r="P115" s="50"/>
      <c r="Q115" s="51"/>
      <c r="R115" s="50"/>
      <c r="S115" s="50"/>
      <c r="T115" s="51"/>
      <c r="U115" s="50"/>
    </row>
    <row r="116" spans="1:21" x14ac:dyDescent="0.25">
      <c r="A116" s="45" t="s">
        <v>20</v>
      </c>
      <c r="B116" s="46">
        <v>45765</v>
      </c>
      <c r="C116" s="45" t="s">
        <v>114</v>
      </c>
      <c r="D116" s="47" t="s">
        <v>168</v>
      </c>
      <c r="E116" s="45" t="s">
        <v>277</v>
      </c>
      <c r="F116" s="45" t="s">
        <v>278</v>
      </c>
      <c r="G116" s="45" t="s">
        <v>263</v>
      </c>
      <c r="H116" s="45" t="s">
        <v>356</v>
      </c>
      <c r="I116" s="45" t="s">
        <v>957</v>
      </c>
      <c r="J116" s="45">
        <v>544960591</v>
      </c>
      <c r="K116" s="45" t="s">
        <v>2618</v>
      </c>
      <c r="L116" s="48">
        <v>60.32</v>
      </c>
      <c r="M116" s="49">
        <v>20241213727</v>
      </c>
      <c r="N116" s="50" t="s">
        <v>28</v>
      </c>
      <c r="O116" s="50"/>
      <c r="P116" s="50"/>
      <c r="Q116" s="51"/>
      <c r="R116" s="50"/>
      <c r="S116" s="50"/>
      <c r="T116" s="51"/>
      <c r="U116" s="50"/>
    </row>
    <row r="117" spans="1:21" x14ac:dyDescent="0.25">
      <c r="A117" s="45" t="s">
        <v>20</v>
      </c>
      <c r="B117" s="46">
        <v>45765</v>
      </c>
      <c r="C117" s="45" t="s">
        <v>114</v>
      </c>
      <c r="D117" s="47" t="s">
        <v>168</v>
      </c>
      <c r="E117" s="45" t="s">
        <v>277</v>
      </c>
      <c r="F117" s="45" t="s">
        <v>278</v>
      </c>
      <c r="G117" s="45" t="s">
        <v>263</v>
      </c>
      <c r="H117" s="45" t="s">
        <v>356</v>
      </c>
      <c r="I117" s="45" t="s">
        <v>957</v>
      </c>
      <c r="J117" s="45">
        <v>544960591</v>
      </c>
      <c r="K117" s="45" t="s">
        <v>2418</v>
      </c>
      <c r="L117" s="48">
        <v>60</v>
      </c>
      <c r="M117" s="49">
        <v>20241209498</v>
      </c>
      <c r="N117" s="50" t="s">
        <v>28</v>
      </c>
      <c r="O117" s="50"/>
      <c r="P117" s="50"/>
      <c r="Q117" s="51"/>
      <c r="R117" s="50"/>
      <c r="S117" s="50"/>
      <c r="T117" s="51"/>
      <c r="U117" s="50"/>
    </row>
    <row r="118" spans="1:21" x14ac:dyDescent="0.25">
      <c r="A118" s="45" t="s">
        <v>20</v>
      </c>
      <c r="B118" s="46">
        <v>45765</v>
      </c>
      <c r="C118" s="45" t="s">
        <v>114</v>
      </c>
      <c r="D118" s="47" t="s">
        <v>168</v>
      </c>
      <c r="E118" s="45" t="s">
        <v>277</v>
      </c>
      <c r="F118" s="45" t="s">
        <v>278</v>
      </c>
      <c r="G118" s="45" t="s">
        <v>263</v>
      </c>
      <c r="H118" s="45" t="s">
        <v>356</v>
      </c>
      <c r="I118" s="45" t="s">
        <v>957</v>
      </c>
      <c r="J118" s="45">
        <v>544960591</v>
      </c>
      <c r="K118" s="45" t="s">
        <v>2418</v>
      </c>
      <c r="L118" s="48">
        <v>60</v>
      </c>
      <c r="M118" s="49">
        <v>20241209499</v>
      </c>
      <c r="N118" s="50" t="s">
        <v>28</v>
      </c>
      <c r="O118" s="50"/>
      <c r="P118" s="50"/>
      <c r="Q118" s="51"/>
      <c r="R118" s="50"/>
      <c r="S118" s="50"/>
      <c r="T118" s="51"/>
      <c r="U118" s="50"/>
    </row>
    <row r="119" spans="1:21" x14ac:dyDescent="0.25">
      <c r="A119" s="45" t="s">
        <v>314</v>
      </c>
      <c r="B119" s="46">
        <v>45765</v>
      </c>
      <c r="C119" s="45" t="s">
        <v>114</v>
      </c>
      <c r="D119" s="47" t="s">
        <v>168</v>
      </c>
      <c r="E119" s="45" t="s">
        <v>277</v>
      </c>
      <c r="F119" s="45" t="s">
        <v>278</v>
      </c>
      <c r="G119" s="45" t="s">
        <v>2704</v>
      </c>
      <c r="H119" s="45" t="s">
        <v>2705</v>
      </c>
      <c r="I119" s="45" t="s">
        <v>2706</v>
      </c>
      <c r="J119" s="45">
        <v>552137787</v>
      </c>
      <c r="K119" s="45" t="s">
        <v>1347</v>
      </c>
      <c r="L119" s="48">
        <v>80</v>
      </c>
      <c r="M119" s="49">
        <v>20241212501</v>
      </c>
      <c r="N119" s="50" t="s">
        <v>28</v>
      </c>
      <c r="O119" s="50"/>
      <c r="P119" s="50"/>
      <c r="Q119" s="51"/>
      <c r="R119" s="50"/>
      <c r="S119" s="50"/>
      <c r="T119" s="51"/>
      <c r="U119" s="50"/>
    </row>
    <row r="120" spans="1:21" x14ac:dyDescent="0.25">
      <c r="A120" s="45" t="s">
        <v>314</v>
      </c>
      <c r="B120" s="46">
        <v>45765</v>
      </c>
      <c r="C120" s="45" t="s">
        <v>114</v>
      </c>
      <c r="D120" s="47" t="s">
        <v>168</v>
      </c>
      <c r="E120" s="45" t="s">
        <v>277</v>
      </c>
      <c r="F120" s="45" t="s">
        <v>278</v>
      </c>
      <c r="G120" s="45" t="s">
        <v>2704</v>
      </c>
      <c r="H120" s="45" t="s">
        <v>2705</v>
      </c>
      <c r="I120" s="45" t="s">
        <v>2706</v>
      </c>
      <c r="J120" s="45">
        <v>552137787</v>
      </c>
      <c r="K120" s="45" t="s">
        <v>2239</v>
      </c>
      <c r="L120" s="48">
        <v>80</v>
      </c>
      <c r="M120" s="49">
        <v>20241212502</v>
      </c>
      <c r="N120" s="50" t="s">
        <v>28</v>
      </c>
      <c r="O120" s="50"/>
      <c r="P120" s="50"/>
      <c r="Q120" s="51"/>
      <c r="R120" s="50"/>
      <c r="S120" s="50"/>
      <c r="T120" s="51"/>
      <c r="U120" s="50"/>
    </row>
    <row r="121" spans="1:21" x14ac:dyDescent="0.25">
      <c r="A121" s="45" t="s">
        <v>20</v>
      </c>
      <c r="B121" s="46">
        <v>45765</v>
      </c>
      <c r="C121" s="45" t="s">
        <v>114</v>
      </c>
      <c r="D121" s="47" t="s">
        <v>168</v>
      </c>
      <c r="E121" s="45" t="s">
        <v>277</v>
      </c>
      <c r="F121" s="45" t="s">
        <v>278</v>
      </c>
      <c r="G121" s="45" t="s">
        <v>109</v>
      </c>
      <c r="H121" s="45" t="s">
        <v>2707</v>
      </c>
      <c r="I121" s="45" t="s">
        <v>2708</v>
      </c>
      <c r="J121" s="45">
        <v>554634215</v>
      </c>
      <c r="K121" s="45" t="s">
        <v>1463</v>
      </c>
      <c r="L121" s="48">
        <v>310.5</v>
      </c>
      <c r="M121" s="49">
        <v>20241205855</v>
      </c>
      <c r="N121" s="50" t="s">
        <v>28</v>
      </c>
      <c r="O121" s="50"/>
      <c r="P121" s="50"/>
      <c r="Q121" s="51"/>
      <c r="R121" s="50"/>
      <c r="S121" s="50"/>
      <c r="T121" s="51"/>
      <c r="U121" s="50"/>
    </row>
    <row r="122" spans="1:21" x14ac:dyDescent="0.25">
      <c r="A122" s="45" t="s">
        <v>20</v>
      </c>
      <c r="B122" s="46">
        <v>45765</v>
      </c>
      <c r="C122" s="45" t="s">
        <v>114</v>
      </c>
      <c r="D122" s="47" t="s">
        <v>168</v>
      </c>
      <c r="E122" s="45" t="s">
        <v>277</v>
      </c>
      <c r="F122" s="45" t="s">
        <v>278</v>
      </c>
      <c r="G122" s="45" t="s">
        <v>2709</v>
      </c>
      <c r="H122" s="45" t="s">
        <v>1816</v>
      </c>
      <c r="I122" s="45" t="s">
        <v>2710</v>
      </c>
      <c r="J122" s="45">
        <v>554972369</v>
      </c>
      <c r="K122" s="45" t="s">
        <v>101</v>
      </c>
      <c r="L122" s="48">
        <v>75</v>
      </c>
      <c r="M122" s="49">
        <v>202412091185</v>
      </c>
      <c r="N122" s="50" t="s">
        <v>28</v>
      </c>
      <c r="O122" s="50"/>
      <c r="P122" s="50"/>
      <c r="Q122" s="51"/>
      <c r="R122" s="50"/>
      <c r="S122" s="50"/>
      <c r="T122" s="51"/>
      <c r="U122" s="50"/>
    </row>
    <row r="123" spans="1:21" x14ac:dyDescent="0.25">
      <c r="A123" s="45" t="s">
        <v>20</v>
      </c>
      <c r="B123" s="46">
        <v>45765</v>
      </c>
      <c r="C123" s="45" t="s">
        <v>114</v>
      </c>
      <c r="D123" s="47" t="s">
        <v>168</v>
      </c>
      <c r="E123" s="45" t="s">
        <v>277</v>
      </c>
      <c r="F123" s="45" t="s">
        <v>278</v>
      </c>
      <c r="G123" s="45" t="s">
        <v>2709</v>
      </c>
      <c r="H123" s="45" t="s">
        <v>1816</v>
      </c>
      <c r="I123" s="45" t="s">
        <v>2710</v>
      </c>
      <c r="J123" s="45">
        <v>554972369</v>
      </c>
      <c r="K123" s="45" t="s">
        <v>101</v>
      </c>
      <c r="L123" s="48">
        <v>75</v>
      </c>
      <c r="M123" s="49">
        <v>202412091242</v>
      </c>
      <c r="N123" s="50" t="s">
        <v>28</v>
      </c>
      <c r="O123" s="50"/>
      <c r="P123" s="50"/>
      <c r="Q123" s="51"/>
      <c r="R123" s="50"/>
      <c r="S123" s="50"/>
      <c r="T123" s="51"/>
      <c r="U123" s="50"/>
    </row>
    <row r="124" spans="1:21" ht="25.5" x14ac:dyDescent="0.25">
      <c r="A124" s="45" t="s">
        <v>20</v>
      </c>
      <c r="B124" s="46">
        <v>45765</v>
      </c>
      <c r="C124" s="45" t="s">
        <v>114</v>
      </c>
      <c r="D124" s="47" t="s">
        <v>168</v>
      </c>
      <c r="E124" s="45" t="s">
        <v>277</v>
      </c>
      <c r="F124" s="45" t="s">
        <v>278</v>
      </c>
      <c r="G124" s="45" t="s">
        <v>1771</v>
      </c>
      <c r="H124" s="45" t="s">
        <v>2711</v>
      </c>
      <c r="I124" s="45" t="s">
        <v>2712</v>
      </c>
      <c r="J124" s="45">
        <v>571922030</v>
      </c>
      <c r="K124" s="45" t="s">
        <v>1143</v>
      </c>
      <c r="L124" s="48">
        <v>638.79999999999995</v>
      </c>
      <c r="M124" s="49">
        <v>20241111695</v>
      </c>
      <c r="N124" s="50" t="s">
        <v>28</v>
      </c>
      <c r="O124" s="50"/>
      <c r="P124" s="50"/>
      <c r="Q124" s="51"/>
      <c r="R124" s="50"/>
      <c r="S124" s="50"/>
      <c r="T124" s="51"/>
      <c r="U124" s="50"/>
    </row>
    <row r="125" spans="1:21" ht="60" x14ac:dyDescent="0.25">
      <c r="A125" s="45" t="s">
        <v>20</v>
      </c>
      <c r="B125" s="46">
        <v>45765</v>
      </c>
      <c r="C125" s="45" t="s">
        <v>114</v>
      </c>
      <c r="D125" s="47" t="s">
        <v>168</v>
      </c>
      <c r="E125" s="45" t="s">
        <v>277</v>
      </c>
      <c r="F125" s="45" t="s">
        <v>278</v>
      </c>
      <c r="G125" s="45" t="s">
        <v>30</v>
      </c>
      <c r="H125" s="45" t="s">
        <v>2713</v>
      </c>
      <c r="I125" s="45" t="s">
        <v>2714</v>
      </c>
      <c r="J125" s="45">
        <v>575138328</v>
      </c>
      <c r="K125" s="45" t="s">
        <v>250</v>
      </c>
      <c r="L125" s="48">
        <v>23.3</v>
      </c>
      <c r="M125" s="49">
        <v>20241210469</v>
      </c>
      <c r="N125" s="50"/>
      <c r="O125" s="50" t="s">
        <v>124</v>
      </c>
      <c r="P125" s="50"/>
      <c r="Q125" s="51" t="s">
        <v>2715</v>
      </c>
      <c r="R125" s="50"/>
      <c r="S125" s="50"/>
      <c r="T125" s="51"/>
      <c r="U125" s="50"/>
    </row>
    <row r="126" spans="1:21" x14ac:dyDescent="0.25">
      <c r="A126" s="45" t="s">
        <v>20</v>
      </c>
      <c r="B126" s="46">
        <v>45765</v>
      </c>
      <c r="C126" s="45" t="s">
        <v>114</v>
      </c>
      <c r="D126" s="47" t="s">
        <v>168</v>
      </c>
      <c r="E126" s="45" t="s">
        <v>296</v>
      </c>
      <c r="F126" s="45" t="s">
        <v>297</v>
      </c>
      <c r="G126" s="45" t="s">
        <v>2716</v>
      </c>
      <c r="H126" s="45" t="s">
        <v>2717</v>
      </c>
      <c r="I126" s="45" t="s">
        <v>2718</v>
      </c>
      <c r="J126" s="45">
        <v>251774941</v>
      </c>
      <c r="K126" s="45" t="s">
        <v>2597</v>
      </c>
      <c r="L126" s="48">
        <v>150</v>
      </c>
      <c r="M126" s="49">
        <v>20241209577</v>
      </c>
      <c r="N126" s="50" t="s">
        <v>28</v>
      </c>
      <c r="O126" s="50"/>
      <c r="P126" s="50"/>
      <c r="Q126" s="51"/>
      <c r="R126" s="50"/>
      <c r="S126" s="50"/>
      <c r="T126" s="51"/>
      <c r="U126" s="50"/>
    </row>
    <row r="127" spans="1:21" x14ac:dyDescent="0.25">
      <c r="A127" s="45" t="s">
        <v>20</v>
      </c>
      <c r="B127" s="46">
        <v>45765</v>
      </c>
      <c r="C127" s="45" t="s">
        <v>114</v>
      </c>
      <c r="D127" s="47" t="s">
        <v>168</v>
      </c>
      <c r="E127" s="45" t="s">
        <v>296</v>
      </c>
      <c r="F127" s="45" t="s">
        <v>297</v>
      </c>
      <c r="G127" s="45" t="s">
        <v>2716</v>
      </c>
      <c r="H127" s="45" t="s">
        <v>2717</v>
      </c>
      <c r="I127" s="45" t="s">
        <v>2718</v>
      </c>
      <c r="J127" s="45">
        <v>251774941</v>
      </c>
      <c r="K127" s="45" t="s">
        <v>2597</v>
      </c>
      <c r="L127" s="48">
        <v>38.5</v>
      </c>
      <c r="M127" s="49">
        <v>20241209574</v>
      </c>
      <c r="N127" s="50" t="s">
        <v>28</v>
      </c>
      <c r="O127" s="50"/>
      <c r="P127" s="50"/>
      <c r="Q127" s="51"/>
      <c r="R127" s="50"/>
      <c r="S127" s="50"/>
      <c r="T127" s="51"/>
      <c r="U127" s="50"/>
    </row>
    <row r="128" spans="1:21" x14ac:dyDescent="0.25">
      <c r="A128" s="45" t="s">
        <v>20</v>
      </c>
      <c r="B128" s="46">
        <v>45763</v>
      </c>
      <c r="C128" s="45" t="s">
        <v>168</v>
      </c>
      <c r="D128" s="47"/>
      <c r="E128" s="45" t="s">
        <v>296</v>
      </c>
      <c r="F128" s="45" t="s">
        <v>297</v>
      </c>
      <c r="G128" s="45" t="s">
        <v>2170</v>
      </c>
      <c r="H128" s="45" t="s">
        <v>1266</v>
      </c>
      <c r="I128" s="45" t="s">
        <v>2719</v>
      </c>
      <c r="J128" s="45">
        <v>265783544</v>
      </c>
      <c r="K128" s="45" t="s">
        <v>2720</v>
      </c>
      <c r="L128" s="48">
        <v>703.5</v>
      </c>
      <c r="M128" s="49">
        <v>20241213861</v>
      </c>
      <c r="N128" s="50" t="s">
        <v>28</v>
      </c>
      <c r="O128" s="50"/>
      <c r="P128" s="50"/>
      <c r="Q128" s="51"/>
      <c r="R128" s="50"/>
      <c r="S128" s="50"/>
      <c r="T128" s="51"/>
      <c r="U128" s="50"/>
    </row>
    <row r="129" spans="1:21" x14ac:dyDescent="0.25">
      <c r="A129" s="45" t="s">
        <v>20</v>
      </c>
      <c r="B129" s="46">
        <v>45763</v>
      </c>
      <c r="C129" s="45" t="s">
        <v>168</v>
      </c>
      <c r="D129" s="47"/>
      <c r="E129" s="45" t="s">
        <v>296</v>
      </c>
      <c r="F129" s="45" t="s">
        <v>297</v>
      </c>
      <c r="G129" s="45" t="s">
        <v>202</v>
      </c>
      <c r="H129" s="45" t="s">
        <v>2721</v>
      </c>
      <c r="I129" s="45" t="s">
        <v>2722</v>
      </c>
      <c r="J129" s="45">
        <v>268766816</v>
      </c>
      <c r="K129" s="45" t="s">
        <v>2455</v>
      </c>
      <c r="L129" s="48">
        <v>400</v>
      </c>
      <c r="M129" s="49">
        <v>20241211950</v>
      </c>
      <c r="N129" s="50" t="s">
        <v>28</v>
      </c>
      <c r="O129" s="50"/>
      <c r="P129" s="50"/>
      <c r="Q129" s="51"/>
      <c r="R129" s="50"/>
      <c r="S129" s="50"/>
      <c r="T129" s="51"/>
      <c r="U129" s="50"/>
    </row>
    <row r="130" spans="1:21" ht="45" x14ac:dyDescent="0.25">
      <c r="A130" s="45" t="s">
        <v>20</v>
      </c>
      <c r="B130" s="46">
        <v>45763</v>
      </c>
      <c r="C130" s="45" t="s">
        <v>168</v>
      </c>
      <c r="D130" s="47"/>
      <c r="E130" s="45" t="s">
        <v>296</v>
      </c>
      <c r="F130" s="45" t="s">
        <v>297</v>
      </c>
      <c r="G130" s="45" t="s">
        <v>202</v>
      </c>
      <c r="H130" s="45" t="s">
        <v>1847</v>
      </c>
      <c r="I130" s="45" t="s">
        <v>2723</v>
      </c>
      <c r="J130" s="45">
        <v>281680267</v>
      </c>
      <c r="K130" s="45" t="s">
        <v>271</v>
      </c>
      <c r="L130" s="48">
        <v>255.8</v>
      </c>
      <c r="M130" s="49">
        <v>20241213863</v>
      </c>
      <c r="N130" s="50"/>
      <c r="O130" s="50" t="s">
        <v>124</v>
      </c>
      <c r="P130" s="50"/>
      <c r="Q130" s="51" t="s">
        <v>2724</v>
      </c>
      <c r="R130" s="50"/>
      <c r="S130" s="50"/>
      <c r="T130" s="51"/>
      <c r="U130" s="50"/>
    </row>
    <row r="131" spans="1:21" ht="75" x14ac:dyDescent="0.25">
      <c r="A131" s="45" t="s">
        <v>29</v>
      </c>
      <c r="B131" s="46">
        <v>45763</v>
      </c>
      <c r="C131" s="45" t="s">
        <v>168</v>
      </c>
      <c r="D131" s="47"/>
      <c r="E131" s="45" t="s">
        <v>296</v>
      </c>
      <c r="F131" s="45" t="s">
        <v>297</v>
      </c>
      <c r="G131" s="45" t="s">
        <v>202</v>
      </c>
      <c r="H131" s="45" t="s">
        <v>2725</v>
      </c>
      <c r="I131" s="45" t="s">
        <v>2726</v>
      </c>
      <c r="J131" s="45">
        <v>292900513</v>
      </c>
      <c r="K131" s="45" t="s">
        <v>972</v>
      </c>
      <c r="L131" s="48">
        <v>355</v>
      </c>
      <c r="M131" s="49">
        <v>20241213867</v>
      </c>
      <c r="N131" s="50"/>
      <c r="O131" s="50" t="s">
        <v>124</v>
      </c>
      <c r="P131" s="50"/>
      <c r="Q131" s="51" t="s">
        <v>2727</v>
      </c>
      <c r="R131" s="50"/>
      <c r="S131" s="50"/>
      <c r="T131" s="51"/>
      <c r="U131" s="50"/>
    </row>
    <row r="132" spans="1:21" x14ac:dyDescent="0.25">
      <c r="A132" s="45" t="s">
        <v>20</v>
      </c>
      <c r="B132" s="46">
        <v>45763</v>
      </c>
      <c r="C132" s="45" t="s">
        <v>168</v>
      </c>
      <c r="D132" s="47"/>
      <c r="E132" s="45" t="s">
        <v>296</v>
      </c>
      <c r="F132" s="45" t="s">
        <v>297</v>
      </c>
      <c r="G132" s="45" t="s">
        <v>205</v>
      </c>
      <c r="H132" s="45" t="s">
        <v>206</v>
      </c>
      <c r="I132" s="45" t="s">
        <v>207</v>
      </c>
      <c r="J132" s="45">
        <v>299564144</v>
      </c>
      <c r="K132" s="45" t="s">
        <v>1358</v>
      </c>
      <c r="L132" s="48">
        <v>992.87</v>
      </c>
      <c r="M132" s="49">
        <v>20241212496</v>
      </c>
      <c r="N132" s="50" t="s">
        <v>28</v>
      </c>
      <c r="O132" s="50"/>
      <c r="P132" s="50"/>
      <c r="Q132" s="51"/>
      <c r="R132" s="50"/>
      <c r="S132" s="50"/>
      <c r="T132" s="51"/>
      <c r="U132" s="50"/>
    </row>
    <row r="133" spans="1:21" x14ac:dyDescent="0.25">
      <c r="A133" s="45" t="s">
        <v>29</v>
      </c>
      <c r="B133" s="46">
        <v>45763</v>
      </c>
      <c r="C133" s="45" t="s">
        <v>168</v>
      </c>
      <c r="D133" s="47"/>
      <c r="E133" s="45" t="s">
        <v>296</v>
      </c>
      <c r="F133" s="45" t="s">
        <v>297</v>
      </c>
      <c r="G133" s="45" t="s">
        <v>202</v>
      </c>
      <c r="H133" s="45" t="s">
        <v>2728</v>
      </c>
      <c r="I133" s="45" t="s">
        <v>2729</v>
      </c>
      <c r="J133" s="45">
        <v>299940137</v>
      </c>
      <c r="K133" s="45" t="s">
        <v>237</v>
      </c>
      <c r="L133" s="48">
        <v>1500</v>
      </c>
      <c r="M133" s="49">
        <v>20241212663</v>
      </c>
      <c r="N133" s="50" t="s">
        <v>28</v>
      </c>
      <c r="O133" s="50"/>
      <c r="P133" s="50"/>
      <c r="Q133" s="51"/>
      <c r="R133" s="50"/>
      <c r="S133" s="50"/>
      <c r="T133" s="51"/>
      <c r="U133" s="50"/>
    </row>
    <row r="134" spans="1:21" x14ac:dyDescent="0.25">
      <c r="A134" s="45" t="s">
        <v>29</v>
      </c>
      <c r="B134" s="46">
        <v>45763</v>
      </c>
      <c r="C134" s="45" t="s">
        <v>168</v>
      </c>
      <c r="D134" s="47"/>
      <c r="E134" s="45" t="s">
        <v>296</v>
      </c>
      <c r="F134" s="45" t="s">
        <v>297</v>
      </c>
      <c r="G134" s="45" t="s">
        <v>202</v>
      </c>
      <c r="H134" s="45" t="s">
        <v>2730</v>
      </c>
      <c r="I134" s="45" t="s">
        <v>2731</v>
      </c>
      <c r="J134" s="45">
        <v>301765810</v>
      </c>
      <c r="K134" s="45" t="s">
        <v>2079</v>
      </c>
      <c r="L134" s="48">
        <v>4590</v>
      </c>
      <c r="M134" s="49">
        <v>20241213866</v>
      </c>
      <c r="N134" s="50" t="s">
        <v>28</v>
      </c>
      <c r="O134" s="50"/>
      <c r="P134" s="50"/>
      <c r="Q134" s="51"/>
      <c r="R134" s="50"/>
      <c r="S134" s="50"/>
      <c r="T134" s="51"/>
      <c r="U134" s="50"/>
    </row>
    <row r="135" spans="1:21" x14ac:dyDescent="0.25">
      <c r="A135" s="45" t="s">
        <v>314</v>
      </c>
      <c r="B135" s="46">
        <v>45763</v>
      </c>
      <c r="C135" s="45" t="s">
        <v>168</v>
      </c>
      <c r="D135" s="47"/>
      <c r="E135" s="45" t="s">
        <v>296</v>
      </c>
      <c r="F135" s="45" t="s">
        <v>297</v>
      </c>
      <c r="G135" s="45" t="s">
        <v>2732</v>
      </c>
      <c r="H135" s="45" t="s">
        <v>2733</v>
      </c>
      <c r="I135" s="45" t="s">
        <v>2734</v>
      </c>
      <c r="J135" s="45">
        <v>323651453</v>
      </c>
      <c r="K135" s="45" t="s">
        <v>2735</v>
      </c>
      <c r="L135" s="48">
        <v>75</v>
      </c>
      <c r="M135" s="49">
        <v>20241210747</v>
      </c>
      <c r="N135" s="50" t="s">
        <v>28</v>
      </c>
      <c r="O135" s="50"/>
      <c r="P135" s="50"/>
      <c r="Q135" s="51"/>
      <c r="R135" s="50"/>
      <c r="S135" s="50"/>
      <c r="T135" s="51"/>
      <c r="U135" s="50"/>
    </row>
    <row r="136" spans="1:21" x14ac:dyDescent="0.25">
      <c r="A136" s="45" t="s">
        <v>314</v>
      </c>
      <c r="B136" s="46">
        <v>45763</v>
      </c>
      <c r="C136" s="45" t="s">
        <v>168</v>
      </c>
      <c r="D136" s="47"/>
      <c r="E136" s="45" t="s">
        <v>296</v>
      </c>
      <c r="F136" s="45" t="s">
        <v>297</v>
      </c>
      <c r="G136" s="45" t="s">
        <v>321</v>
      </c>
      <c r="H136" s="45" t="s">
        <v>2736</v>
      </c>
      <c r="I136" s="45" t="s">
        <v>2737</v>
      </c>
      <c r="J136" s="45">
        <v>324969609</v>
      </c>
      <c r="K136" s="45" t="s">
        <v>2447</v>
      </c>
      <c r="L136" s="48">
        <v>20</v>
      </c>
      <c r="M136" s="49">
        <v>20241209569</v>
      </c>
      <c r="N136" s="50" t="s">
        <v>28</v>
      </c>
      <c r="O136" s="50"/>
      <c r="P136" s="50"/>
      <c r="Q136" s="51"/>
      <c r="R136" s="50"/>
      <c r="S136" s="50"/>
      <c r="T136" s="51"/>
      <c r="U136" s="50"/>
    </row>
    <row r="137" spans="1:21" x14ac:dyDescent="0.25">
      <c r="A137" s="45" t="s">
        <v>29</v>
      </c>
      <c r="B137" s="46">
        <v>45763</v>
      </c>
      <c r="C137" s="45" t="s">
        <v>168</v>
      </c>
      <c r="D137" s="47"/>
      <c r="E137" s="45" t="s">
        <v>296</v>
      </c>
      <c r="F137" s="45" t="s">
        <v>297</v>
      </c>
      <c r="G137" s="45" t="s">
        <v>148</v>
      </c>
      <c r="H137" s="45" t="s">
        <v>214</v>
      </c>
      <c r="I137" s="45" t="s">
        <v>2738</v>
      </c>
      <c r="J137" s="45">
        <v>336680751</v>
      </c>
      <c r="K137" s="45" t="s">
        <v>1889</v>
      </c>
      <c r="L137" s="48">
        <v>360</v>
      </c>
      <c r="M137" s="49">
        <v>202412091202</v>
      </c>
      <c r="N137" s="50" t="s">
        <v>28</v>
      </c>
      <c r="O137" s="50"/>
      <c r="P137" s="50"/>
      <c r="Q137" s="51"/>
      <c r="R137" s="50"/>
      <c r="S137" s="50"/>
      <c r="T137" s="51"/>
      <c r="U137" s="50"/>
    </row>
    <row r="138" spans="1:21" x14ac:dyDescent="0.25">
      <c r="A138" s="45" t="s">
        <v>29</v>
      </c>
      <c r="B138" s="46">
        <v>45763</v>
      </c>
      <c r="C138" s="45" t="s">
        <v>168</v>
      </c>
      <c r="D138" s="47"/>
      <c r="E138" s="45" t="s">
        <v>296</v>
      </c>
      <c r="F138" s="45" t="s">
        <v>297</v>
      </c>
      <c r="G138" s="45" t="s">
        <v>975</v>
      </c>
      <c r="H138" s="45" t="s">
        <v>110</v>
      </c>
      <c r="I138" s="45" t="s">
        <v>2739</v>
      </c>
      <c r="J138" s="45">
        <v>338901048</v>
      </c>
      <c r="K138" s="45" t="s">
        <v>2418</v>
      </c>
      <c r="L138" s="48">
        <v>75</v>
      </c>
      <c r="M138" s="49">
        <v>20241212658</v>
      </c>
      <c r="N138" s="50" t="s">
        <v>28</v>
      </c>
      <c r="O138" s="50"/>
      <c r="P138" s="50"/>
      <c r="Q138" s="51"/>
      <c r="R138" s="50"/>
      <c r="S138" s="50"/>
      <c r="T138" s="51"/>
      <c r="U138" s="50"/>
    </row>
    <row r="139" spans="1:21" x14ac:dyDescent="0.25">
      <c r="A139" s="45" t="s">
        <v>29</v>
      </c>
      <c r="B139" s="46">
        <v>45763</v>
      </c>
      <c r="C139" s="45" t="s">
        <v>168</v>
      </c>
      <c r="D139" s="47"/>
      <c r="E139" s="45" t="s">
        <v>296</v>
      </c>
      <c r="F139" s="45" t="s">
        <v>297</v>
      </c>
      <c r="G139" s="45" t="s">
        <v>1000</v>
      </c>
      <c r="H139" s="45" t="s">
        <v>2740</v>
      </c>
      <c r="I139" s="45" t="s">
        <v>2741</v>
      </c>
      <c r="J139" s="45">
        <v>339804885</v>
      </c>
      <c r="K139" s="45" t="s">
        <v>1889</v>
      </c>
      <c r="L139" s="48">
        <v>416</v>
      </c>
      <c r="M139" s="49">
        <v>20241209676</v>
      </c>
      <c r="N139" s="50" t="s">
        <v>28</v>
      </c>
      <c r="O139" s="50"/>
      <c r="P139" s="50"/>
      <c r="Q139" s="51"/>
      <c r="R139" s="50"/>
      <c r="S139" s="50"/>
      <c r="T139" s="51"/>
      <c r="U139" s="50"/>
    </row>
    <row r="140" spans="1:21" x14ac:dyDescent="0.25">
      <c r="A140" s="45" t="s">
        <v>29</v>
      </c>
      <c r="B140" s="46">
        <v>45763</v>
      </c>
      <c r="C140" s="45" t="s">
        <v>168</v>
      </c>
      <c r="D140" s="47"/>
      <c r="E140" s="45" t="s">
        <v>296</v>
      </c>
      <c r="F140" s="45" t="s">
        <v>297</v>
      </c>
      <c r="G140" s="45" t="s">
        <v>1093</v>
      </c>
      <c r="H140" s="45" t="s">
        <v>1517</v>
      </c>
      <c r="I140" s="45" t="s">
        <v>2441</v>
      </c>
      <c r="J140" s="45">
        <v>340727639</v>
      </c>
      <c r="K140" s="45" t="s">
        <v>1358</v>
      </c>
      <c r="L140" s="48">
        <v>660</v>
      </c>
      <c r="M140" s="49">
        <v>20241210636</v>
      </c>
      <c r="N140" s="50" t="s">
        <v>28</v>
      </c>
      <c r="O140" s="50"/>
      <c r="P140" s="50"/>
      <c r="Q140" s="51"/>
      <c r="R140" s="50"/>
      <c r="S140" s="50"/>
      <c r="T140" s="51"/>
      <c r="U140" s="50"/>
    </row>
    <row r="141" spans="1:21" x14ac:dyDescent="0.25">
      <c r="A141" s="45" t="s">
        <v>20</v>
      </c>
      <c r="B141" s="46">
        <v>45763</v>
      </c>
      <c r="C141" s="45" t="s">
        <v>168</v>
      </c>
      <c r="D141" s="47"/>
      <c r="E141" s="45" t="s">
        <v>669</v>
      </c>
      <c r="F141" s="45" t="s">
        <v>670</v>
      </c>
      <c r="G141" s="45" t="s">
        <v>798</v>
      </c>
      <c r="H141" s="45" t="s">
        <v>2742</v>
      </c>
      <c r="I141" s="45" t="s">
        <v>2743</v>
      </c>
      <c r="J141" s="45">
        <v>75809974</v>
      </c>
      <c r="K141" s="45" t="s">
        <v>283</v>
      </c>
      <c r="L141" s="48">
        <v>50</v>
      </c>
      <c r="M141" s="49">
        <v>20241205216</v>
      </c>
      <c r="N141" s="50" t="s">
        <v>28</v>
      </c>
      <c r="O141" s="50"/>
      <c r="P141" s="50"/>
      <c r="Q141" s="51"/>
      <c r="R141" s="50"/>
      <c r="S141" s="50"/>
      <c r="T141" s="51"/>
      <c r="U141" s="50"/>
    </row>
    <row r="142" spans="1:21" x14ac:dyDescent="0.25">
      <c r="A142" s="45" t="s">
        <v>324</v>
      </c>
      <c r="B142" s="46">
        <v>45762</v>
      </c>
      <c r="C142" s="45" t="s">
        <v>21</v>
      </c>
      <c r="D142" s="47"/>
      <c r="E142" s="45" t="s">
        <v>325</v>
      </c>
      <c r="F142" s="45" t="s">
        <v>278</v>
      </c>
      <c r="G142" s="45" t="s">
        <v>326</v>
      </c>
      <c r="H142" s="45" t="s">
        <v>1983</v>
      </c>
      <c r="I142" s="45" t="s">
        <v>1984</v>
      </c>
      <c r="J142" s="45">
        <v>21791561</v>
      </c>
      <c r="K142" s="45" t="s">
        <v>2689</v>
      </c>
      <c r="L142" s="48">
        <v>80</v>
      </c>
      <c r="M142" s="49">
        <v>202412091403</v>
      </c>
      <c r="N142" s="50" t="s">
        <v>28</v>
      </c>
      <c r="O142" s="50"/>
      <c r="P142" s="50"/>
      <c r="Q142" s="51"/>
      <c r="R142" s="50"/>
      <c r="S142" s="50"/>
      <c r="T142" s="51"/>
      <c r="U142" s="50"/>
    </row>
    <row r="143" spans="1:21" x14ac:dyDescent="0.25">
      <c r="A143" s="45" t="s">
        <v>233</v>
      </c>
      <c r="B143" s="46">
        <v>45762</v>
      </c>
      <c r="C143" s="45" t="s">
        <v>21</v>
      </c>
      <c r="D143" s="47"/>
      <c r="E143" s="45" t="s">
        <v>325</v>
      </c>
      <c r="F143" s="45" t="s">
        <v>278</v>
      </c>
      <c r="G143" s="45" t="s">
        <v>333</v>
      </c>
      <c r="H143" s="45" t="s">
        <v>2744</v>
      </c>
      <c r="I143" s="45" t="s">
        <v>2407</v>
      </c>
      <c r="J143" s="45">
        <v>134604370</v>
      </c>
      <c r="K143" s="45" t="s">
        <v>2689</v>
      </c>
      <c r="L143" s="48">
        <v>10</v>
      </c>
      <c r="M143" s="49">
        <v>202412131008</v>
      </c>
      <c r="N143" s="50" t="s">
        <v>28</v>
      </c>
      <c r="O143" s="50"/>
      <c r="P143" s="50"/>
      <c r="Q143" s="51"/>
      <c r="R143" s="50"/>
      <c r="S143" s="50"/>
      <c r="T143" s="51"/>
      <c r="U143" s="50"/>
    </row>
    <row r="144" spans="1:21" x14ac:dyDescent="0.25">
      <c r="A144" s="45" t="s">
        <v>233</v>
      </c>
      <c r="B144" s="46">
        <v>45762</v>
      </c>
      <c r="C144" s="45" t="s">
        <v>21</v>
      </c>
      <c r="D144" s="47"/>
      <c r="E144" s="45" t="s">
        <v>325</v>
      </c>
      <c r="F144" s="45" t="s">
        <v>278</v>
      </c>
      <c r="G144" s="45" t="s">
        <v>333</v>
      </c>
      <c r="H144" s="45" t="s">
        <v>2744</v>
      </c>
      <c r="I144" s="45" t="s">
        <v>2407</v>
      </c>
      <c r="J144" s="45">
        <v>134604370</v>
      </c>
      <c r="K144" s="45" t="s">
        <v>2418</v>
      </c>
      <c r="L144" s="48">
        <v>10</v>
      </c>
      <c r="M144" s="49">
        <v>202412131009</v>
      </c>
      <c r="N144" s="50" t="s">
        <v>28</v>
      </c>
      <c r="O144" s="50"/>
      <c r="P144" s="50"/>
      <c r="Q144" s="51"/>
      <c r="R144" s="50"/>
      <c r="S144" s="50"/>
      <c r="T144" s="51"/>
      <c r="U144" s="50"/>
    </row>
    <row r="145" spans="1:21" x14ac:dyDescent="0.25">
      <c r="A145" s="45" t="s">
        <v>233</v>
      </c>
      <c r="B145" s="46">
        <v>45762</v>
      </c>
      <c r="C145" s="45" t="s">
        <v>21</v>
      </c>
      <c r="D145" s="47"/>
      <c r="E145" s="45" t="s">
        <v>325</v>
      </c>
      <c r="F145" s="45" t="s">
        <v>278</v>
      </c>
      <c r="G145" s="45" t="s">
        <v>333</v>
      </c>
      <c r="H145" s="45" t="s">
        <v>2744</v>
      </c>
      <c r="I145" s="45" t="s">
        <v>2407</v>
      </c>
      <c r="J145" s="45">
        <v>134604370</v>
      </c>
      <c r="K145" s="45" t="s">
        <v>358</v>
      </c>
      <c r="L145" s="48">
        <v>326.5</v>
      </c>
      <c r="M145" s="49">
        <v>202412091385</v>
      </c>
      <c r="N145" s="50" t="s">
        <v>28</v>
      </c>
      <c r="O145" s="50"/>
      <c r="P145" s="50"/>
      <c r="Q145" s="51"/>
      <c r="R145" s="50"/>
      <c r="S145" s="50"/>
      <c r="T145" s="51"/>
      <c r="U145" s="50"/>
    </row>
    <row r="146" spans="1:21" x14ac:dyDescent="0.25">
      <c r="A146" s="45" t="s">
        <v>324</v>
      </c>
      <c r="B146" s="46">
        <v>45762</v>
      </c>
      <c r="C146" s="45" t="s">
        <v>21</v>
      </c>
      <c r="D146" s="47"/>
      <c r="E146" s="45" t="s">
        <v>325</v>
      </c>
      <c r="F146" s="45" t="s">
        <v>278</v>
      </c>
      <c r="G146" s="45" t="s">
        <v>326</v>
      </c>
      <c r="H146" s="45" t="s">
        <v>1448</v>
      </c>
      <c r="I146" s="45" t="s">
        <v>2211</v>
      </c>
      <c r="J146" s="45">
        <v>135809604</v>
      </c>
      <c r="K146" s="45" t="s">
        <v>2618</v>
      </c>
      <c r="L146" s="48">
        <v>149</v>
      </c>
      <c r="M146" s="49">
        <v>20241211980</v>
      </c>
      <c r="N146" s="50" t="s">
        <v>28</v>
      </c>
      <c r="O146" s="50"/>
      <c r="P146" s="50"/>
      <c r="Q146" s="51"/>
      <c r="R146" s="50"/>
      <c r="S146" s="50"/>
      <c r="T146" s="51"/>
      <c r="U146" s="50"/>
    </row>
    <row r="147" spans="1:21" x14ac:dyDescent="0.25">
      <c r="A147" s="45" t="s">
        <v>324</v>
      </c>
      <c r="B147" s="46">
        <v>45762</v>
      </c>
      <c r="C147" s="45" t="s">
        <v>21</v>
      </c>
      <c r="D147" s="47"/>
      <c r="E147" s="45" t="s">
        <v>325</v>
      </c>
      <c r="F147" s="45" t="s">
        <v>278</v>
      </c>
      <c r="G147" s="45" t="s">
        <v>326</v>
      </c>
      <c r="H147" s="45" t="s">
        <v>2745</v>
      </c>
      <c r="I147" s="45" t="s">
        <v>2657</v>
      </c>
      <c r="J147" s="45">
        <v>635263975</v>
      </c>
      <c r="K147" s="45" t="s">
        <v>2050</v>
      </c>
      <c r="L147" s="48">
        <v>50</v>
      </c>
      <c r="M147" s="49">
        <v>202412091407</v>
      </c>
      <c r="N147" s="50" t="s">
        <v>28</v>
      </c>
      <c r="O147" s="50"/>
      <c r="P147" s="50"/>
      <c r="Q147" s="51"/>
      <c r="R147" s="50"/>
      <c r="S147" s="50"/>
      <c r="T147" s="51"/>
      <c r="U147" s="50"/>
    </row>
    <row r="148" spans="1:21" x14ac:dyDescent="0.25">
      <c r="A148" s="45" t="s">
        <v>324</v>
      </c>
      <c r="B148" s="46">
        <v>45762</v>
      </c>
      <c r="C148" s="45" t="s">
        <v>21</v>
      </c>
      <c r="D148" s="47"/>
      <c r="E148" s="45" t="s">
        <v>325</v>
      </c>
      <c r="F148" s="45" t="s">
        <v>278</v>
      </c>
      <c r="G148" s="45" t="s">
        <v>326</v>
      </c>
      <c r="H148" s="45" t="s">
        <v>2745</v>
      </c>
      <c r="I148" s="45" t="s">
        <v>2657</v>
      </c>
      <c r="J148" s="45">
        <v>635263975</v>
      </c>
      <c r="K148" s="45" t="s">
        <v>2142</v>
      </c>
      <c r="L148" s="48">
        <v>50</v>
      </c>
      <c r="M148" s="49">
        <v>202412091408</v>
      </c>
      <c r="N148" s="50" t="s">
        <v>28</v>
      </c>
      <c r="O148" s="50"/>
      <c r="P148" s="50"/>
      <c r="Q148" s="51"/>
      <c r="R148" s="50"/>
      <c r="S148" s="50"/>
      <c r="T148" s="51"/>
      <c r="U148" s="50"/>
    </row>
    <row r="149" spans="1:21" x14ac:dyDescent="0.25">
      <c r="A149" s="45" t="s">
        <v>324</v>
      </c>
      <c r="B149" s="46">
        <v>45762</v>
      </c>
      <c r="C149" s="45" t="s">
        <v>21</v>
      </c>
      <c r="D149" s="47"/>
      <c r="E149" s="45" t="s">
        <v>325</v>
      </c>
      <c r="F149" s="45" t="s">
        <v>278</v>
      </c>
      <c r="G149" s="45" t="s">
        <v>326</v>
      </c>
      <c r="H149" s="45" t="s">
        <v>2745</v>
      </c>
      <c r="I149" s="45" t="s">
        <v>2657</v>
      </c>
      <c r="J149" s="45">
        <v>635263975</v>
      </c>
      <c r="K149" s="45" t="s">
        <v>1033</v>
      </c>
      <c r="L149" s="48">
        <v>25</v>
      </c>
      <c r="M149" s="49">
        <v>202412091409</v>
      </c>
      <c r="N149" s="50" t="s">
        <v>28</v>
      </c>
      <c r="O149" s="50"/>
      <c r="P149" s="50"/>
      <c r="Q149" s="51"/>
      <c r="R149" s="50"/>
      <c r="S149" s="50"/>
      <c r="T149" s="51"/>
      <c r="U149" s="50"/>
    </row>
    <row r="150" spans="1:21" x14ac:dyDescent="0.25">
      <c r="A150" s="45" t="s">
        <v>233</v>
      </c>
      <c r="B150" s="46">
        <v>45762</v>
      </c>
      <c r="C150" s="45" t="s">
        <v>21</v>
      </c>
      <c r="D150" s="47"/>
      <c r="E150" s="45" t="s">
        <v>325</v>
      </c>
      <c r="F150" s="45" t="s">
        <v>278</v>
      </c>
      <c r="G150" s="45" t="s">
        <v>2746</v>
      </c>
      <c r="H150" s="45" t="s">
        <v>2747</v>
      </c>
      <c r="I150" s="45" t="s">
        <v>851</v>
      </c>
      <c r="J150" s="45">
        <v>641120088</v>
      </c>
      <c r="K150" s="45" t="s">
        <v>1973</v>
      </c>
      <c r="L150" s="48">
        <v>89.49</v>
      </c>
      <c r="M150" s="49">
        <v>20241211982</v>
      </c>
      <c r="N150" s="50" t="s">
        <v>28</v>
      </c>
      <c r="O150" s="50"/>
      <c r="P150" s="50"/>
      <c r="Q150" s="51"/>
      <c r="R150" s="50"/>
      <c r="S150" s="50"/>
      <c r="T150" s="51"/>
      <c r="U150" s="50"/>
    </row>
    <row r="151" spans="1:21" x14ac:dyDescent="0.25">
      <c r="A151" s="45" t="s">
        <v>324</v>
      </c>
      <c r="B151" s="46">
        <v>45762</v>
      </c>
      <c r="C151" s="45" t="s">
        <v>21</v>
      </c>
      <c r="D151" s="47"/>
      <c r="E151" s="45" t="s">
        <v>325</v>
      </c>
      <c r="F151" s="45" t="s">
        <v>278</v>
      </c>
      <c r="G151" s="45" t="s">
        <v>326</v>
      </c>
      <c r="H151" s="45" t="s">
        <v>1994</v>
      </c>
      <c r="I151" s="45" t="s">
        <v>818</v>
      </c>
      <c r="J151" s="45">
        <v>642400889</v>
      </c>
      <c r="K151" s="45" t="s">
        <v>2372</v>
      </c>
      <c r="L151" s="48">
        <v>389.17</v>
      </c>
      <c r="M151" s="49">
        <v>20241211977</v>
      </c>
      <c r="N151" s="50" t="s">
        <v>28</v>
      </c>
      <c r="O151" s="50"/>
      <c r="P151" s="50"/>
      <c r="Q151" s="51"/>
      <c r="R151" s="50"/>
      <c r="S151" s="50"/>
      <c r="T151" s="51"/>
      <c r="U151" s="50"/>
    </row>
    <row r="152" spans="1:21" x14ac:dyDescent="0.25">
      <c r="A152" s="45" t="s">
        <v>324</v>
      </c>
      <c r="B152" s="46">
        <v>45762</v>
      </c>
      <c r="C152" s="45" t="s">
        <v>21</v>
      </c>
      <c r="D152" s="47"/>
      <c r="E152" s="45" t="s">
        <v>325</v>
      </c>
      <c r="F152" s="45" t="s">
        <v>278</v>
      </c>
      <c r="G152" s="45" t="s">
        <v>326</v>
      </c>
      <c r="H152" s="45" t="s">
        <v>1356</v>
      </c>
      <c r="I152" s="45" t="s">
        <v>1357</v>
      </c>
      <c r="J152" s="45">
        <v>646148796</v>
      </c>
      <c r="K152" s="45" t="s">
        <v>2735</v>
      </c>
      <c r="L152" s="48">
        <v>80</v>
      </c>
      <c r="M152" s="49">
        <v>202412091404</v>
      </c>
      <c r="N152" s="50" t="s">
        <v>28</v>
      </c>
      <c r="O152" s="50"/>
      <c r="P152" s="50"/>
      <c r="Q152" s="51"/>
      <c r="R152" s="50"/>
      <c r="S152" s="50"/>
      <c r="T152" s="51"/>
      <c r="U152" s="50"/>
    </row>
    <row r="153" spans="1:21" x14ac:dyDescent="0.25">
      <c r="A153" s="45" t="s">
        <v>324</v>
      </c>
      <c r="B153" s="46">
        <v>45762</v>
      </c>
      <c r="C153" s="45" t="s">
        <v>21</v>
      </c>
      <c r="D153" s="47"/>
      <c r="E153" s="45" t="s">
        <v>325</v>
      </c>
      <c r="F153" s="45" t="s">
        <v>278</v>
      </c>
      <c r="G153" s="45" t="s">
        <v>326</v>
      </c>
      <c r="H153" s="45" t="s">
        <v>2748</v>
      </c>
      <c r="I153" s="45" t="s">
        <v>650</v>
      </c>
      <c r="J153" s="45">
        <v>648189053</v>
      </c>
      <c r="K153" s="45" t="s">
        <v>2372</v>
      </c>
      <c r="L153" s="48">
        <v>343.08</v>
      </c>
      <c r="M153" s="49">
        <v>202412091390</v>
      </c>
      <c r="N153" s="50" t="s">
        <v>28</v>
      </c>
      <c r="O153" s="50"/>
      <c r="P153" s="50"/>
      <c r="Q153" s="51"/>
      <c r="R153" s="50"/>
      <c r="S153" s="50"/>
      <c r="T153" s="51"/>
      <c r="U153" s="50"/>
    </row>
    <row r="154" spans="1:21" x14ac:dyDescent="0.25">
      <c r="A154" s="45" t="s">
        <v>324</v>
      </c>
      <c r="B154" s="46">
        <v>45762</v>
      </c>
      <c r="C154" s="45" t="s">
        <v>21</v>
      </c>
      <c r="D154" s="47"/>
      <c r="E154" s="45" t="s">
        <v>325</v>
      </c>
      <c r="F154" s="45" t="s">
        <v>278</v>
      </c>
      <c r="G154" s="45" t="s">
        <v>326</v>
      </c>
      <c r="H154" s="45" t="s">
        <v>2748</v>
      </c>
      <c r="I154" s="45" t="s">
        <v>650</v>
      </c>
      <c r="J154" s="45">
        <v>648189053</v>
      </c>
      <c r="K154" s="45" t="s">
        <v>2372</v>
      </c>
      <c r="L154" s="48">
        <v>181</v>
      </c>
      <c r="M154" s="49">
        <v>202412091392</v>
      </c>
      <c r="N154" s="50" t="s">
        <v>28</v>
      </c>
      <c r="O154" s="50"/>
      <c r="P154" s="50"/>
      <c r="Q154" s="51"/>
      <c r="R154" s="50"/>
      <c r="S154" s="50"/>
      <c r="T154" s="51"/>
      <c r="U154" s="50"/>
    </row>
    <row r="155" spans="1:21" x14ac:dyDescent="0.25">
      <c r="A155" s="45" t="s">
        <v>324</v>
      </c>
      <c r="B155" s="46">
        <v>45762</v>
      </c>
      <c r="C155" s="45" t="s">
        <v>21</v>
      </c>
      <c r="D155" s="47"/>
      <c r="E155" s="45" t="s">
        <v>325</v>
      </c>
      <c r="F155" s="45" t="s">
        <v>278</v>
      </c>
      <c r="G155" s="45" t="s">
        <v>326</v>
      </c>
      <c r="H155" s="45" t="s">
        <v>2748</v>
      </c>
      <c r="I155" s="45" t="s">
        <v>650</v>
      </c>
      <c r="J155" s="45">
        <v>648189053</v>
      </c>
      <c r="K155" s="45" t="s">
        <v>2455</v>
      </c>
      <c r="L155" s="48">
        <v>855.75</v>
      </c>
      <c r="M155" s="49">
        <v>202412091386</v>
      </c>
      <c r="N155" s="50" t="s">
        <v>28</v>
      </c>
      <c r="O155" s="50"/>
      <c r="P155" s="50"/>
      <c r="Q155" s="51"/>
      <c r="R155" s="50"/>
      <c r="S155" s="50"/>
      <c r="T155" s="51"/>
      <c r="U155" s="50"/>
    </row>
    <row r="156" spans="1:21" x14ac:dyDescent="0.25">
      <c r="A156" s="45" t="s">
        <v>324</v>
      </c>
      <c r="B156" s="46">
        <v>45762</v>
      </c>
      <c r="C156" s="45" t="s">
        <v>21</v>
      </c>
      <c r="D156" s="47"/>
      <c r="E156" s="45" t="s">
        <v>325</v>
      </c>
      <c r="F156" s="45" t="s">
        <v>278</v>
      </c>
      <c r="G156" s="45" t="s">
        <v>326</v>
      </c>
      <c r="H156" s="45" t="s">
        <v>179</v>
      </c>
      <c r="I156" s="45" t="s">
        <v>851</v>
      </c>
      <c r="J156" s="45">
        <v>867571697</v>
      </c>
      <c r="K156" s="45" t="s">
        <v>223</v>
      </c>
      <c r="L156" s="48">
        <v>40.07</v>
      </c>
      <c r="M156" s="49">
        <v>20241211978</v>
      </c>
      <c r="N156" s="50" t="s">
        <v>28</v>
      </c>
      <c r="O156" s="50"/>
      <c r="P156" s="50"/>
      <c r="Q156" s="51"/>
      <c r="R156" s="50"/>
      <c r="S156" s="50"/>
      <c r="T156" s="51"/>
      <c r="U156" s="50"/>
    </row>
    <row r="157" spans="1:21" x14ac:dyDescent="0.25">
      <c r="A157" s="45" t="s">
        <v>20</v>
      </c>
      <c r="B157" s="46">
        <v>45763</v>
      </c>
      <c r="C157" s="45" t="s">
        <v>168</v>
      </c>
      <c r="D157" s="47"/>
      <c r="E157" s="45" t="s">
        <v>345</v>
      </c>
      <c r="F157" s="45" t="s">
        <v>1642</v>
      </c>
      <c r="G157" s="45" t="s">
        <v>178</v>
      </c>
      <c r="H157" s="45" t="s">
        <v>2749</v>
      </c>
      <c r="I157" s="45" t="s">
        <v>2750</v>
      </c>
      <c r="J157" s="45">
        <v>223997391</v>
      </c>
      <c r="K157" s="45" t="s">
        <v>62</v>
      </c>
      <c r="L157" s="48">
        <v>150.01</v>
      </c>
      <c r="M157" s="49">
        <v>20241205634</v>
      </c>
      <c r="N157" s="50" t="s">
        <v>28</v>
      </c>
      <c r="O157" s="50"/>
      <c r="P157" s="50"/>
      <c r="Q157" s="51"/>
      <c r="R157" s="50"/>
      <c r="S157" s="50"/>
      <c r="T157" s="51"/>
      <c r="U157" s="50"/>
    </row>
    <row r="158" spans="1:21" x14ac:dyDescent="0.25">
      <c r="A158" s="45" t="s">
        <v>20</v>
      </c>
      <c r="B158" s="46">
        <v>45763</v>
      </c>
      <c r="C158" s="45" t="s">
        <v>168</v>
      </c>
      <c r="D158" s="47"/>
      <c r="E158" s="45" t="s">
        <v>345</v>
      </c>
      <c r="F158" s="45" t="s">
        <v>1642</v>
      </c>
      <c r="G158" s="45" t="s">
        <v>178</v>
      </c>
      <c r="H158" s="45" t="s">
        <v>2749</v>
      </c>
      <c r="I158" s="45" t="s">
        <v>2750</v>
      </c>
      <c r="J158" s="45">
        <v>223997391</v>
      </c>
      <c r="K158" s="45" t="s">
        <v>62</v>
      </c>
      <c r="L158" s="48">
        <v>155.01</v>
      </c>
      <c r="M158" s="49">
        <v>202412091198</v>
      </c>
      <c r="N158" s="50" t="s">
        <v>28</v>
      </c>
      <c r="O158" s="50"/>
      <c r="P158" s="50"/>
      <c r="Q158" s="51"/>
      <c r="R158" s="50"/>
      <c r="S158" s="50"/>
      <c r="T158" s="51"/>
      <c r="U158" s="50"/>
    </row>
    <row r="159" spans="1:21" x14ac:dyDescent="0.25">
      <c r="A159" s="45" t="s">
        <v>233</v>
      </c>
      <c r="B159" s="46">
        <v>45764</v>
      </c>
      <c r="C159" s="45" t="s">
        <v>21</v>
      </c>
      <c r="D159" s="47" t="s">
        <v>175</v>
      </c>
      <c r="E159" s="45" t="s">
        <v>371</v>
      </c>
      <c r="F159" s="45" t="s">
        <v>372</v>
      </c>
      <c r="G159" s="45" t="s">
        <v>338</v>
      </c>
      <c r="H159" s="45" t="s">
        <v>339</v>
      </c>
      <c r="I159" s="45" t="s">
        <v>340</v>
      </c>
      <c r="J159" s="45">
        <v>368986597</v>
      </c>
      <c r="K159" s="45" t="s">
        <v>1347</v>
      </c>
      <c r="L159" s="48">
        <v>65</v>
      </c>
      <c r="M159" s="49">
        <v>20241212436</v>
      </c>
      <c r="N159" s="50" t="s">
        <v>28</v>
      </c>
      <c r="O159" s="50"/>
      <c r="P159" s="50"/>
      <c r="Q159" s="51"/>
      <c r="R159" s="50"/>
      <c r="S159" s="50"/>
      <c r="T159" s="51"/>
      <c r="U159" s="50"/>
    </row>
    <row r="160" spans="1:21" ht="105" x14ac:dyDescent="0.25">
      <c r="A160" s="45" t="s">
        <v>324</v>
      </c>
      <c r="B160" s="46">
        <v>45764</v>
      </c>
      <c r="C160" s="45" t="s">
        <v>21</v>
      </c>
      <c r="D160" s="47" t="s">
        <v>175</v>
      </c>
      <c r="E160" s="45" t="s">
        <v>371</v>
      </c>
      <c r="F160" s="45" t="s">
        <v>372</v>
      </c>
      <c r="G160" s="45" t="s">
        <v>274</v>
      </c>
      <c r="H160" s="45" t="s">
        <v>2751</v>
      </c>
      <c r="I160" s="45" t="s">
        <v>2752</v>
      </c>
      <c r="J160" s="45">
        <v>377682651</v>
      </c>
      <c r="K160" s="45" t="s">
        <v>2372</v>
      </c>
      <c r="L160" s="48">
        <v>85</v>
      </c>
      <c r="M160" s="49">
        <v>20241209788</v>
      </c>
      <c r="N160" s="50"/>
      <c r="O160" s="50" t="s">
        <v>124</v>
      </c>
      <c r="P160" s="50"/>
      <c r="Q160" s="51" t="s">
        <v>2753</v>
      </c>
      <c r="R160" s="50"/>
      <c r="S160" s="50"/>
      <c r="T160" s="51"/>
      <c r="U160" s="50"/>
    </row>
    <row r="161" spans="1:21" x14ac:dyDescent="0.25">
      <c r="A161" s="45" t="s">
        <v>324</v>
      </c>
      <c r="B161" s="46">
        <v>45764</v>
      </c>
      <c r="C161" s="45" t="s">
        <v>21</v>
      </c>
      <c r="D161" s="47" t="s">
        <v>175</v>
      </c>
      <c r="E161" s="45" t="s">
        <v>371</v>
      </c>
      <c r="F161" s="45" t="s">
        <v>372</v>
      </c>
      <c r="G161" s="45" t="s">
        <v>274</v>
      </c>
      <c r="H161" s="45" t="s">
        <v>2751</v>
      </c>
      <c r="I161" s="45" t="s">
        <v>2752</v>
      </c>
      <c r="J161" s="45">
        <v>377682651</v>
      </c>
      <c r="K161" s="45" t="s">
        <v>56</v>
      </c>
      <c r="L161" s="48">
        <v>95</v>
      </c>
      <c r="M161" s="49">
        <v>202412091065</v>
      </c>
      <c r="N161" s="50" t="s">
        <v>13</v>
      </c>
      <c r="O161" s="50"/>
      <c r="P161" s="50"/>
      <c r="Q161" s="51"/>
      <c r="R161" s="50"/>
      <c r="S161" s="50"/>
      <c r="T161" s="51"/>
      <c r="U161" s="50"/>
    </row>
    <row r="162" spans="1:21" x14ac:dyDescent="0.25">
      <c r="A162" s="45" t="s">
        <v>324</v>
      </c>
      <c r="B162" s="46">
        <v>45764</v>
      </c>
      <c r="C162" s="45" t="s">
        <v>21</v>
      </c>
      <c r="D162" s="47" t="s">
        <v>175</v>
      </c>
      <c r="E162" s="45" t="s">
        <v>371</v>
      </c>
      <c r="F162" s="45" t="s">
        <v>372</v>
      </c>
      <c r="G162" s="45" t="s">
        <v>274</v>
      </c>
      <c r="H162" s="45" t="s">
        <v>2751</v>
      </c>
      <c r="I162" s="45" t="s">
        <v>2752</v>
      </c>
      <c r="J162" s="45">
        <v>377682651</v>
      </c>
      <c r="K162" s="45" t="s">
        <v>1358</v>
      </c>
      <c r="L162" s="48">
        <v>95</v>
      </c>
      <c r="M162" s="49">
        <v>202412091066</v>
      </c>
      <c r="N162" s="50" t="s">
        <v>13</v>
      </c>
      <c r="O162" s="50"/>
      <c r="P162" s="50"/>
      <c r="Q162" s="51"/>
      <c r="R162" s="50"/>
      <c r="S162" s="50"/>
      <c r="T162" s="51"/>
      <c r="U162" s="50"/>
    </row>
    <row r="163" spans="1:21" x14ac:dyDescent="0.25">
      <c r="A163" s="45" t="s">
        <v>324</v>
      </c>
      <c r="B163" s="46">
        <v>45764</v>
      </c>
      <c r="C163" s="45" t="s">
        <v>21</v>
      </c>
      <c r="D163" s="47" t="s">
        <v>175</v>
      </c>
      <c r="E163" s="45" t="s">
        <v>371</v>
      </c>
      <c r="F163" s="45" t="s">
        <v>372</v>
      </c>
      <c r="G163" s="45" t="s">
        <v>274</v>
      </c>
      <c r="H163" s="45" t="s">
        <v>2751</v>
      </c>
      <c r="I163" s="45" t="s">
        <v>2752</v>
      </c>
      <c r="J163" s="45">
        <v>377682651</v>
      </c>
      <c r="K163" s="45" t="s">
        <v>184</v>
      </c>
      <c r="L163" s="48">
        <v>285</v>
      </c>
      <c r="M163" s="49">
        <v>202412091056</v>
      </c>
      <c r="N163" s="50" t="s">
        <v>13</v>
      </c>
      <c r="O163" s="50"/>
      <c r="P163" s="50"/>
      <c r="Q163" s="51"/>
      <c r="R163" s="50"/>
      <c r="S163" s="50"/>
      <c r="T163" s="51"/>
      <c r="U163" s="50"/>
    </row>
    <row r="164" spans="1:21" x14ac:dyDescent="0.25">
      <c r="A164" s="45" t="s">
        <v>2382</v>
      </c>
      <c r="B164" s="46">
        <v>45764</v>
      </c>
      <c r="C164" s="45" t="s">
        <v>168</v>
      </c>
      <c r="D164" s="47" t="s">
        <v>175</v>
      </c>
      <c r="E164" s="45" t="s">
        <v>371</v>
      </c>
      <c r="F164" s="45" t="s">
        <v>372</v>
      </c>
      <c r="G164" s="45" t="s">
        <v>2383</v>
      </c>
      <c r="H164" s="45" t="s">
        <v>2392</v>
      </c>
      <c r="I164" s="45" t="s">
        <v>2393</v>
      </c>
      <c r="J164" s="45">
        <v>381379460</v>
      </c>
      <c r="K164" s="45" t="s">
        <v>2597</v>
      </c>
      <c r="L164" s="48">
        <v>39.409999999999997</v>
      </c>
      <c r="M164" s="49">
        <v>20241209265</v>
      </c>
      <c r="N164" s="50" t="s">
        <v>13</v>
      </c>
      <c r="O164" s="50"/>
      <c r="P164" s="50"/>
      <c r="Q164" s="51"/>
      <c r="R164" s="50"/>
      <c r="S164" s="50"/>
      <c r="T164" s="51"/>
      <c r="U164" s="50"/>
    </row>
    <row r="165" spans="1:21" ht="25.5" x14ac:dyDescent="0.25">
      <c r="A165" s="45" t="s">
        <v>233</v>
      </c>
      <c r="B165" s="46">
        <v>45764</v>
      </c>
      <c r="C165" s="45" t="s">
        <v>21</v>
      </c>
      <c r="D165" s="47" t="s">
        <v>175</v>
      </c>
      <c r="E165" s="45" t="s">
        <v>371</v>
      </c>
      <c r="F165" s="45" t="s">
        <v>372</v>
      </c>
      <c r="G165" s="45" t="s">
        <v>338</v>
      </c>
      <c r="H165" s="45" t="s">
        <v>2754</v>
      </c>
      <c r="I165" s="45" t="s">
        <v>2275</v>
      </c>
      <c r="J165" s="45">
        <v>381825003</v>
      </c>
      <c r="K165" s="45" t="s">
        <v>147</v>
      </c>
      <c r="L165" s="48">
        <v>42.13</v>
      </c>
      <c r="M165" s="49">
        <v>20241212466</v>
      </c>
      <c r="N165" s="50" t="s">
        <v>13</v>
      </c>
      <c r="O165" s="50"/>
      <c r="P165" s="50"/>
      <c r="Q165" s="51"/>
      <c r="R165" s="50"/>
      <c r="S165" s="50"/>
      <c r="T165" s="51"/>
      <c r="U165" s="50"/>
    </row>
    <row r="166" spans="1:21" ht="25.5" x14ac:dyDescent="0.25">
      <c r="A166" s="45" t="s">
        <v>233</v>
      </c>
      <c r="B166" s="46">
        <v>45764</v>
      </c>
      <c r="C166" s="45" t="s">
        <v>21</v>
      </c>
      <c r="D166" s="47" t="s">
        <v>175</v>
      </c>
      <c r="E166" s="45" t="s">
        <v>371</v>
      </c>
      <c r="F166" s="45" t="s">
        <v>372</v>
      </c>
      <c r="G166" s="45" t="s">
        <v>338</v>
      </c>
      <c r="H166" s="45" t="s">
        <v>2754</v>
      </c>
      <c r="I166" s="45" t="s">
        <v>2275</v>
      </c>
      <c r="J166" s="45">
        <v>381825003</v>
      </c>
      <c r="K166" s="45" t="s">
        <v>859</v>
      </c>
      <c r="L166" s="48">
        <v>42.13</v>
      </c>
      <c r="M166" s="49">
        <v>20241212594</v>
      </c>
      <c r="N166" s="50" t="s">
        <v>13</v>
      </c>
      <c r="O166" s="50"/>
      <c r="P166" s="50"/>
      <c r="Q166" s="51"/>
      <c r="R166" s="50"/>
      <c r="S166" s="50"/>
      <c r="T166" s="51"/>
      <c r="U166" s="50"/>
    </row>
    <row r="167" spans="1:21" ht="25.5" x14ac:dyDescent="0.25">
      <c r="A167" s="45" t="s">
        <v>233</v>
      </c>
      <c r="B167" s="46">
        <v>45764</v>
      </c>
      <c r="C167" s="45" t="s">
        <v>21</v>
      </c>
      <c r="D167" s="47" t="s">
        <v>175</v>
      </c>
      <c r="E167" s="45" t="s">
        <v>371</v>
      </c>
      <c r="F167" s="45" t="s">
        <v>372</v>
      </c>
      <c r="G167" s="45" t="s">
        <v>338</v>
      </c>
      <c r="H167" s="45" t="s">
        <v>2754</v>
      </c>
      <c r="I167" s="45" t="s">
        <v>2275</v>
      </c>
      <c r="J167" s="45">
        <v>381825003</v>
      </c>
      <c r="K167" s="45" t="s">
        <v>1019</v>
      </c>
      <c r="L167" s="48">
        <v>42.13</v>
      </c>
      <c r="M167" s="49">
        <v>20241212504</v>
      </c>
      <c r="N167" s="50" t="s">
        <v>13</v>
      </c>
      <c r="O167" s="50"/>
      <c r="P167" s="50"/>
      <c r="Q167" s="51"/>
      <c r="R167" s="50"/>
      <c r="S167" s="50"/>
      <c r="T167" s="51"/>
      <c r="U167" s="50"/>
    </row>
    <row r="168" spans="1:21" ht="25.5" x14ac:dyDescent="0.25">
      <c r="A168" s="45" t="s">
        <v>233</v>
      </c>
      <c r="B168" s="46">
        <v>45764</v>
      </c>
      <c r="C168" s="45" t="s">
        <v>21</v>
      </c>
      <c r="D168" s="47" t="s">
        <v>175</v>
      </c>
      <c r="E168" s="45" t="s">
        <v>371</v>
      </c>
      <c r="F168" s="45" t="s">
        <v>372</v>
      </c>
      <c r="G168" s="45" t="s">
        <v>338</v>
      </c>
      <c r="H168" s="45" t="s">
        <v>2754</v>
      </c>
      <c r="I168" s="45" t="s">
        <v>2275</v>
      </c>
      <c r="J168" s="45">
        <v>381825003</v>
      </c>
      <c r="K168" s="45" t="s">
        <v>416</v>
      </c>
      <c r="L168" s="48">
        <v>42.13</v>
      </c>
      <c r="M168" s="49">
        <v>20241212540</v>
      </c>
      <c r="N168" s="50" t="s">
        <v>13</v>
      </c>
      <c r="O168" s="50"/>
      <c r="P168" s="50"/>
      <c r="Q168" s="51"/>
      <c r="R168" s="50"/>
      <c r="S168" s="50"/>
      <c r="T168" s="51"/>
      <c r="U168" s="50"/>
    </row>
    <row r="169" spans="1:21" ht="25.5" x14ac:dyDescent="0.25">
      <c r="A169" s="45" t="s">
        <v>233</v>
      </c>
      <c r="B169" s="46">
        <v>45764</v>
      </c>
      <c r="C169" s="45" t="s">
        <v>21</v>
      </c>
      <c r="D169" s="47" t="s">
        <v>175</v>
      </c>
      <c r="E169" s="45" t="s">
        <v>371</v>
      </c>
      <c r="F169" s="45" t="s">
        <v>372</v>
      </c>
      <c r="G169" s="45" t="s">
        <v>338</v>
      </c>
      <c r="H169" s="45" t="s">
        <v>2754</v>
      </c>
      <c r="I169" s="45" t="s">
        <v>2275</v>
      </c>
      <c r="J169" s="45">
        <v>381825003</v>
      </c>
      <c r="K169" s="45" t="s">
        <v>1230</v>
      </c>
      <c r="L169" s="48">
        <v>42.13</v>
      </c>
      <c r="M169" s="49">
        <v>20241212535</v>
      </c>
      <c r="N169" s="50" t="s">
        <v>13</v>
      </c>
      <c r="O169" s="50"/>
      <c r="P169" s="50"/>
      <c r="Q169" s="51"/>
      <c r="R169" s="50"/>
      <c r="S169" s="50"/>
      <c r="T169" s="51"/>
      <c r="U169" s="50"/>
    </row>
    <row r="170" spans="1:21" ht="25.5" x14ac:dyDescent="0.25">
      <c r="A170" s="45" t="s">
        <v>233</v>
      </c>
      <c r="B170" s="46">
        <v>45764</v>
      </c>
      <c r="C170" s="45" t="s">
        <v>21</v>
      </c>
      <c r="D170" s="47" t="s">
        <v>175</v>
      </c>
      <c r="E170" s="45" t="s">
        <v>371</v>
      </c>
      <c r="F170" s="45" t="s">
        <v>372</v>
      </c>
      <c r="G170" s="45" t="s">
        <v>338</v>
      </c>
      <c r="H170" s="45" t="s">
        <v>2754</v>
      </c>
      <c r="I170" s="45" t="s">
        <v>2275</v>
      </c>
      <c r="J170" s="45">
        <v>381825003</v>
      </c>
      <c r="K170" s="45" t="s">
        <v>112</v>
      </c>
      <c r="L170" s="48">
        <v>70</v>
      </c>
      <c r="M170" s="49">
        <v>20241212521</v>
      </c>
      <c r="N170" s="50" t="s">
        <v>13</v>
      </c>
      <c r="O170" s="50"/>
      <c r="P170" s="50"/>
      <c r="Q170" s="51"/>
      <c r="R170" s="50"/>
      <c r="S170" s="50"/>
      <c r="T170" s="51"/>
      <c r="U170" s="50"/>
    </row>
    <row r="171" spans="1:21" ht="25.5" x14ac:dyDescent="0.25">
      <c r="A171" s="45" t="s">
        <v>233</v>
      </c>
      <c r="B171" s="46">
        <v>45764</v>
      </c>
      <c r="C171" s="45" t="s">
        <v>21</v>
      </c>
      <c r="D171" s="47" t="s">
        <v>175</v>
      </c>
      <c r="E171" s="45" t="s">
        <v>371</v>
      </c>
      <c r="F171" s="45" t="s">
        <v>372</v>
      </c>
      <c r="G171" s="45" t="s">
        <v>338</v>
      </c>
      <c r="H171" s="45" t="s">
        <v>2754</v>
      </c>
      <c r="I171" s="45" t="s">
        <v>2275</v>
      </c>
      <c r="J171" s="45">
        <v>381825003</v>
      </c>
      <c r="K171" s="45" t="s">
        <v>250</v>
      </c>
      <c r="L171" s="48">
        <v>8.42</v>
      </c>
      <c r="M171" s="49">
        <v>20241212523</v>
      </c>
      <c r="N171" s="50" t="s">
        <v>13</v>
      </c>
      <c r="O171" s="50"/>
      <c r="P171" s="50"/>
      <c r="Q171" s="51"/>
      <c r="R171" s="50"/>
      <c r="S171" s="50"/>
      <c r="T171" s="51"/>
      <c r="U171" s="50"/>
    </row>
    <row r="172" spans="1:21" ht="25.5" x14ac:dyDescent="0.25">
      <c r="A172" s="45" t="s">
        <v>233</v>
      </c>
      <c r="B172" s="46">
        <v>45764</v>
      </c>
      <c r="C172" s="45" t="s">
        <v>21</v>
      </c>
      <c r="D172" s="47" t="s">
        <v>175</v>
      </c>
      <c r="E172" s="45" t="s">
        <v>371</v>
      </c>
      <c r="F172" s="45" t="s">
        <v>372</v>
      </c>
      <c r="G172" s="45" t="s">
        <v>338</v>
      </c>
      <c r="H172" s="45" t="s">
        <v>2754</v>
      </c>
      <c r="I172" s="45" t="s">
        <v>2275</v>
      </c>
      <c r="J172" s="45">
        <v>381825003</v>
      </c>
      <c r="K172" s="45" t="s">
        <v>1779</v>
      </c>
      <c r="L172" s="48">
        <v>55.78</v>
      </c>
      <c r="M172" s="49">
        <v>20241212524</v>
      </c>
      <c r="N172" s="50" t="s">
        <v>13</v>
      </c>
      <c r="O172" s="50"/>
      <c r="P172" s="50"/>
      <c r="Q172" s="51"/>
      <c r="R172" s="50"/>
      <c r="S172" s="50"/>
      <c r="T172" s="51"/>
      <c r="U172" s="50"/>
    </row>
    <row r="173" spans="1:21" ht="25.5" x14ac:dyDescent="0.25">
      <c r="A173" s="45" t="s">
        <v>233</v>
      </c>
      <c r="B173" s="46">
        <v>45764</v>
      </c>
      <c r="C173" s="45" t="s">
        <v>21</v>
      </c>
      <c r="D173" s="47" t="s">
        <v>175</v>
      </c>
      <c r="E173" s="45" t="s">
        <v>371</v>
      </c>
      <c r="F173" s="45" t="s">
        <v>372</v>
      </c>
      <c r="G173" s="45" t="s">
        <v>338</v>
      </c>
      <c r="H173" s="45" t="s">
        <v>2754</v>
      </c>
      <c r="I173" s="45" t="s">
        <v>2275</v>
      </c>
      <c r="J173" s="45">
        <v>381825003</v>
      </c>
      <c r="K173" s="45" t="s">
        <v>1019</v>
      </c>
      <c r="L173" s="48">
        <v>35</v>
      </c>
      <c r="M173" s="49">
        <v>20241212526</v>
      </c>
      <c r="N173" s="50" t="s">
        <v>13</v>
      </c>
      <c r="O173" s="50"/>
      <c r="P173" s="50"/>
      <c r="Q173" s="51"/>
      <c r="R173" s="50"/>
      <c r="S173" s="50"/>
      <c r="T173" s="51"/>
      <c r="U173" s="50"/>
    </row>
    <row r="174" spans="1:21" x14ac:dyDescent="0.25">
      <c r="A174" s="45" t="s">
        <v>20</v>
      </c>
      <c r="B174" s="46">
        <v>45764</v>
      </c>
      <c r="C174" s="45" t="s">
        <v>168</v>
      </c>
      <c r="D174" s="47"/>
      <c r="E174" s="45" t="s">
        <v>362</v>
      </c>
      <c r="F174" s="45" t="s">
        <v>394</v>
      </c>
      <c r="G174" s="45" t="s">
        <v>116</v>
      </c>
      <c r="H174" s="45" t="s">
        <v>2755</v>
      </c>
      <c r="I174" s="45" t="s">
        <v>2756</v>
      </c>
      <c r="J174" s="45">
        <v>575376874</v>
      </c>
      <c r="K174" s="45" t="s">
        <v>104</v>
      </c>
      <c r="L174" s="48">
        <v>16.079999999999998</v>
      </c>
      <c r="M174" s="49">
        <v>202412091107</v>
      </c>
      <c r="N174" s="50" t="s">
        <v>28</v>
      </c>
      <c r="O174" s="50"/>
      <c r="P174" s="50"/>
      <c r="Q174" s="51"/>
      <c r="R174" s="50"/>
      <c r="S174" s="50"/>
      <c r="T174" s="51"/>
      <c r="U174" s="50"/>
    </row>
    <row r="175" spans="1:21" x14ac:dyDescent="0.25">
      <c r="A175" s="45" t="s">
        <v>20</v>
      </c>
      <c r="B175" s="46">
        <v>45764</v>
      </c>
      <c r="C175" s="45" t="s">
        <v>168</v>
      </c>
      <c r="D175" s="47"/>
      <c r="E175" s="45" t="s">
        <v>362</v>
      </c>
      <c r="F175" s="45" t="s">
        <v>394</v>
      </c>
      <c r="G175" s="45" t="s">
        <v>116</v>
      </c>
      <c r="H175" s="45" t="s">
        <v>2755</v>
      </c>
      <c r="I175" s="45" t="s">
        <v>2756</v>
      </c>
      <c r="J175" s="45">
        <v>575376874</v>
      </c>
      <c r="K175" s="45" t="s">
        <v>1491</v>
      </c>
      <c r="L175" s="48">
        <v>62.83</v>
      </c>
      <c r="M175" s="49">
        <v>202412091113</v>
      </c>
      <c r="N175" s="50" t="s">
        <v>28</v>
      </c>
      <c r="O175" s="50"/>
      <c r="P175" s="50"/>
      <c r="Q175" s="51"/>
      <c r="R175" s="50"/>
      <c r="S175" s="50"/>
      <c r="T175" s="51"/>
      <c r="U175" s="50"/>
    </row>
    <row r="176" spans="1:21" x14ac:dyDescent="0.25">
      <c r="A176" s="45" t="s">
        <v>20</v>
      </c>
      <c r="B176" s="46">
        <v>45764</v>
      </c>
      <c r="C176" s="45" t="s">
        <v>168</v>
      </c>
      <c r="D176" s="47"/>
      <c r="E176" s="45" t="s">
        <v>362</v>
      </c>
      <c r="F176" s="45" t="s">
        <v>394</v>
      </c>
      <c r="G176" s="45" t="s">
        <v>116</v>
      </c>
      <c r="H176" s="45" t="s">
        <v>2755</v>
      </c>
      <c r="I176" s="45" t="s">
        <v>2756</v>
      </c>
      <c r="J176" s="45">
        <v>575376874</v>
      </c>
      <c r="K176" s="45" t="s">
        <v>269</v>
      </c>
      <c r="L176" s="48">
        <v>19.88</v>
      </c>
      <c r="M176" s="49">
        <v>202412091116</v>
      </c>
      <c r="N176" s="50" t="s">
        <v>28</v>
      </c>
      <c r="O176" s="50"/>
      <c r="P176" s="50"/>
      <c r="Q176" s="51"/>
      <c r="R176" s="50"/>
      <c r="S176" s="50"/>
      <c r="T176" s="51"/>
      <c r="U176" s="50"/>
    </row>
    <row r="177" spans="1:21" x14ac:dyDescent="0.25">
      <c r="A177" s="45" t="s">
        <v>20</v>
      </c>
      <c r="B177" s="46">
        <v>45764</v>
      </c>
      <c r="C177" s="45" t="s">
        <v>168</v>
      </c>
      <c r="D177" s="47"/>
      <c r="E177" s="45" t="s">
        <v>362</v>
      </c>
      <c r="F177" s="45" t="s">
        <v>394</v>
      </c>
      <c r="G177" s="45" t="s">
        <v>116</v>
      </c>
      <c r="H177" s="45" t="s">
        <v>2755</v>
      </c>
      <c r="I177" s="45" t="s">
        <v>2756</v>
      </c>
      <c r="J177" s="45">
        <v>575376874</v>
      </c>
      <c r="K177" s="45" t="s">
        <v>1460</v>
      </c>
      <c r="L177" s="48">
        <v>19</v>
      </c>
      <c r="M177" s="49">
        <v>202412091119</v>
      </c>
      <c r="N177" s="50" t="s">
        <v>28</v>
      </c>
      <c r="O177" s="50"/>
      <c r="P177" s="50"/>
      <c r="Q177" s="51"/>
      <c r="R177" s="50"/>
      <c r="S177" s="50"/>
      <c r="T177" s="51"/>
      <c r="U177" s="50"/>
    </row>
    <row r="178" spans="1:21" x14ac:dyDescent="0.25">
      <c r="A178" s="45" t="s">
        <v>20</v>
      </c>
      <c r="B178" s="46">
        <v>45764</v>
      </c>
      <c r="C178" s="45" t="s">
        <v>168</v>
      </c>
      <c r="D178" s="47"/>
      <c r="E178" s="45" t="s">
        <v>362</v>
      </c>
      <c r="F178" s="45" t="s">
        <v>394</v>
      </c>
      <c r="G178" s="45" t="s">
        <v>116</v>
      </c>
      <c r="H178" s="45" t="s">
        <v>2755</v>
      </c>
      <c r="I178" s="45" t="s">
        <v>2756</v>
      </c>
      <c r="J178" s="45">
        <v>575376874</v>
      </c>
      <c r="K178" s="45" t="s">
        <v>389</v>
      </c>
      <c r="L178" s="48">
        <v>16.03</v>
      </c>
      <c r="M178" s="49">
        <v>202412091099</v>
      </c>
      <c r="N178" s="50" t="s">
        <v>28</v>
      </c>
      <c r="O178" s="50"/>
      <c r="P178" s="50"/>
      <c r="Q178" s="51"/>
      <c r="R178" s="50"/>
      <c r="S178" s="50"/>
      <c r="T178" s="51"/>
      <c r="U178" s="50"/>
    </row>
    <row r="179" spans="1:21" x14ac:dyDescent="0.25">
      <c r="A179" s="45" t="s">
        <v>20</v>
      </c>
      <c r="B179" s="46">
        <v>45764</v>
      </c>
      <c r="C179" s="45" t="s">
        <v>168</v>
      </c>
      <c r="D179" s="47"/>
      <c r="E179" s="45" t="s">
        <v>362</v>
      </c>
      <c r="F179" s="45" t="s">
        <v>394</v>
      </c>
      <c r="G179" s="45" t="s">
        <v>116</v>
      </c>
      <c r="H179" s="45" t="s">
        <v>2755</v>
      </c>
      <c r="I179" s="45" t="s">
        <v>2756</v>
      </c>
      <c r="J179" s="45">
        <v>575376874</v>
      </c>
      <c r="K179" s="45" t="s">
        <v>408</v>
      </c>
      <c r="L179" s="48">
        <v>16.03</v>
      </c>
      <c r="M179" s="49">
        <v>202412091086</v>
      </c>
      <c r="N179" s="50" t="s">
        <v>28</v>
      </c>
      <c r="O179" s="50"/>
      <c r="P179" s="50"/>
      <c r="Q179" s="51"/>
      <c r="R179" s="50"/>
      <c r="S179" s="50"/>
      <c r="T179" s="51"/>
      <c r="U179" s="50"/>
    </row>
    <row r="180" spans="1:21" x14ac:dyDescent="0.25">
      <c r="A180" s="45" t="s">
        <v>20</v>
      </c>
      <c r="B180" s="46">
        <v>45764</v>
      </c>
      <c r="C180" s="45" t="s">
        <v>168</v>
      </c>
      <c r="D180" s="47"/>
      <c r="E180" s="45" t="s">
        <v>362</v>
      </c>
      <c r="F180" s="45" t="s">
        <v>394</v>
      </c>
      <c r="G180" s="45" t="s">
        <v>116</v>
      </c>
      <c r="H180" s="45" t="s">
        <v>2755</v>
      </c>
      <c r="I180" s="45" t="s">
        <v>2756</v>
      </c>
      <c r="J180" s="45">
        <v>575376874</v>
      </c>
      <c r="K180" s="45" t="s">
        <v>1115</v>
      </c>
      <c r="L180" s="48">
        <v>14.41</v>
      </c>
      <c r="M180" s="49">
        <v>202412091088</v>
      </c>
      <c r="N180" s="50" t="s">
        <v>28</v>
      </c>
      <c r="O180" s="50"/>
      <c r="P180" s="50"/>
      <c r="Q180" s="51"/>
      <c r="R180" s="50"/>
      <c r="S180" s="50"/>
      <c r="T180" s="51"/>
      <c r="U180" s="50"/>
    </row>
    <row r="181" spans="1:21" x14ac:dyDescent="0.25">
      <c r="A181" s="45" t="s">
        <v>20</v>
      </c>
      <c r="B181" s="46">
        <v>45764</v>
      </c>
      <c r="C181" s="45" t="s">
        <v>168</v>
      </c>
      <c r="D181" s="47"/>
      <c r="E181" s="45" t="s">
        <v>362</v>
      </c>
      <c r="F181" s="45" t="s">
        <v>394</v>
      </c>
      <c r="G181" s="45" t="s">
        <v>116</v>
      </c>
      <c r="H181" s="45" t="s">
        <v>2755</v>
      </c>
      <c r="I181" s="45" t="s">
        <v>2756</v>
      </c>
      <c r="J181" s="45">
        <v>575376874</v>
      </c>
      <c r="K181" s="45" t="s">
        <v>104</v>
      </c>
      <c r="L181" s="48">
        <v>230.78</v>
      </c>
      <c r="M181" s="49">
        <v>202412091106</v>
      </c>
      <c r="N181" s="50" t="s">
        <v>28</v>
      </c>
      <c r="O181" s="50"/>
      <c r="P181" s="50"/>
      <c r="Q181" s="51"/>
      <c r="R181" s="50"/>
      <c r="S181" s="50"/>
      <c r="T181" s="51"/>
      <c r="U181" s="50"/>
    </row>
    <row r="182" spans="1:21" x14ac:dyDescent="0.25">
      <c r="A182" s="45" t="s">
        <v>20</v>
      </c>
      <c r="B182" s="46">
        <v>45764</v>
      </c>
      <c r="C182" s="45" t="s">
        <v>168</v>
      </c>
      <c r="D182" s="47"/>
      <c r="E182" s="45" t="s">
        <v>362</v>
      </c>
      <c r="F182" s="45" t="s">
        <v>394</v>
      </c>
      <c r="G182" s="45" t="s">
        <v>116</v>
      </c>
      <c r="H182" s="45" t="s">
        <v>2755</v>
      </c>
      <c r="I182" s="45" t="s">
        <v>2756</v>
      </c>
      <c r="J182" s="45">
        <v>575376874</v>
      </c>
      <c r="K182" s="45" t="s">
        <v>1395</v>
      </c>
      <c r="L182" s="48">
        <v>16.03</v>
      </c>
      <c r="M182" s="49">
        <v>202412091093</v>
      </c>
      <c r="N182" s="50" t="s">
        <v>28</v>
      </c>
      <c r="O182" s="50"/>
      <c r="P182" s="50"/>
      <c r="Q182" s="51"/>
      <c r="R182" s="50"/>
      <c r="S182" s="50"/>
      <c r="T182" s="51"/>
      <c r="U182" s="50"/>
    </row>
    <row r="183" spans="1:21" x14ac:dyDescent="0.25">
      <c r="A183" s="45" t="s">
        <v>20</v>
      </c>
      <c r="B183" s="46">
        <v>45764</v>
      </c>
      <c r="C183" s="45" t="s">
        <v>168</v>
      </c>
      <c r="D183" s="47"/>
      <c r="E183" s="45" t="s">
        <v>362</v>
      </c>
      <c r="F183" s="45" t="s">
        <v>394</v>
      </c>
      <c r="G183" s="45" t="s">
        <v>116</v>
      </c>
      <c r="H183" s="45" t="s">
        <v>2755</v>
      </c>
      <c r="I183" s="45" t="s">
        <v>2756</v>
      </c>
      <c r="J183" s="45">
        <v>575376874</v>
      </c>
      <c r="K183" s="45" t="s">
        <v>2505</v>
      </c>
      <c r="L183" s="48">
        <v>20.12</v>
      </c>
      <c r="M183" s="49">
        <v>202412091085</v>
      </c>
      <c r="N183" s="50" t="s">
        <v>28</v>
      </c>
      <c r="O183" s="50"/>
      <c r="P183" s="50"/>
      <c r="Q183" s="51"/>
      <c r="R183" s="50"/>
      <c r="S183" s="50"/>
      <c r="T183" s="51"/>
      <c r="U183" s="50"/>
    </row>
    <row r="184" spans="1:21" x14ac:dyDescent="0.25">
      <c r="A184" s="45" t="s">
        <v>20</v>
      </c>
      <c r="B184" s="46">
        <v>45764</v>
      </c>
      <c r="C184" s="45" t="s">
        <v>168</v>
      </c>
      <c r="D184" s="47"/>
      <c r="E184" s="45" t="s">
        <v>362</v>
      </c>
      <c r="F184" s="45" t="s">
        <v>394</v>
      </c>
      <c r="G184" s="45" t="s">
        <v>116</v>
      </c>
      <c r="H184" s="45" t="s">
        <v>2755</v>
      </c>
      <c r="I184" s="45" t="s">
        <v>2756</v>
      </c>
      <c r="J184" s="45">
        <v>575376874</v>
      </c>
      <c r="K184" s="45" t="s">
        <v>2464</v>
      </c>
      <c r="L184" s="48">
        <v>867.01</v>
      </c>
      <c r="M184" s="49">
        <v>202412091141</v>
      </c>
      <c r="N184" s="50" t="s">
        <v>28</v>
      </c>
      <c r="O184" s="50"/>
      <c r="P184" s="50"/>
      <c r="Q184" s="51"/>
      <c r="R184" s="50"/>
      <c r="S184" s="50"/>
      <c r="T184" s="51"/>
      <c r="U184" s="50"/>
    </row>
    <row r="185" spans="1:21" x14ac:dyDescent="0.25">
      <c r="A185" s="45" t="s">
        <v>233</v>
      </c>
      <c r="B185" s="46">
        <v>45765</v>
      </c>
      <c r="C185" s="45" t="s">
        <v>21</v>
      </c>
      <c r="D185" s="47" t="s">
        <v>34</v>
      </c>
      <c r="E185" s="45" t="s">
        <v>362</v>
      </c>
      <c r="F185" s="45" t="s">
        <v>394</v>
      </c>
      <c r="G185" s="45" t="s">
        <v>1339</v>
      </c>
      <c r="H185" s="45" t="s">
        <v>2757</v>
      </c>
      <c r="I185" s="45" t="s">
        <v>2758</v>
      </c>
      <c r="J185" s="45">
        <v>575860381</v>
      </c>
      <c r="K185" s="45" t="s">
        <v>1686</v>
      </c>
      <c r="L185" s="48">
        <v>226.7</v>
      </c>
      <c r="M185" s="49">
        <v>20241209690</v>
      </c>
      <c r="N185" s="50" t="s">
        <v>28</v>
      </c>
      <c r="O185" s="50"/>
      <c r="P185" s="50"/>
      <c r="Q185" s="51"/>
      <c r="R185" s="50"/>
      <c r="S185" s="50"/>
      <c r="T185" s="51"/>
      <c r="U185" s="50"/>
    </row>
    <row r="186" spans="1:21" x14ac:dyDescent="0.25">
      <c r="A186" s="45" t="s">
        <v>233</v>
      </c>
      <c r="B186" s="46">
        <v>45765</v>
      </c>
      <c r="C186" s="45" t="s">
        <v>21</v>
      </c>
      <c r="D186" s="47" t="s">
        <v>34</v>
      </c>
      <c r="E186" s="45" t="s">
        <v>362</v>
      </c>
      <c r="F186" s="45" t="s">
        <v>394</v>
      </c>
      <c r="G186" s="45" t="s">
        <v>1339</v>
      </c>
      <c r="H186" s="45" t="s">
        <v>2757</v>
      </c>
      <c r="I186" s="45" t="s">
        <v>2758</v>
      </c>
      <c r="J186" s="45">
        <v>575860381</v>
      </c>
      <c r="K186" s="45" t="s">
        <v>1907</v>
      </c>
      <c r="L186" s="48">
        <v>1311.61</v>
      </c>
      <c r="M186" s="49">
        <v>20241209702</v>
      </c>
      <c r="N186" s="50" t="s">
        <v>28</v>
      </c>
      <c r="O186" s="50"/>
      <c r="P186" s="50"/>
      <c r="Q186" s="51"/>
      <c r="R186" s="50"/>
      <c r="S186" s="50"/>
      <c r="T186" s="51"/>
      <c r="U186" s="50"/>
    </row>
    <row r="187" spans="1:21" x14ac:dyDescent="0.25">
      <c r="A187" s="45" t="s">
        <v>38</v>
      </c>
      <c r="B187" s="46">
        <v>45765</v>
      </c>
      <c r="C187" s="45" t="s">
        <v>168</v>
      </c>
      <c r="D187" s="47" t="s">
        <v>34</v>
      </c>
      <c r="E187" s="45" t="s">
        <v>362</v>
      </c>
      <c r="F187" s="45" t="s">
        <v>394</v>
      </c>
      <c r="G187" s="45" t="s">
        <v>1339</v>
      </c>
      <c r="H187" s="45" t="s">
        <v>2757</v>
      </c>
      <c r="I187" s="45" t="s">
        <v>2758</v>
      </c>
      <c r="J187" s="45">
        <v>575860381</v>
      </c>
      <c r="K187" s="45" t="s">
        <v>1907</v>
      </c>
      <c r="L187" s="48">
        <v>247.9</v>
      </c>
      <c r="M187" s="49">
        <v>20241209728</v>
      </c>
      <c r="N187" s="50" t="s">
        <v>28</v>
      </c>
      <c r="O187" s="50"/>
      <c r="P187" s="50"/>
      <c r="Q187" s="51"/>
      <c r="R187" s="50"/>
      <c r="S187" s="50"/>
      <c r="T187" s="51"/>
      <c r="U187" s="50"/>
    </row>
    <row r="188" spans="1:21" x14ac:dyDescent="0.25">
      <c r="A188" s="45" t="s">
        <v>233</v>
      </c>
      <c r="B188" s="46">
        <v>45765</v>
      </c>
      <c r="C188" s="45" t="s">
        <v>21</v>
      </c>
      <c r="D188" s="47" t="s">
        <v>34</v>
      </c>
      <c r="E188" s="45" t="s">
        <v>362</v>
      </c>
      <c r="F188" s="45" t="s">
        <v>394</v>
      </c>
      <c r="G188" s="45" t="s">
        <v>1339</v>
      </c>
      <c r="H188" s="45" t="s">
        <v>2757</v>
      </c>
      <c r="I188" s="45" t="s">
        <v>2758</v>
      </c>
      <c r="J188" s="45">
        <v>575860381</v>
      </c>
      <c r="K188" s="45" t="s">
        <v>1593</v>
      </c>
      <c r="L188" s="48">
        <v>485.49</v>
      </c>
      <c r="M188" s="49">
        <v>20241209683</v>
      </c>
      <c r="N188" s="50" t="s">
        <v>28</v>
      </c>
      <c r="O188" s="50"/>
      <c r="P188" s="50"/>
      <c r="Q188" s="51"/>
      <c r="R188" s="50"/>
      <c r="S188" s="50"/>
      <c r="T188" s="51"/>
      <c r="U188" s="50"/>
    </row>
    <row r="189" spans="1:21" x14ac:dyDescent="0.25">
      <c r="A189" s="45" t="s">
        <v>20</v>
      </c>
      <c r="B189" s="46">
        <v>45764</v>
      </c>
      <c r="C189" s="45" t="s">
        <v>168</v>
      </c>
      <c r="D189" s="47"/>
      <c r="E189" s="45" t="s">
        <v>362</v>
      </c>
      <c r="F189" s="45" t="s">
        <v>409</v>
      </c>
      <c r="G189" s="45" t="s">
        <v>2759</v>
      </c>
      <c r="H189" s="45" t="s">
        <v>2760</v>
      </c>
      <c r="I189" s="45" t="s">
        <v>2761</v>
      </c>
      <c r="J189" s="45">
        <v>436430872</v>
      </c>
      <c r="K189" s="45" t="s">
        <v>272</v>
      </c>
      <c r="L189" s="48">
        <v>113</v>
      </c>
      <c r="M189" s="49">
        <v>20241023327</v>
      </c>
      <c r="N189" s="50" t="s">
        <v>28</v>
      </c>
      <c r="O189" s="50"/>
      <c r="P189" s="50"/>
      <c r="Q189" s="51"/>
      <c r="R189" s="50"/>
      <c r="S189" s="50"/>
      <c r="T189" s="51"/>
      <c r="U189" s="50"/>
    </row>
    <row r="190" spans="1:21" x14ac:dyDescent="0.25">
      <c r="A190" s="45" t="s">
        <v>20</v>
      </c>
      <c r="B190" s="46">
        <v>45763</v>
      </c>
      <c r="C190" s="45" t="s">
        <v>168</v>
      </c>
      <c r="D190" s="47"/>
      <c r="E190" s="45" t="s">
        <v>696</v>
      </c>
      <c r="F190" s="45" t="s">
        <v>697</v>
      </c>
      <c r="G190" s="45" t="s">
        <v>178</v>
      </c>
      <c r="H190" s="45" t="s">
        <v>2749</v>
      </c>
      <c r="I190" s="45" t="s">
        <v>2750</v>
      </c>
      <c r="J190" s="45">
        <v>223997391</v>
      </c>
      <c r="K190" s="45" t="s">
        <v>1395</v>
      </c>
      <c r="L190" s="48">
        <v>50</v>
      </c>
      <c r="M190" s="49">
        <v>20241211816</v>
      </c>
      <c r="N190" s="50" t="s">
        <v>28</v>
      </c>
      <c r="O190" s="50"/>
      <c r="P190" s="50"/>
      <c r="Q190" s="51"/>
      <c r="R190" s="50"/>
      <c r="S190" s="50"/>
      <c r="T190" s="51"/>
      <c r="U190" s="50"/>
    </row>
    <row r="191" spans="1:21" x14ac:dyDescent="0.25">
      <c r="A191" s="45" t="s">
        <v>20</v>
      </c>
      <c r="B191" s="46">
        <v>45763</v>
      </c>
      <c r="C191" s="45" t="s">
        <v>168</v>
      </c>
      <c r="D191" s="47"/>
      <c r="E191" s="45" t="s">
        <v>696</v>
      </c>
      <c r="F191" s="45" t="s">
        <v>702</v>
      </c>
      <c r="G191" s="45" t="s">
        <v>2762</v>
      </c>
      <c r="H191" s="45" t="s">
        <v>2763</v>
      </c>
      <c r="I191" s="45" t="s">
        <v>2764</v>
      </c>
      <c r="J191" s="45">
        <v>457313783</v>
      </c>
      <c r="K191" s="45" t="s">
        <v>52</v>
      </c>
      <c r="L191" s="48">
        <v>1149</v>
      </c>
      <c r="M191" s="49">
        <v>20241014766</v>
      </c>
      <c r="N191" s="50" t="s">
        <v>28</v>
      </c>
      <c r="O191" s="50"/>
      <c r="P191" s="50"/>
      <c r="Q191" s="51"/>
      <c r="R191" s="50"/>
      <c r="S191" s="50"/>
      <c r="T191" s="51"/>
      <c r="U191" s="50"/>
    </row>
    <row r="192" spans="1:21" x14ac:dyDescent="0.25">
      <c r="A192" s="45" t="s">
        <v>20</v>
      </c>
      <c r="B192" s="46">
        <v>45763</v>
      </c>
      <c r="C192" s="45" t="s">
        <v>168</v>
      </c>
      <c r="D192" s="47"/>
      <c r="E192" s="45" t="s">
        <v>708</v>
      </c>
      <c r="F192" s="45" t="s">
        <v>709</v>
      </c>
      <c r="G192" s="45" t="s">
        <v>1944</v>
      </c>
      <c r="H192" s="45" t="s">
        <v>1517</v>
      </c>
      <c r="I192" s="45" t="s">
        <v>2063</v>
      </c>
      <c r="J192" s="45">
        <v>607462218</v>
      </c>
      <c r="K192" s="45" t="s">
        <v>112</v>
      </c>
      <c r="L192" s="48">
        <v>600</v>
      </c>
      <c r="M192" s="49">
        <v>20241206436</v>
      </c>
      <c r="N192" s="50" t="s">
        <v>28</v>
      </c>
      <c r="O192" s="50"/>
      <c r="P192" s="50"/>
      <c r="Q192" s="51"/>
      <c r="R192" s="50"/>
      <c r="S192" s="50"/>
      <c r="T192" s="51"/>
      <c r="U192" s="50"/>
    </row>
  </sheetData>
  <autoFilter ref="A1:AG39850" xr:uid="{24CD55F1-4130-4E69-8BEB-5756CCA0D938}"/>
  <sortState xmlns:xlrd2="http://schemas.microsoft.com/office/spreadsheetml/2017/richdata2" ref="A2:U192">
    <sortCondition ref="J2:J192"/>
  </sortState>
  <conditionalFormatting sqref="N1:N1048576">
    <cfRule type="cellIs" priority="13" stopIfTrue="1" operator="equal">
      <formula>""</formula>
    </cfRule>
    <cfRule type="cellIs" priority="14" stopIfTrue="1" operator="equal">
      <formula>"Correct = C"</formula>
    </cfRule>
    <cfRule type="cellIs" dxfId="73" priority="15" operator="notEqual">
      <formula>"C"</formula>
    </cfRule>
  </conditionalFormatting>
  <conditionalFormatting sqref="O1:O1048576">
    <cfRule type="cellIs" priority="10" stopIfTrue="1" operator="equal">
      <formula>""</formula>
    </cfRule>
    <cfRule type="cellIs" priority="11" stopIfTrue="1" operator="equal">
      <formula>"Major = M"</formula>
    </cfRule>
    <cfRule type="cellIs" dxfId="72" priority="12" operator="notEqual">
      <formula>"M"</formula>
    </cfRule>
  </conditionalFormatting>
  <conditionalFormatting sqref="P1:P1048576">
    <cfRule type="cellIs" priority="7" stopIfTrue="1" operator="equal">
      <formula>""</formula>
    </cfRule>
    <cfRule type="cellIs" priority="8" stopIfTrue="1" operator="equal">
      <formula>"Minor = E"</formula>
    </cfRule>
    <cfRule type="cellIs" dxfId="71" priority="9" operator="notEqual">
      <formula>"E"</formula>
    </cfRule>
  </conditionalFormatting>
  <conditionalFormatting sqref="R1:R1048576">
    <cfRule type="cellIs" priority="4" stopIfTrue="1" operator="equal">
      <formula>""</formula>
    </cfRule>
    <cfRule type="cellIs" priority="5" stopIfTrue="1" operator="equal">
      <formula>"Inserted Major = M"</formula>
    </cfRule>
    <cfRule type="cellIs" dxfId="70" priority="6" operator="notEqual">
      <formula>"M"</formula>
    </cfRule>
  </conditionalFormatting>
  <conditionalFormatting sqref="S1:S1048576">
    <cfRule type="cellIs" priority="1" stopIfTrue="1" operator="equal">
      <formula>""</formula>
    </cfRule>
    <cfRule type="cellIs" priority="2" stopIfTrue="1" operator="equal">
      <formula>"Inserted Minor = E"</formula>
    </cfRule>
    <cfRule type="cellIs" dxfId="69" priority="3" operator="notEqual">
      <formula>"E"</formula>
    </cfRule>
  </conditionalFormatting>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EF4C72-4193-4A5E-A352-5B67C0171DFD}">
  <sheetPr codeName="Sheet26"/>
  <dimension ref="B2:AA50"/>
  <sheetViews>
    <sheetView workbookViewId="0"/>
  </sheetViews>
  <sheetFormatPr defaultRowHeight="15" x14ac:dyDescent="0.25"/>
  <cols>
    <col min="1" max="1" width="2.7109375" customWidth="1"/>
    <col min="2" max="2" width="28.140625" style="1" bestFit="1" customWidth="1"/>
    <col min="3" max="3" width="19.140625" style="1" hidden="1" customWidth="1"/>
    <col min="4" max="4" width="21.7109375" style="1" hidden="1" customWidth="1"/>
    <col min="5" max="5" width="11" style="1" hidden="1" customWidth="1"/>
    <col min="6" max="6" width="9.5703125" style="1" hidden="1" customWidth="1"/>
    <col min="7" max="7" width="16.140625" style="1" hidden="1" customWidth="1"/>
    <col min="8" max="8" width="17.140625" style="1" customWidth="1"/>
    <col min="9" max="9" width="33.85546875" style="1" hidden="1" customWidth="1"/>
    <col min="10" max="10" width="16.140625" style="1" customWidth="1"/>
    <col min="11" max="11" width="20.85546875" style="1" hidden="1" customWidth="1"/>
    <col min="12" max="12" width="19.85546875" style="1" hidden="1" customWidth="1"/>
    <col min="13" max="13" width="9.140625" style="1"/>
    <col min="14" max="16" width="0" style="1" hidden="1" customWidth="1"/>
    <col min="17" max="17" width="9.140625" style="1"/>
    <col min="18" max="19" width="9.140625" style="27"/>
    <col min="20" max="20" width="9.140625" style="1"/>
    <col min="21" max="22" width="9.140625" style="2"/>
    <col min="23" max="23" width="9.140625" style="1"/>
    <col min="24" max="24" width="18.85546875" style="1" bestFit="1" customWidth="1"/>
    <col min="25" max="27" width="9.140625" style="1"/>
  </cols>
  <sheetData>
    <row r="2" spans="2:24" s="1" customFormat="1" ht="52.5" x14ac:dyDescent="0.25">
      <c r="B2" s="22" t="s">
        <v>437</v>
      </c>
      <c r="C2" s="22" t="s">
        <v>438</v>
      </c>
      <c r="D2" s="22" t="s">
        <v>439</v>
      </c>
      <c r="E2" s="23" t="s">
        <v>440</v>
      </c>
      <c r="F2" s="23" t="s">
        <v>441</v>
      </c>
      <c r="G2" s="23" t="s">
        <v>442</v>
      </c>
      <c r="H2" s="23" t="s">
        <v>443</v>
      </c>
      <c r="I2" s="23" t="s">
        <v>444</v>
      </c>
      <c r="J2" s="23" t="s">
        <v>445</v>
      </c>
      <c r="K2" s="23" t="s">
        <v>446</v>
      </c>
      <c r="L2" s="23" t="s">
        <v>447</v>
      </c>
      <c r="M2" s="24" t="s">
        <v>448</v>
      </c>
      <c r="N2" s="24"/>
      <c r="O2" s="24"/>
      <c r="P2" s="24" t="s">
        <v>449</v>
      </c>
      <c r="Q2" s="24" t="s">
        <v>450</v>
      </c>
      <c r="R2" s="25" t="s">
        <v>451</v>
      </c>
      <c r="S2" s="25" t="s">
        <v>452</v>
      </c>
      <c r="T2" s="24" t="s">
        <v>453</v>
      </c>
      <c r="U2" s="26" t="s">
        <v>454</v>
      </c>
      <c r="V2" s="2"/>
    </row>
    <row r="3" spans="2:24" s="1" customFormat="1" ht="15" customHeight="1" x14ac:dyDescent="0.25">
      <c r="B3" s="1" t="s">
        <v>455</v>
      </c>
      <c r="C3" s="1" t="s">
        <v>456</v>
      </c>
      <c r="D3" s="1" t="s">
        <v>297</v>
      </c>
      <c r="E3" t="s">
        <v>457</v>
      </c>
      <c r="F3" t="s">
        <v>458</v>
      </c>
      <c r="G3" t="s">
        <v>459</v>
      </c>
      <c r="H3" t="s">
        <v>460</v>
      </c>
      <c r="I3" t="s">
        <v>461</v>
      </c>
      <c r="J3" t="s">
        <v>462</v>
      </c>
      <c r="K3"/>
      <c r="L3" t="s">
        <v>463</v>
      </c>
      <c r="M3">
        <v>0</v>
      </c>
      <c r="N3" t="s">
        <v>464</v>
      </c>
      <c r="O3"/>
      <c r="P3"/>
      <c r="Q3" s="7"/>
      <c r="R3" s="27" t="str">
        <f t="shared" ref="R3:R48" si="0">IF(Q3-SUM(S3:T3)=0,"",Q3-SUM(S3:T3))</f>
        <v/>
      </c>
      <c r="S3" s="27" t="str">
        <f>IF(SUM(COUNTIFS('12_09_12_15'!E:E,'12_09_12_15 Acc Rate'!C3,'12_09_12_15'!O:O,"*M*"),COUNTIFS('12_09_12_15'!E:E,'12_09_12_15 Acc Rate'!C3,'12_09_12_15'!R:R,"*M*"))=0,"",SUM(COUNTIFS('12_09_12_15'!E:E,'12_09_12_15 Acc Rate'!C3,'12_09_12_15'!O:O,"*M*"),COUNTIFS('12_09_12_15'!E:E,'12_09_12_15 Acc Rate'!C3,'12_09_12_15'!R:R,"*M*")))</f>
        <v/>
      </c>
      <c r="T3" s="1" t="str">
        <f>IF(SUM(COUNTIFS('12_09_12_15'!E:E,'12_09_12_15 Acc Rate'!C3,'12_09_12_15'!P:P,"*E*"),COUNTIFS('12_09_12_15'!E:E,'12_09_12_15 Acc Rate'!C3,'12_09_12_15'!S:S,"*E*"))=0,"",SUM(COUNTIFS('12_09_12_15'!E:E,'12_09_12_15 Acc Rate'!C3,'12_09_12_15'!P:P,"*E*"),COUNTIFS('12_09_12_15'!E:E,'12_09_12_15 Acc Rate'!C3,'12_09_12_15'!S:S,"*E*")))</f>
        <v/>
      </c>
      <c r="U3" s="8" t="str">
        <f>IF(ISERROR(SUM(_xlfn.NUMBERVALUE(S3)*8+_xlfn.NUMBERVALUE(T3)*2)/Q3),"",SUM(_xlfn.NUMBERVALUE(S3)*8+_xlfn.NUMBERVALUE(T3)*2)/Q3)</f>
        <v/>
      </c>
      <c r="V3" s="2"/>
      <c r="W3" s="83" t="s">
        <v>465</v>
      </c>
      <c r="X3" s="83"/>
    </row>
    <row r="4" spans="2:24" s="1" customFormat="1" ht="15" customHeight="1" x14ac:dyDescent="0.25">
      <c r="B4" s="1" t="s">
        <v>506</v>
      </c>
      <c r="C4" s="1" t="s">
        <v>208</v>
      </c>
      <c r="D4" s="1" t="s">
        <v>209</v>
      </c>
      <c r="E4" t="s">
        <v>507</v>
      </c>
      <c r="F4" t="s">
        <v>352</v>
      </c>
      <c r="G4" t="s">
        <v>508</v>
      </c>
      <c r="H4" t="s">
        <v>460</v>
      </c>
      <c r="I4" t="s">
        <v>509</v>
      </c>
      <c r="J4" t="s">
        <v>470</v>
      </c>
      <c r="K4"/>
      <c r="L4" t="s">
        <v>510</v>
      </c>
      <c r="M4">
        <v>15</v>
      </c>
      <c r="N4" t="s">
        <v>511</v>
      </c>
      <c r="O4">
        <v>32</v>
      </c>
      <c r="P4">
        <v>40</v>
      </c>
      <c r="Q4" s="7"/>
      <c r="R4" s="27">
        <f t="shared" si="0"/>
        <v>-1</v>
      </c>
      <c r="S4" s="27">
        <f>IF(SUM(COUNTIFS('12_09_12_15'!E:E,'12_09_12_15 Acc Rate'!C4,'12_09_12_15'!O:O,"*M*"),COUNTIFS('12_09_12_15'!E:E,'12_09_12_15 Acc Rate'!C4,'12_09_12_15'!R:R,"*M*"))=0,"",SUM(COUNTIFS('12_09_12_15'!E:E,'12_09_12_15 Acc Rate'!C4,'12_09_12_15'!O:O,"*M*"),COUNTIFS('12_09_12_15'!E:E,'12_09_12_15 Acc Rate'!C4,'12_09_12_15'!R:R,"*M*")))</f>
        <v>1</v>
      </c>
      <c r="T4" s="1" t="str">
        <f>IF(SUM(COUNTIFS('12_09_12_15'!E:E,'12_09_12_15 Acc Rate'!C4,'12_09_12_15'!P:P,"*E*"),COUNTIFS('12_09_12_15'!E:E,'12_09_12_15 Acc Rate'!C4,'12_09_12_15'!S:S,"*E*"))=0,"",SUM(COUNTIFS('12_09_12_15'!E:E,'12_09_12_15 Acc Rate'!C4,'12_09_12_15'!P:P,"*E*"),COUNTIFS('12_09_12_15'!E:E,'12_09_12_15 Acc Rate'!C4,'12_09_12_15'!S:S,"*E*")))</f>
        <v/>
      </c>
      <c r="U4" s="8" t="str">
        <f t="shared" ref="U4:U47" si="1">IF(ISERROR(SUM(_xlfn.NUMBERVALUE(S4)*8+_xlfn.NUMBERVALUE(T4)*2)/Q4),"",SUM(_xlfn.NUMBERVALUE(S4)*8+_xlfn.NUMBERVALUE(T4)*2)/Q4)</f>
        <v/>
      </c>
      <c r="V4" s="2"/>
      <c r="W4" s="40" t="s">
        <v>473</v>
      </c>
      <c r="X4" s="41" t="s">
        <v>474</v>
      </c>
    </row>
    <row r="5" spans="2:24" s="1" customFormat="1" ht="15" customHeight="1" x14ac:dyDescent="0.25">
      <c r="B5" s="1" t="s">
        <v>525</v>
      </c>
      <c r="C5" s="1" t="s">
        <v>277</v>
      </c>
      <c r="D5" s="1" t="s">
        <v>278</v>
      </c>
      <c r="E5" t="s">
        <v>526</v>
      </c>
      <c r="F5" t="s">
        <v>527</v>
      </c>
      <c r="G5" t="s">
        <v>528</v>
      </c>
      <c r="H5" t="s">
        <v>460</v>
      </c>
      <c r="I5" t="s">
        <v>529</v>
      </c>
      <c r="J5" t="s">
        <v>2033</v>
      </c>
      <c r="K5" t="s">
        <v>509</v>
      </c>
      <c r="L5"/>
      <c r="M5">
        <v>15</v>
      </c>
      <c r="N5" t="s">
        <v>530</v>
      </c>
      <c r="O5">
        <v>219</v>
      </c>
      <c r="P5">
        <v>25</v>
      </c>
      <c r="Q5" s="7"/>
      <c r="R5" s="27">
        <f t="shared" si="0"/>
        <v>-1</v>
      </c>
      <c r="S5" s="27">
        <f>IF(SUM(COUNTIFS('12_09_12_15'!E:E,'12_09_12_15 Acc Rate'!C5,'12_09_12_15'!O:O,"*M*"),COUNTIFS('12_09_12_15'!E:E,'12_09_12_15 Acc Rate'!C5,'12_09_12_15'!R:R,"*M*"))=0,"",SUM(COUNTIFS('12_09_12_15'!E:E,'12_09_12_15 Acc Rate'!C5,'12_09_12_15'!O:O,"*M*"),COUNTIFS('12_09_12_15'!E:E,'12_09_12_15 Acc Rate'!C5,'12_09_12_15'!R:R,"*M*")))</f>
        <v>1</v>
      </c>
      <c r="T5" s="1" t="str">
        <f>IF(SUM(COUNTIFS('12_09_12_15'!E:E,'12_09_12_15 Acc Rate'!C5,'12_09_12_15'!P:P,"*E*"),COUNTIFS('12_09_12_15'!E:E,'12_09_12_15 Acc Rate'!C5,'12_09_12_15'!S:S,"*E*"))=0,"",SUM(COUNTIFS('12_09_12_15'!E:E,'12_09_12_15 Acc Rate'!C5,'12_09_12_15'!P:P,"*E*"),COUNTIFS('12_09_12_15'!E:E,'12_09_12_15 Acc Rate'!C5,'12_09_12_15'!S:S,"*E*")))</f>
        <v/>
      </c>
      <c r="U5" s="8" t="str">
        <f t="shared" si="1"/>
        <v/>
      </c>
      <c r="V5" s="2"/>
      <c r="W5" s="40" t="s">
        <v>482</v>
      </c>
      <c r="X5" s="41" t="s">
        <v>483</v>
      </c>
    </row>
    <row r="6" spans="2:24" s="1" customFormat="1" ht="15" customHeight="1" x14ac:dyDescent="0.25">
      <c r="B6" s="1" t="s">
        <v>475</v>
      </c>
      <c r="C6" s="1" t="s">
        <v>362</v>
      </c>
      <c r="D6" s="1" t="s">
        <v>394</v>
      </c>
      <c r="E6" t="s">
        <v>476</v>
      </c>
      <c r="F6" t="s">
        <v>175</v>
      </c>
      <c r="G6" t="s">
        <v>477</v>
      </c>
      <c r="H6" t="s">
        <v>460</v>
      </c>
      <c r="I6" t="s">
        <v>478</v>
      </c>
      <c r="J6" t="s">
        <v>2033</v>
      </c>
      <c r="K6" t="s">
        <v>509</v>
      </c>
      <c r="L6" t="s">
        <v>480</v>
      </c>
      <c r="M6">
        <v>15</v>
      </c>
      <c r="N6" t="s">
        <v>481</v>
      </c>
      <c r="O6">
        <v>67</v>
      </c>
      <c r="P6">
        <v>20</v>
      </c>
      <c r="Q6" s="7"/>
      <c r="R6" s="27" t="str">
        <f t="shared" si="0"/>
        <v/>
      </c>
      <c r="S6" s="27" t="str">
        <f>IF(SUM(COUNTIFS('12_09_12_15'!E:E,'12_09_12_15 Acc Rate'!C6,'12_09_12_15'!O:O,"*M*"),COUNTIFS('12_09_12_15'!E:E,'12_09_12_15 Acc Rate'!C6,'12_09_12_15'!R:R,"*M*"))=0,"",SUM(COUNTIFS('12_09_12_15'!E:E,'12_09_12_15 Acc Rate'!C6,'12_09_12_15'!O:O,"*M*"),COUNTIFS('12_09_12_15'!E:E,'12_09_12_15 Acc Rate'!C6,'12_09_12_15'!R:R,"*M*")))</f>
        <v/>
      </c>
      <c r="T6" s="1" t="str">
        <f>IF(SUM(COUNTIFS('12_09_12_15'!E:E,'12_09_12_15 Acc Rate'!C6,'12_09_12_15'!P:P,"*E*"),COUNTIFS('12_09_12_15'!E:E,'12_09_12_15 Acc Rate'!C6,'12_09_12_15'!S:S,"*E*"))=0,"",SUM(COUNTIFS('12_09_12_15'!E:E,'12_09_12_15 Acc Rate'!C6,'12_09_12_15'!P:P,"*E*"),COUNTIFS('12_09_12_15'!E:E,'12_09_12_15 Acc Rate'!C6,'12_09_12_15'!S:S,"*E*")))</f>
        <v/>
      </c>
      <c r="U6" s="8" t="str">
        <f t="shared" si="1"/>
        <v/>
      </c>
      <c r="V6" s="2"/>
      <c r="W6" s="40" t="s">
        <v>490</v>
      </c>
      <c r="X6" s="41" t="s">
        <v>491</v>
      </c>
    </row>
    <row r="7" spans="2:24" s="1" customFormat="1" ht="15" customHeight="1" x14ac:dyDescent="0.25">
      <c r="B7" s="1" t="s">
        <v>542</v>
      </c>
      <c r="C7" s="1" t="s">
        <v>245</v>
      </c>
      <c r="D7" s="1" t="s">
        <v>246</v>
      </c>
      <c r="E7" t="s">
        <v>543</v>
      </c>
      <c r="F7" t="s">
        <v>21</v>
      </c>
      <c r="G7" t="s">
        <v>544</v>
      </c>
      <c r="H7" t="s">
        <v>460</v>
      </c>
      <c r="I7" t="s">
        <v>545</v>
      </c>
      <c r="J7" t="s">
        <v>2033</v>
      </c>
      <c r="K7" t="s">
        <v>509</v>
      </c>
      <c r="L7" t="s">
        <v>546</v>
      </c>
      <c r="M7">
        <v>15</v>
      </c>
      <c r="N7" t="s">
        <v>547</v>
      </c>
      <c r="O7">
        <v>209</v>
      </c>
      <c r="P7">
        <v>40</v>
      </c>
      <c r="Q7" s="7"/>
      <c r="R7" s="27" t="str">
        <f t="shared" si="0"/>
        <v/>
      </c>
      <c r="S7" s="27" t="str">
        <f>IF(SUM(COUNTIFS('12_09_12_15'!E:E,'12_09_12_15 Acc Rate'!C7,'12_09_12_15'!O:O,"*M*"),COUNTIFS('12_09_12_15'!E:E,'12_09_12_15 Acc Rate'!C7,'12_09_12_15'!R:R,"*M*"))=0,"",SUM(COUNTIFS('12_09_12_15'!E:E,'12_09_12_15 Acc Rate'!C7,'12_09_12_15'!O:O,"*M*"),COUNTIFS('12_09_12_15'!E:E,'12_09_12_15 Acc Rate'!C7,'12_09_12_15'!R:R,"*M*")))</f>
        <v/>
      </c>
      <c r="T7" s="1" t="str">
        <f>IF(SUM(COUNTIFS('12_09_12_15'!E:E,'12_09_12_15 Acc Rate'!C7,'12_09_12_15'!P:P,"*E*"),COUNTIFS('12_09_12_15'!E:E,'12_09_12_15 Acc Rate'!C7,'12_09_12_15'!S:S,"*E*"))=0,"",SUM(COUNTIFS('12_09_12_15'!E:E,'12_09_12_15 Acc Rate'!C7,'12_09_12_15'!P:P,"*E*"),COUNTIFS('12_09_12_15'!E:E,'12_09_12_15 Acc Rate'!C7,'12_09_12_15'!S:S,"*E*")))</f>
        <v/>
      </c>
      <c r="U7" s="8" t="str">
        <f t="shared" si="1"/>
        <v/>
      </c>
      <c r="V7" s="2"/>
      <c r="W7" s="84" t="s">
        <v>499</v>
      </c>
      <c r="X7" s="84"/>
    </row>
    <row r="8" spans="2:24" s="1" customFormat="1" ht="15" customHeight="1" x14ac:dyDescent="0.25">
      <c r="B8" s="1" t="s">
        <v>492</v>
      </c>
      <c r="C8" s="1" t="s">
        <v>107</v>
      </c>
      <c r="D8" s="1" t="s">
        <v>108</v>
      </c>
      <c r="E8" t="s">
        <v>493</v>
      </c>
      <c r="F8" t="s">
        <v>494</v>
      </c>
      <c r="G8" t="s">
        <v>495</v>
      </c>
      <c r="H8" t="s">
        <v>460</v>
      </c>
      <c r="I8" t="s">
        <v>496</v>
      </c>
      <c r="J8" t="s">
        <v>2033</v>
      </c>
      <c r="K8" t="s">
        <v>509</v>
      </c>
      <c r="L8"/>
      <c r="M8">
        <v>15</v>
      </c>
      <c r="N8" t="s">
        <v>497</v>
      </c>
      <c r="O8" t="s">
        <v>498</v>
      </c>
      <c r="P8">
        <v>40</v>
      </c>
      <c r="Q8" s="7"/>
      <c r="R8" s="27">
        <f t="shared" si="0"/>
        <v>-2</v>
      </c>
      <c r="S8" s="27">
        <f>IF(SUM(COUNTIFS('12_09_12_15'!E:E,'12_09_12_15 Acc Rate'!C8,'12_09_12_15'!O:O,"*M*"),COUNTIFS('12_09_12_15'!E:E,'12_09_12_15 Acc Rate'!C8,'12_09_12_15'!R:R,"*M*"))=0,"",SUM(COUNTIFS('12_09_12_15'!E:E,'12_09_12_15 Acc Rate'!C8,'12_09_12_15'!O:O,"*M*"),COUNTIFS('12_09_12_15'!E:E,'12_09_12_15 Acc Rate'!C8,'12_09_12_15'!R:R,"*M*")))</f>
        <v>2</v>
      </c>
      <c r="T8" s="1" t="str">
        <f>IF(SUM(COUNTIFS('12_09_12_15'!E:E,'12_09_12_15 Acc Rate'!C8,'12_09_12_15'!P:P,"*E*"),COUNTIFS('12_09_12_15'!E:E,'12_09_12_15 Acc Rate'!C8,'12_09_12_15'!S:S,"*E*"))=0,"",SUM(COUNTIFS('12_09_12_15'!E:E,'12_09_12_15 Acc Rate'!C8,'12_09_12_15'!P:P,"*E*"),COUNTIFS('12_09_12_15'!E:E,'12_09_12_15 Acc Rate'!C8,'12_09_12_15'!S:S,"*E*")))</f>
        <v/>
      </c>
      <c r="U8" s="8" t="str">
        <f t="shared" si="1"/>
        <v/>
      </c>
      <c r="V8" s="2"/>
      <c r="W8" s="85" t="s">
        <v>505</v>
      </c>
      <c r="X8" s="85"/>
    </row>
    <row r="9" spans="2:24" s="1" customFormat="1" ht="15" customHeight="1" x14ac:dyDescent="0.25">
      <c r="B9" s="1" t="s">
        <v>512</v>
      </c>
      <c r="C9" s="1" t="s">
        <v>371</v>
      </c>
      <c r="D9" s="1" t="s">
        <v>372</v>
      </c>
      <c r="E9" t="s">
        <v>513</v>
      </c>
      <c r="F9" t="s">
        <v>34</v>
      </c>
      <c r="G9" t="s">
        <v>514</v>
      </c>
      <c r="H9" t="s">
        <v>460</v>
      </c>
      <c r="I9" t="s">
        <v>515</v>
      </c>
      <c r="J9" t="s">
        <v>470</v>
      </c>
      <c r="K9"/>
      <c r="L9" t="s">
        <v>516</v>
      </c>
      <c r="M9">
        <v>15</v>
      </c>
      <c r="N9" t="s">
        <v>517</v>
      </c>
      <c r="O9">
        <v>132</v>
      </c>
      <c r="P9">
        <v>40</v>
      </c>
      <c r="Q9" s="7"/>
      <c r="R9" s="27">
        <f t="shared" si="0"/>
        <v>-1</v>
      </c>
      <c r="S9" s="27">
        <f>IF(SUM(COUNTIFS('12_09_12_15'!E:E,'12_09_12_15 Acc Rate'!C9,'12_09_12_15'!O:O,"*M*"),COUNTIFS('12_09_12_15'!E:E,'12_09_12_15 Acc Rate'!C9,'12_09_12_15'!R:R,"*M*"))=0,"",SUM(COUNTIFS('12_09_12_15'!E:E,'12_09_12_15 Acc Rate'!C9,'12_09_12_15'!O:O,"*M*"),COUNTIFS('12_09_12_15'!E:E,'12_09_12_15 Acc Rate'!C9,'12_09_12_15'!R:R,"*M*")))</f>
        <v>1</v>
      </c>
      <c r="T9" s="1" t="str">
        <f>IF(SUM(COUNTIFS('12_09_12_15'!E:E,'12_09_12_15 Acc Rate'!C9,'12_09_12_15'!P:P,"*E*"),COUNTIFS('12_09_12_15'!E:E,'12_09_12_15 Acc Rate'!C9,'12_09_12_15'!S:S,"*E*"))=0,"",SUM(COUNTIFS('12_09_12_15'!E:E,'12_09_12_15 Acc Rate'!C9,'12_09_12_15'!P:P,"*E*"),COUNTIFS('12_09_12_15'!E:E,'12_09_12_15 Acc Rate'!C9,'12_09_12_15'!S:S,"*E*")))</f>
        <v/>
      </c>
      <c r="U9" s="8" t="str">
        <f t="shared" si="1"/>
        <v/>
      </c>
      <c r="V9" s="2"/>
    </row>
    <row r="10" spans="2:24" s="1" customFormat="1" ht="15" customHeight="1" x14ac:dyDescent="0.25">
      <c r="B10" s="1" t="s">
        <v>518</v>
      </c>
      <c r="C10" s="1" t="s">
        <v>296</v>
      </c>
      <c r="D10" s="1" t="s">
        <v>297</v>
      </c>
      <c r="E10" t="s">
        <v>519</v>
      </c>
      <c r="F10" t="s">
        <v>520</v>
      </c>
      <c r="G10" t="s">
        <v>521</v>
      </c>
      <c r="H10" t="s">
        <v>460</v>
      </c>
      <c r="I10" t="s">
        <v>522</v>
      </c>
      <c r="J10" t="s">
        <v>523</v>
      </c>
      <c r="K10" t="s">
        <v>515</v>
      </c>
      <c r="L10"/>
      <c r="M10">
        <v>15</v>
      </c>
      <c r="N10" t="s">
        <v>524</v>
      </c>
      <c r="O10">
        <v>719</v>
      </c>
      <c r="P10">
        <v>40</v>
      </c>
      <c r="Q10" s="7"/>
      <c r="R10" s="27">
        <f t="shared" si="0"/>
        <v>-2</v>
      </c>
      <c r="S10" s="27">
        <f>IF(SUM(COUNTIFS('12_09_12_15'!E:E,'12_09_12_15 Acc Rate'!C10,'12_09_12_15'!O:O,"*M*"),COUNTIFS('12_09_12_15'!E:E,'12_09_12_15 Acc Rate'!C10,'12_09_12_15'!R:R,"*M*"))=0,"",SUM(COUNTIFS('12_09_12_15'!E:E,'12_09_12_15 Acc Rate'!C10,'12_09_12_15'!O:O,"*M*"),COUNTIFS('12_09_12_15'!E:E,'12_09_12_15 Acc Rate'!C10,'12_09_12_15'!R:R,"*M*")))</f>
        <v>2</v>
      </c>
      <c r="T10" s="1" t="str">
        <f>IF(SUM(COUNTIFS('12_09_12_15'!E:E,'12_09_12_15 Acc Rate'!C10,'12_09_12_15'!P:P,"*E*"),COUNTIFS('12_09_12_15'!E:E,'12_09_12_15 Acc Rate'!C10,'12_09_12_15'!S:S,"*E*"))=0,"",SUM(COUNTIFS('12_09_12_15'!E:E,'12_09_12_15 Acc Rate'!C10,'12_09_12_15'!P:P,"*E*"),COUNTIFS('12_09_12_15'!E:E,'12_09_12_15 Acc Rate'!C10,'12_09_12_15'!S:S,"*E*")))</f>
        <v/>
      </c>
      <c r="U10" s="8" t="str">
        <f t="shared" si="1"/>
        <v/>
      </c>
      <c r="V10" s="2"/>
    </row>
    <row r="11" spans="2:24" s="1" customFormat="1" ht="15" customHeight="1" x14ac:dyDescent="0.25">
      <c r="B11" s="1" t="s">
        <v>531</v>
      </c>
      <c r="C11" s="1" t="s">
        <v>325</v>
      </c>
      <c r="D11" s="1" t="s">
        <v>278</v>
      </c>
      <c r="E11" t="s">
        <v>532</v>
      </c>
      <c r="F11" t="s">
        <v>244</v>
      </c>
      <c r="G11" t="s">
        <v>533</v>
      </c>
      <c r="H11" t="s">
        <v>460</v>
      </c>
      <c r="I11" t="s">
        <v>534</v>
      </c>
      <c r="J11" t="s">
        <v>523</v>
      </c>
      <c r="K11" t="s">
        <v>515</v>
      </c>
      <c r="L11" t="s">
        <v>535</v>
      </c>
      <c r="M11">
        <v>15</v>
      </c>
      <c r="N11" t="s">
        <v>536</v>
      </c>
      <c r="O11">
        <v>142</v>
      </c>
      <c r="P11">
        <v>25</v>
      </c>
      <c r="Q11" s="7"/>
      <c r="R11" s="27" t="str">
        <f t="shared" si="0"/>
        <v/>
      </c>
      <c r="S11" s="27" t="str">
        <f>IF(SUM(COUNTIFS('12_09_12_15'!E:E,'12_09_12_15 Acc Rate'!C11,'12_09_12_15'!O:O,"*M*"),COUNTIFS('12_09_12_15'!E:E,'12_09_12_15 Acc Rate'!C11,'12_09_12_15'!R:R,"*M*"))=0,"",SUM(COUNTIFS('12_09_12_15'!E:E,'12_09_12_15 Acc Rate'!C11,'12_09_12_15'!O:O,"*M*"),COUNTIFS('12_09_12_15'!E:E,'12_09_12_15 Acc Rate'!C11,'12_09_12_15'!R:R,"*M*")))</f>
        <v/>
      </c>
      <c r="T11" s="1" t="str">
        <f>IF(SUM(COUNTIFS('12_09_12_15'!E:E,'12_09_12_15 Acc Rate'!C11,'12_09_12_15'!P:P,"*E*"),COUNTIFS('12_09_12_15'!E:E,'12_09_12_15 Acc Rate'!C11,'12_09_12_15'!S:S,"*E*"))=0,"",SUM(COUNTIFS('12_09_12_15'!E:E,'12_09_12_15 Acc Rate'!C11,'12_09_12_15'!P:P,"*E*"),COUNTIFS('12_09_12_15'!E:E,'12_09_12_15 Acc Rate'!C11,'12_09_12_15'!S:S,"*E*")))</f>
        <v/>
      </c>
      <c r="U11" s="8" t="str">
        <f t="shared" si="1"/>
        <v/>
      </c>
      <c r="V11" s="2"/>
    </row>
    <row r="12" spans="2:24" s="1" customFormat="1" ht="15" customHeight="1" x14ac:dyDescent="0.25">
      <c r="B12" s="1" t="s">
        <v>537</v>
      </c>
      <c r="C12" s="1" t="s">
        <v>64</v>
      </c>
      <c r="D12" s="1" t="s">
        <v>65</v>
      </c>
      <c r="E12" t="s">
        <v>538</v>
      </c>
      <c r="F12" t="s">
        <v>114</v>
      </c>
      <c r="G12" t="s">
        <v>539</v>
      </c>
      <c r="H12" t="s">
        <v>460</v>
      </c>
      <c r="I12" t="s">
        <v>540</v>
      </c>
      <c r="J12" t="s">
        <v>523</v>
      </c>
      <c r="K12" t="s">
        <v>515</v>
      </c>
      <c r="L12"/>
      <c r="M12">
        <v>15</v>
      </c>
      <c r="N12" t="s">
        <v>541</v>
      </c>
      <c r="O12">
        <v>716</v>
      </c>
      <c r="P12">
        <v>25</v>
      </c>
      <c r="Q12" s="7"/>
      <c r="R12" s="27" t="str">
        <f t="shared" si="0"/>
        <v/>
      </c>
      <c r="S12" s="27" t="str">
        <f>IF(SUM(COUNTIFS('12_09_12_15'!E:E,'12_09_12_15 Acc Rate'!C12,'12_09_12_15'!O:O,"*M*"),COUNTIFS('12_09_12_15'!E:E,'12_09_12_15 Acc Rate'!C12,'12_09_12_15'!R:R,"*M*"))=0,"",SUM(COUNTIFS('12_09_12_15'!E:E,'12_09_12_15 Acc Rate'!C12,'12_09_12_15'!O:O,"*M*"),COUNTIFS('12_09_12_15'!E:E,'12_09_12_15 Acc Rate'!C12,'12_09_12_15'!R:R,"*M*")))</f>
        <v/>
      </c>
      <c r="T12" s="1" t="str">
        <f>IF(SUM(COUNTIFS('12_09_12_15'!E:E,'12_09_12_15 Acc Rate'!C12,'12_09_12_15'!P:P,"*E*"),COUNTIFS('12_09_12_15'!E:E,'12_09_12_15 Acc Rate'!C12,'12_09_12_15'!S:S,"*E*"))=0,"",SUM(COUNTIFS('12_09_12_15'!E:E,'12_09_12_15 Acc Rate'!C12,'12_09_12_15'!P:P,"*E*"),COUNTIFS('12_09_12_15'!E:E,'12_09_12_15 Acc Rate'!C12,'12_09_12_15'!S:S,"*E*")))</f>
        <v/>
      </c>
      <c r="U12" s="8" t="str">
        <f t="shared" si="1"/>
        <v/>
      </c>
      <c r="V12" s="2"/>
    </row>
    <row r="13" spans="2:24" s="1" customFormat="1" ht="15" customHeight="1" x14ac:dyDescent="0.25">
      <c r="B13" s="1" t="s">
        <v>484</v>
      </c>
      <c r="C13" s="1" t="s">
        <v>22</v>
      </c>
      <c r="D13" s="1" t="s">
        <v>23</v>
      </c>
      <c r="E13" t="s">
        <v>485</v>
      </c>
      <c r="F13" t="s">
        <v>486</v>
      </c>
      <c r="G13" t="s">
        <v>487</v>
      </c>
      <c r="H13" t="s">
        <v>460</v>
      </c>
      <c r="I13" t="s">
        <v>488</v>
      </c>
      <c r="J13" t="s">
        <v>523</v>
      </c>
      <c r="K13" t="s">
        <v>515</v>
      </c>
      <c r="L13"/>
      <c r="M13">
        <v>15</v>
      </c>
      <c r="N13" t="s">
        <v>489</v>
      </c>
      <c r="O13">
        <v>2117</v>
      </c>
      <c r="P13">
        <v>40</v>
      </c>
      <c r="Q13" s="7"/>
      <c r="R13" s="27" t="str">
        <f t="shared" si="0"/>
        <v/>
      </c>
      <c r="S13" s="27" t="str">
        <f>IF(SUM(COUNTIFS('12_09_12_15'!E:E,'12_09_12_15 Acc Rate'!C13,'12_09_12_15'!O:O,"*M*"),COUNTIFS('12_09_12_15'!E:E,'12_09_12_15 Acc Rate'!C13,'12_09_12_15'!R:R,"*M*"))=0,"",SUM(COUNTIFS('12_09_12_15'!E:E,'12_09_12_15 Acc Rate'!C13,'12_09_12_15'!O:O,"*M*"),COUNTIFS('12_09_12_15'!E:E,'12_09_12_15 Acc Rate'!C13,'12_09_12_15'!R:R,"*M*")))</f>
        <v/>
      </c>
      <c r="T13" s="1" t="str">
        <f>IF(SUM(COUNTIFS('12_09_12_15'!E:E,'12_09_12_15 Acc Rate'!C13,'12_09_12_15'!P:P,"*E*"),COUNTIFS('12_09_12_15'!E:E,'12_09_12_15 Acc Rate'!C13,'12_09_12_15'!S:S,"*E*"))=0,"",SUM(COUNTIFS('12_09_12_15'!E:E,'12_09_12_15 Acc Rate'!C13,'12_09_12_15'!P:P,"*E*"),COUNTIFS('12_09_12_15'!E:E,'12_09_12_15 Acc Rate'!C13,'12_09_12_15'!S:S,"*E*")))</f>
        <v/>
      </c>
      <c r="U13" s="8" t="str">
        <f t="shared" si="1"/>
        <v/>
      </c>
      <c r="V13" s="2"/>
    </row>
    <row r="14" spans="2:24" s="1" customFormat="1" ht="15" customHeight="1" x14ac:dyDescent="0.25">
      <c r="B14" s="1" t="s">
        <v>500</v>
      </c>
      <c r="C14" s="1" t="s">
        <v>176</v>
      </c>
      <c r="D14" s="1" t="s">
        <v>177</v>
      </c>
      <c r="E14" t="s">
        <v>501</v>
      </c>
      <c r="F14" t="s">
        <v>168</v>
      </c>
      <c r="G14" t="s">
        <v>502</v>
      </c>
      <c r="H14" t="s">
        <v>460</v>
      </c>
      <c r="I14" t="s">
        <v>503</v>
      </c>
      <c r="J14" t="s">
        <v>523</v>
      </c>
      <c r="K14" t="s">
        <v>515</v>
      </c>
      <c r="L14"/>
      <c r="M14">
        <v>15</v>
      </c>
      <c r="N14" t="s">
        <v>504</v>
      </c>
      <c r="O14">
        <v>182</v>
      </c>
      <c r="P14">
        <v>40</v>
      </c>
      <c r="Q14" s="7"/>
      <c r="R14" s="27" t="str">
        <f t="shared" si="0"/>
        <v/>
      </c>
      <c r="S14" s="27" t="str">
        <f>IF(SUM(COUNTIFS('12_09_12_15'!E:E,'12_09_12_15 Acc Rate'!C14,'12_09_12_15'!O:O,"*M*"),COUNTIFS('12_09_12_15'!E:E,'12_09_12_15 Acc Rate'!C14,'12_09_12_15'!R:R,"*M*"))=0,"",SUM(COUNTIFS('12_09_12_15'!E:E,'12_09_12_15 Acc Rate'!C14,'12_09_12_15'!O:O,"*M*"),COUNTIFS('12_09_12_15'!E:E,'12_09_12_15 Acc Rate'!C14,'12_09_12_15'!R:R,"*M*")))</f>
        <v/>
      </c>
      <c r="T14" s="1" t="str">
        <f>IF(SUM(COUNTIFS('12_09_12_15'!E:E,'12_09_12_15 Acc Rate'!C14,'12_09_12_15'!P:P,"*E*"),COUNTIFS('12_09_12_15'!E:E,'12_09_12_15 Acc Rate'!C14,'12_09_12_15'!S:S,"*E*"))=0,"",SUM(COUNTIFS('12_09_12_15'!E:E,'12_09_12_15 Acc Rate'!C14,'12_09_12_15'!P:P,"*E*"),COUNTIFS('12_09_12_15'!E:E,'12_09_12_15 Acc Rate'!C14,'12_09_12_15'!S:S,"*E*")))</f>
        <v/>
      </c>
      <c r="U14" s="8" t="str">
        <f t="shared" si="1"/>
        <v/>
      </c>
      <c r="V14" s="2"/>
    </row>
    <row r="15" spans="2:24" ht="15" customHeight="1" x14ac:dyDescent="0.25">
      <c r="B15" s="1" t="s">
        <v>548</v>
      </c>
      <c r="C15" s="1" t="s">
        <v>396</v>
      </c>
      <c r="D15" s="1" t="s">
        <v>549</v>
      </c>
      <c r="E15"/>
      <c r="F15" t="s">
        <v>550</v>
      </c>
      <c r="G15" t="s">
        <v>551</v>
      </c>
      <c r="H15" t="s">
        <v>552</v>
      </c>
      <c r="I15" t="s">
        <v>553</v>
      </c>
      <c r="J15" t="s">
        <v>554</v>
      </c>
      <c r="K15"/>
      <c r="L15"/>
      <c r="M15">
        <v>6</v>
      </c>
      <c r="N15"/>
      <c r="O15"/>
      <c r="P15"/>
      <c r="Q15" s="7"/>
      <c r="R15" s="27" t="str">
        <f t="shared" si="0"/>
        <v/>
      </c>
      <c r="S15" s="27" t="str">
        <f>IF(SUM(COUNTIFS('12_09_12_15'!E:E,'12_09_12_15 Acc Rate'!C15,'12_09_12_15'!O:O,"*M*"),COUNTIFS('12_09_12_15'!E:E,'12_09_12_15 Acc Rate'!C15,'12_09_12_15'!R:R,"*M*"))=0,"",SUM(COUNTIFS('12_09_12_15'!E:E,'12_09_12_15 Acc Rate'!C15,'12_09_12_15'!O:O,"*M*"),COUNTIFS('12_09_12_15'!E:E,'12_09_12_15 Acc Rate'!C15,'12_09_12_15'!R:R,"*M*")))</f>
        <v/>
      </c>
      <c r="T15" s="1" t="str">
        <f>IF(SUM(COUNTIFS('12_09_12_15'!E:E,'12_09_12_15 Acc Rate'!C15,'12_09_12_15'!P:P,"*E*"),COUNTIFS('12_09_12_15'!E:E,'12_09_12_15 Acc Rate'!C15,'12_09_12_15'!S:S,"*E*"))=0,"",SUM(COUNTIFS('12_09_12_15'!E:E,'12_09_12_15 Acc Rate'!C15,'12_09_12_15'!P:P,"*E*"),COUNTIFS('12_09_12_15'!E:E,'12_09_12_15 Acc Rate'!C15,'12_09_12_15'!S:S,"*E*")))</f>
        <v/>
      </c>
      <c r="U15" s="8" t="str">
        <f t="shared" si="1"/>
        <v/>
      </c>
    </row>
    <row r="16" spans="2:24" ht="15" customHeight="1" x14ac:dyDescent="0.25">
      <c r="B16" s="1" t="s">
        <v>555</v>
      </c>
      <c r="C16" s="1" t="s">
        <v>556</v>
      </c>
      <c r="D16" s="1" t="s">
        <v>557</v>
      </c>
      <c r="E16"/>
      <c r="F16" t="s">
        <v>558</v>
      </c>
      <c r="G16" t="s">
        <v>559</v>
      </c>
      <c r="H16" t="s">
        <v>552</v>
      </c>
      <c r="I16" t="s">
        <v>560</v>
      </c>
      <c r="J16" t="s">
        <v>561</v>
      </c>
      <c r="K16" t="s">
        <v>553</v>
      </c>
      <c r="L16"/>
      <c r="M16">
        <v>6</v>
      </c>
      <c r="N16"/>
      <c r="O16"/>
      <c r="P16"/>
      <c r="Q16" s="7"/>
      <c r="R16" s="27" t="str">
        <f t="shared" si="0"/>
        <v/>
      </c>
      <c r="S16" s="27" t="str">
        <f>IF(SUM(COUNTIFS('12_09_12_15'!E:E,'12_09_12_15 Acc Rate'!C16,'12_09_12_15'!O:O,"*M*"),COUNTIFS('12_09_12_15'!E:E,'12_09_12_15 Acc Rate'!C16,'12_09_12_15'!R:R,"*M*"))=0,"",SUM(COUNTIFS('12_09_12_15'!E:E,'12_09_12_15 Acc Rate'!C16,'12_09_12_15'!O:O,"*M*"),COUNTIFS('12_09_12_15'!E:E,'12_09_12_15 Acc Rate'!C16,'12_09_12_15'!R:R,"*M*")))</f>
        <v/>
      </c>
      <c r="T16" s="1" t="str">
        <f>IF(SUM(COUNTIFS('12_09_12_15'!E:E,'12_09_12_15 Acc Rate'!C16,'12_09_12_15'!P:P,"*E*"),COUNTIFS('12_09_12_15'!E:E,'12_09_12_15 Acc Rate'!C16,'12_09_12_15'!S:S,"*E*"))=0,"",SUM(COUNTIFS('12_09_12_15'!E:E,'12_09_12_15 Acc Rate'!C16,'12_09_12_15'!P:P,"*E*"),COUNTIFS('12_09_12_15'!E:E,'12_09_12_15 Acc Rate'!C16,'12_09_12_15'!S:S,"*E*")))</f>
        <v/>
      </c>
      <c r="U16" s="8" t="str">
        <f t="shared" si="1"/>
        <v/>
      </c>
    </row>
    <row r="17" spans="2:21" ht="15" customHeight="1" x14ac:dyDescent="0.25">
      <c r="B17" s="1" t="s">
        <v>562</v>
      </c>
      <c r="C17" s="1" t="s">
        <v>563</v>
      </c>
      <c r="D17" s="1" t="s">
        <v>564</v>
      </c>
      <c r="E17"/>
      <c r="F17" t="s">
        <v>565</v>
      </c>
      <c r="G17" t="s">
        <v>566</v>
      </c>
      <c r="H17" t="s">
        <v>552</v>
      </c>
      <c r="I17" t="s">
        <v>567</v>
      </c>
      <c r="J17" t="s">
        <v>561</v>
      </c>
      <c r="K17" t="s">
        <v>553</v>
      </c>
      <c r="L17"/>
      <c r="M17">
        <v>6</v>
      </c>
      <c r="N17"/>
      <c r="O17"/>
      <c r="P17"/>
      <c r="Q17" s="7"/>
      <c r="R17" s="27" t="str">
        <f t="shared" si="0"/>
        <v/>
      </c>
      <c r="S17" s="27" t="str">
        <f>IF(SUM(COUNTIFS('12_09_12_15'!E:E,'12_09_12_15 Acc Rate'!C17,'12_09_12_15'!O:O,"*M*"),COUNTIFS('12_09_12_15'!E:E,'12_09_12_15 Acc Rate'!C17,'12_09_12_15'!R:R,"*M*"))=0,"",SUM(COUNTIFS('12_09_12_15'!E:E,'12_09_12_15 Acc Rate'!C17,'12_09_12_15'!O:O,"*M*"),COUNTIFS('12_09_12_15'!E:E,'12_09_12_15 Acc Rate'!C17,'12_09_12_15'!R:R,"*M*")))</f>
        <v/>
      </c>
      <c r="T17" s="1" t="str">
        <f>IF(SUM(COUNTIFS('12_09_12_15'!E:E,'12_09_12_15 Acc Rate'!C17,'12_09_12_15'!P:P,"*E*"),COUNTIFS('12_09_12_15'!E:E,'12_09_12_15 Acc Rate'!C17,'12_09_12_15'!S:S,"*E*"))=0,"",SUM(COUNTIFS('12_09_12_15'!E:E,'12_09_12_15 Acc Rate'!C17,'12_09_12_15'!P:P,"*E*"),COUNTIFS('12_09_12_15'!E:E,'12_09_12_15 Acc Rate'!C17,'12_09_12_15'!S:S,"*E*")))</f>
        <v/>
      </c>
      <c r="U17" s="8" t="str">
        <f t="shared" si="1"/>
        <v/>
      </c>
    </row>
    <row r="18" spans="2:21" ht="15" customHeight="1" x14ac:dyDescent="0.25">
      <c r="B18" s="1" t="s">
        <v>568</v>
      </c>
      <c r="C18" s="1" t="s">
        <v>569</v>
      </c>
      <c r="D18" s="1" t="s">
        <v>570</v>
      </c>
      <c r="E18"/>
      <c r="F18" t="s">
        <v>571</v>
      </c>
      <c r="G18" t="s">
        <v>572</v>
      </c>
      <c r="H18" t="s">
        <v>552</v>
      </c>
      <c r="I18" t="s">
        <v>573</v>
      </c>
      <c r="J18" t="s">
        <v>561</v>
      </c>
      <c r="K18" t="s">
        <v>553</v>
      </c>
      <c r="L18"/>
      <c r="M18">
        <v>6</v>
      </c>
      <c r="N18"/>
      <c r="O18"/>
      <c r="P18"/>
      <c r="Q18" s="7"/>
      <c r="R18" s="27">
        <f t="shared" si="0"/>
        <v>-2</v>
      </c>
      <c r="S18" s="27" t="str">
        <f>IF(SUM(COUNTIFS('12_09_12_15'!E:E,'12_09_12_15 Acc Rate'!C18,'12_09_12_15'!O:O,"*M*"),COUNTIFS('12_09_12_15'!E:E,'12_09_12_15 Acc Rate'!C18,'12_09_12_15'!R:R,"*M*"))=0,"",SUM(COUNTIFS('12_09_12_15'!E:E,'12_09_12_15 Acc Rate'!C18,'12_09_12_15'!O:O,"*M*"),COUNTIFS('12_09_12_15'!E:E,'12_09_12_15 Acc Rate'!C18,'12_09_12_15'!R:R,"*M*")))</f>
        <v/>
      </c>
      <c r="T18" s="1">
        <f>IF(SUM(COUNTIFS('12_09_12_15'!E:E,'12_09_12_15 Acc Rate'!C18,'12_09_12_15'!P:P,"*E*"),COUNTIFS('12_09_12_15'!E:E,'12_09_12_15 Acc Rate'!C18,'12_09_12_15'!S:S,"*E*"))=0,"",SUM(COUNTIFS('12_09_12_15'!E:E,'12_09_12_15 Acc Rate'!C18,'12_09_12_15'!P:P,"*E*"),COUNTIFS('12_09_12_15'!E:E,'12_09_12_15 Acc Rate'!C18,'12_09_12_15'!S:S,"*E*")))</f>
        <v>2</v>
      </c>
      <c r="U18" s="8" t="str">
        <f t="shared" si="1"/>
        <v/>
      </c>
    </row>
    <row r="19" spans="2:21" ht="15" customHeight="1" x14ac:dyDescent="0.25">
      <c r="B19" s="1" t="s">
        <v>574</v>
      </c>
      <c r="C19" s="1" t="s">
        <v>575</v>
      </c>
      <c r="D19" s="1" t="s">
        <v>576</v>
      </c>
      <c r="E19"/>
      <c r="F19" t="s">
        <v>577</v>
      </c>
      <c r="G19" t="s">
        <v>578</v>
      </c>
      <c r="H19" t="s">
        <v>552</v>
      </c>
      <c r="I19" t="s">
        <v>579</v>
      </c>
      <c r="J19" t="s">
        <v>561</v>
      </c>
      <c r="K19" t="s">
        <v>553</v>
      </c>
      <c r="L19"/>
      <c r="M19">
        <v>6</v>
      </c>
      <c r="N19"/>
      <c r="O19"/>
      <c r="P19"/>
      <c r="Q19" s="7"/>
      <c r="R19" s="27" t="str">
        <f t="shared" si="0"/>
        <v/>
      </c>
      <c r="S19" s="27" t="str">
        <f>IF(SUM(COUNTIFS('12_09_12_15'!E:E,'12_09_12_15 Acc Rate'!C19,'12_09_12_15'!O:O,"*M*"),COUNTIFS('12_09_12_15'!E:E,'12_09_12_15 Acc Rate'!C19,'12_09_12_15'!R:R,"*M*"))=0,"",SUM(COUNTIFS('12_09_12_15'!E:E,'12_09_12_15 Acc Rate'!C19,'12_09_12_15'!O:O,"*M*"),COUNTIFS('12_09_12_15'!E:E,'12_09_12_15 Acc Rate'!C19,'12_09_12_15'!R:R,"*M*")))</f>
        <v/>
      </c>
      <c r="T19" s="1" t="str">
        <f>IF(SUM(COUNTIFS('12_09_12_15'!E:E,'12_09_12_15 Acc Rate'!C19,'12_09_12_15'!P:P,"*E*"),COUNTIFS('12_09_12_15'!E:E,'12_09_12_15 Acc Rate'!C19,'12_09_12_15'!S:S,"*E*"))=0,"",SUM(COUNTIFS('12_09_12_15'!E:E,'12_09_12_15 Acc Rate'!C19,'12_09_12_15'!P:P,"*E*"),COUNTIFS('12_09_12_15'!E:E,'12_09_12_15 Acc Rate'!C19,'12_09_12_15'!S:S,"*E*")))</f>
        <v/>
      </c>
      <c r="U19" s="8" t="str">
        <f t="shared" si="1"/>
        <v/>
      </c>
    </row>
    <row r="20" spans="2:21" ht="15" customHeight="1" x14ac:dyDescent="0.25">
      <c r="B20" s="1" t="s">
        <v>580</v>
      </c>
      <c r="C20" s="1" t="s">
        <v>316</v>
      </c>
      <c r="D20" s="1" t="s">
        <v>581</v>
      </c>
      <c r="E20"/>
      <c r="F20" t="s">
        <v>565</v>
      </c>
      <c r="G20" t="s">
        <v>582</v>
      </c>
      <c r="H20" t="s">
        <v>583</v>
      </c>
      <c r="I20" t="s">
        <v>584</v>
      </c>
      <c r="J20" t="s">
        <v>585</v>
      </c>
      <c r="K20"/>
      <c r="L20"/>
      <c r="M20">
        <v>1</v>
      </c>
      <c r="N20"/>
      <c r="O20"/>
      <c r="P20"/>
      <c r="Q20" s="7"/>
      <c r="R20" s="27" t="str">
        <f t="shared" si="0"/>
        <v/>
      </c>
      <c r="S20" s="27" t="str">
        <f>IF(SUM(COUNTIFS('12_09_12_15'!E:E,'12_09_12_15 Acc Rate'!C20,'12_09_12_15'!O:O,"*M*"),COUNTIFS('12_09_12_15'!E:E,'12_09_12_15 Acc Rate'!C20,'12_09_12_15'!R:R,"*M*"))=0,"",SUM(COUNTIFS('12_09_12_15'!E:E,'12_09_12_15 Acc Rate'!C20,'12_09_12_15'!O:O,"*M*"),COUNTIFS('12_09_12_15'!E:E,'12_09_12_15 Acc Rate'!C20,'12_09_12_15'!R:R,"*M*")))</f>
        <v/>
      </c>
      <c r="T20" s="1" t="str">
        <f>IF(SUM(COUNTIFS('12_09_12_15'!E:E,'12_09_12_15 Acc Rate'!C20,'12_09_12_15'!P:P,"*E*"),COUNTIFS('12_09_12_15'!E:E,'12_09_12_15 Acc Rate'!C20,'12_09_12_15'!S:S,"*E*"))=0,"",SUM(COUNTIFS('12_09_12_15'!E:E,'12_09_12_15 Acc Rate'!C20,'12_09_12_15'!P:P,"*E*"),COUNTIFS('12_09_12_15'!E:E,'12_09_12_15 Acc Rate'!C20,'12_09_12_15'!S:S,"*E*")))</f>
        <v/>
      </c>
      <c r="U20" s="8" t="str">
        <f t="shared" si="1"/>
        <v/>
      </c>
    </row>
    <row r="21" spans="2:21" ht="15" customHeight="1" x14ac:dyDescent="0.25">
      <c r="B21" s="1" t="s">
        <v>586</v>
      </c>
      <c r="C21" s="1" t="s">
        <v>587</v>
      </c>
      <c r="D21" s="1" t="s">
        <v>588</v>
      </c>
      <c r="E21"/>
      <c r="F21" t="s">
        <v>589</v>
      </c>
      <c r="G21" t="s">
        <v>590</v>
      </c>
      <c r="H21" t="s">
        <v>583</v>
      </c>
      <c r="I21" t="s">
        <v>591</v>
      </c>
      <c r="J21" t="s">
        <v>592</v>
      </c>
      <c r="K21"/>
      <c r="L21"/>
      <c r="M21">
        <v>1</v>
      </c>
      <c r="N21"/>
      <c r="O21"/>
      <c r="P21"/>
      <c r="Q21" s="7"/>
      <c r="R21" s="27" t="str">
        <f t="shared" si="0"/>
        <v/>
      </c>
      <c r="S21" s="27" t="str">
        <f>IF(SUM(COUNTIFS('12_09_12_15'!E:E,'12_09_12_15 Acc Rate'!C21,'12_09_12_15'!O:O,"*M*"),COUNTIFS('12_09_12_15'!E:E,'12_09_12_15 Acc Rate'!C21,'12_09_12_15'!R:R,"*M*"))=0,"",SUM(COUNTIFS('12_09_12_15'!E:E,'12_09_12_15 Acc Rate'!C21,'12_09_12_15'!O:O,"*M*"),COUNTIFS('12_09_12_15'!E:E,'12_09_12_15 Acc Rate'!C21,'12_09_12_15'!R:R,"*M*")))</f>
        <v/>
      </c>
      <c r="T21" s="1" t="str">
        <f>IF(SUM(COUNTIFS('12_09_12_15'!E:E,'12_09_12_15 Acc Rate'!C21,'12_09_12_15'!P:P,"*E*"),COUNTIFS('12_09_12_15'!E:E,'12_09_12_15 Acc Rate'!C21,'12_09_12_15'!S:S,"*E*"))=0,"",SUM(COUNTIFS('12_09_12_15'!E:E,'12_09_12_15 Acc Rate'!C21,'12_09_12_15'!P:P,"*E*"),COUNTIFS('12_09_12_15'!E:E,'12_09_12_15 Acc Rate'!C21,'12_09_12_15'!S:S,"*E*")))</f>
        <v/>
      </c>
      <c r="U21" s="8" t="str">
        <f t="shared" si="1"/>
        <v/>
      </c>
    </row>
    <row r="22" spans="2:21" ht="15" customHeight="1" x14ac:dyDescent="0.25">
      <c r="B22" s="1" t="s">
        <v>593</v>
      </c>
      <c r="C22" s="1" t="s">
        <v>169</v>
      </c>
      <c r="D22" s="1" t="s">
        <v>170</v>
      </c>
      <c r="E22"/>
      <c r="F22" t="s">
        <v>594</v>
      </c>
      <c r="G22" t="s">
        <v>595</v>
      </c>
      <c r="H22" t="s">
        <v>583</v>
      </c>
      <c r="I22" t="s">
        <v>596</v>
      </c>
      <c r="J22" t="s">
        <v>592</v>
      </c>
      <c r="K22"/>
      <c r="L22"/>
      <c r="M22">
        <v>1</v>
      </c>
      <c r="N22"/>
      <c r="O22"/>
      <c r="P22"/>
      <c r="Q22" s="7"/>
      <c r="R22" s="27" t="str">
        <f t="shared" si="0"/>
        <v/>
      </c>
      <c r="S22" s="27" t="str">
        <f>IF(SUM(COUNTIFS('12_09_12_15'!E:E,'12_09_12_15 Acc Rate'!C22,'12_09_12_15'!O:O,"*M*"),COUNTIFS('12_09_12_15'!E:E,'12_09_12_15 Acc Rate'!C22,'12_09_12_15'!R:R,"*M*"))=0,"",SUM(COUNTIFS('12_09_12_15'!E:E,'12_09_12_15 Acc Rate'!C22,'12_09_12_15'!O:O,"*M*"),COUNTIFS('12_09_12_15'!E:E,'12_09_12_15 Acc Rate'!C22,'12_09_12_15'!R:R,"*M*")))</f>
        <v/>
      </c>
      <c r="T22" s="1" t="str">
        <f>IF(SUM(COUNTIFS('12_09_12_15'!E:E,'12_09_12_15 Acc Rate'!C22,'12_09_12_15'!P:P,"*E*"),COUNTIFS('12_09_12_15'!E:E,'12_09_12_15 Acc Rate'!C22,'12_09_12_15'!S:S,"*E*"))=0,"",SUM(COUNTIFS('12_09_12_15'!E:E,'12_09_12_15 Acc Rate'!C22,'12_09_12_15'!P:P,"*E*"),COUNTIFS('12_09_12_15'!E:E,'12_09_12_15 Acc Rate'!C22,'12_09_12_15'!S:S,"*E*")))</f>
        <v/>
      </c>
      <c r="U22" s="8" t="str">
        <f t="shared" si="1"/>
        <v/>
      </c>
    </row>
    <row r="23" spans="2:21" s="1" customFormat="1" ht="15" customHeight="1" x14ac:dyDescent="0.25">
      <c r="B23" s="1" t="s">
        <v>602</v>
      </c>
      <c r="C23" s="1" t="s">
        <v>603</v>
      </c>
      <c r="D23" s="1" t="s">
        <v>1175</v>
      </c>
      <c r="E23"/>
      <c r="F23" t="s">
        <v>565</v>
      </c>
      <c r="G23" t="s">
        <v>1176</v>
      </c>
      <c r="H23" t="s">
        <v>583</v>
      </c>
      <c r="I23" t="s">
        <v>606</v>
      </c>
      <c r="J23" t="s">
        <v>607</v>
      </c>
      <c r="K23"/>
      <c r="L23"/>
      <c r="M23">
        <v>1</v>
      </c>
      <c r="N23"/>
      <c r="O23"/>
      <c r="P23"/>
      <c r="Q23" s="7"/>
      <c r="R23" s="27" t="str">
        <f t="shared" si="0"/>
        <v/>
      </c>
      <c r="S23" s="27" t="str">
        <f>IF(SUM(COUNTIFS('12_09_12_15'!E:E,'12_09_12_15 Acc Rate'!C23,'12_09_12_15'!O:O,"*M*"),COUNTIFS('12_09_12_15'!E:E,'12_09_12_15 Acc Rate'!C23,'12_09_12_15'!R:R,"*M*"))=0,"",SUM(COUNTIFS('12_09_12_15'!E:E,'12_09_12_15 Acc Rate'!C23,'12_09_12_15'!O:O,"*M*"),COUNTIFS('12_09_12_15'!E:E,'12_09_12_15 Acc Rate'!C23,'12_09_12_15'!R:R,"*M*")))</f>
        <v/>
      </c>
      <c r="T23" s="1" t="str">
        <f>IF(SUM(COUNTIFS('12_09_12_15'!E:E,'12_09_12_15 Acc Rate'!C23,'12_09_12_15'!P:P,"*E*"),COUNTIFS('12_09_12_15'!E:E,'12_09_12_15 Acc Rate'!C23,'12_09_12_15'!S:S,"*E*"))=0,"",SUM(COUNTIFS('12_09_12_15'!E:E,'12_09_12_15 Acc Rate'!C23,'12_09_12_15'!P:P,"*E*"),COUNTIFS('12_09_12_15'!E:E,'12_09_12_15 Acc Rate'!C23,'12_09_12_15'!S:S,"*E*")))</f>
        <v/>
      </c>
      <c r="U23" s="9" t="str">
        <f t="shared" si="1"/>
        <v/>
      </c>
    </row>
    <row r="24" spans="2:21" s="1" customFormat="1" ht="15" customHeight="1" x14ac:dyDescent="0.25">
      <c r="B24" s="1" t="s">
        <v>608</v>
      </c>
      <c r="C24" s="1" t="s">
        <v>609</v>
      </c>
      <c r="D24" s="1" t="s">
        <v>610</v>
      </c>
      <c r="E24"/>
      <c r="F24" t="s">
        <v>611</v>
      </c>
      <c r="G24" t="s">
        <v>612</v>
      </c>
      <c r="H24" t="s">
        <v>583</v>
      </c>
      <c r="I24" t="s">
        <v>613</v>
      </c>
      <c r="J24" t="s">
        <v>614</v>
      </c>
      <c r="K24" t="s">
        <v>606</v>
      </c>
      <c r="L24"/>
      <c r="M24">
        <v>1</v>
      </c>
      <c r="N24"/>
      <c r="O24"/>
      <c r="P24"/>
      <c r="Q24" s="7"/>
      <c r="R24" s="27" t="str">
        <f t="shared" si="0"/>
        <v/>
      </c>
      <c r="S24" s="27" t="str">
        <f>IF(SUM(COUNTIFS('12_09_12_15'!E:E,'12_09_12_15 Acc Rate'!C24,'12_09_12_15'!O:O,"*M*"),COUNTIFS('12_09_12_15'!E:E,'12_09_12_15 Acc Rate'!C24,'12_09_12_15'!R:R,"*M*"))=0,"",SUM(COUNTIFS('12_09_12_15'!E:E,'12_09_12_15 Acc Rate'!C24,'12_09_12_15'!O:O,"*M*"),COUNTIFS('12_09_12_15'!E:E,'12_09_12_15 Acc Rate'!C24,'12_09_12_15'!R:R,"*M*")))</f>
        <v/>
      </c>
      <c r="T24" s="1" t="str">
        <f>IF(SUM(COUNTIFS('12_09_12_15'!E:E,'12_09_12_15 Acc Rate'!C24,'12_09_12_15'!P:P,"*E*"),COUNTIFS('12_09_12_15'!E:E,'12_09_12_15 Acc Rate'!C24,'12_09_12_15'!S:S,"*E*"))=0,"",SUM(COUNTIFS('12_09_12_15'!E:E,'12_09_12_15 Acc Rate'!C24,'12_09_12_15'!P:P,"*E*"),COUNTIFS('12_09_12_15'!E:E,'12_09_12_15 Acc Rate'!C24,'12_09_12_15'!S:S,"*E*")))</f>
        <v/>
      </c>
      <c r="U24" s="9" t="str">
        <f t="shared" si="1"/>
        <v/>
      </c>
    </row>
    <row r="25" spans="2:21" s="1" customFormat="1" ht="15" customHeight="1" x14ac:dyDescent="0.25">
      <c r="B25" s="1" t="s">
        <v>615</v>
      </c>
      <c r="C25" s="1" t="s">
        <v>616</v>
      </c>
      <c r="D25" s="1" t="s">
        <v>617</v>
      </c>
      <c r="E25"/>
      <c r="F25" t="s">
        <v>618</v>
      </c>
      <c r="G25" t="s">
        <v>619</v>
      </c>
      <c r="H25" t="s">
        <v>583</v>
      </c>
      <c r="I25" t="s">
        <v>620</v>
      </c>
      <c r="J25" t="s">
        <v>614</v>
      </c>
      <c r="K25" t="s">
        <v>606</v>
      </c>
      <c r="L25"/>
      <c r="M25">
        <v>1</v>
      </c>
      <c r="N25"/>
      <c r="O25"/>
      <c r="P25"/>
      <c r="Q25" s="7"/>
      <c r="R25" s="27" t="str">
        <f t="shared" si="0"/>
        <v/>
      </c>
      <c r="S25" s="27" t="str">
        <f>IF(SUM(COUNTIFS('12_09_12_15'!E:E,'12_09_12_15 Acc Rate'!C25,'12_09_12_15'!O:O,"*M*"),COUNTIFS('12_09_12_15'!E:E,'12_09_12_15 Acc Rate'!C25,'12_09_12_15'!R:R,"*M*"))=0,"",SUM(COUNTIFS('12_09_12_15'!E:E,'12_09_12_15 Acc Rate'!C25,'12_09_12_15'!O:O,"*M*"),COUNTIFS('12_09_12_15'!E:E,'12_09_12_15 Acc Rate'!C25,'12_09_12_15'!R:R,"*M*")))</f>
        <v/>
      </c>
      <c r="T25" s="1" t="str">
        <f>IF(SUM(COUNTIFS('12_09_12_15'!E:E,'12_09_12_15 Acc Rate'!C25,'12_09_12_15'!P:P,"*E*"),COUNTIFS('12_09_12_15'!E:E,'12_09_12_15 Acc Rate'!C25,'12_09_12_15'!S:S,"*E*"))=0,"",SUM(COUNTIFS('12_09_12_15'!E:E,'12_09_12_15 Acc Rate'!C25,'12_09_12_15'!P:P,"*E*"),COUNTIFS('12_09_12_15'!E:E,'12_09_12_15 Acc Rate'!C25,'12_09_12_15'!S:S,"*E*")))</f>
        <v/>
      </c>
      <c r="U25" s="9" t="str">
        <f t="shared" si="1"/>
        <v/>
      </c>
    </row>
    <row r="26" spans="2:21" s="1" customFormat="1" ht="15" customHeight="1" x14ac:dyDescent="0.25">
      <c r="B26" s="1" t="s">
        <v>621</v>
      </c>
      <c r="C26" s="1" t="s">
        <v>622</v>
      </c>
      <c r="D26" s="1" t="s">
        <v>267</v>
      </c>
      <c r="E26"/>
      <c r="F26" t="s">
        <v>623</v>
      </c>
      <c r="G26" t="s">
        <v>624</v>
      </c>
      <c r="H26" t="s">
        <v>583</v>
      </c>
      <c r="I26" t="s">
        <v>625</v>
      </c>
      <c r="J26" t="s">
        <v>614</v>
      </c>
      <c r="K26" t="s">
        <v>606</v>
      </c>
      <c r="L26"/>
      <c r="M26">
        <v>1</v>
      </c>
      <c r="N26"/>
      <c r="O26"/>
      <c r="P26"/>
      <c r="Q26" s="7"/>
      <c r="R26" s="27" t="str">
        <f t="shared" si="0"/>
        <v/>
      </c>
      <c r="S26" s="27" t="str">
        <f>IF(SUM(COUNTIFS('12_09_12_15'!E:E,'12_09_12_15 Acc Rate'!C26,'12_09_12_15'!O:O,"*M*"),COUNTIFS('12_09_12_15'!E:E,'12_09_12_15 Acc Rate'!C26,'12_09_12_15'!R:R,"*M*"))=0,"",SUM(COUNTIFS('12_09_12_15'!E:E,'12_09_12_15 Acc Rate'!C26,'12_09_12_15'!O:O,"*M*"),COUNTIFS('12_09_12_15'!E:E,'12_09_12_15 Acc Rate'!C26,'12_09_12_15'!R:R,"*M*")))</f>
        <v/>
      </c>
      <c r="T26" s="1" t="str">
        <f>IF(SUM(COUNTIFS('12_09_12_15'!E:E,'12_09_12_15 Acc Rate'!C26,'12_09_12_15'!P:P,"*E*"),COUNTIFS('12_09_12_15'!E:E,'12_09_12_15 Acc Rate'!C26,'12_09_12_15'!S:S,"*E*"))=0,"",SUM(COUNTIFS('12_09_12_15'!E:E,'12_09_12_15 Acc Rate'!C26,'12_09_12_15'!P:P,"*E*"),COUNTIFS('12_09_12_15'!E:E,'12_09_12_15 Acc Rate'!C26,'12_09_12_15'!S:S,"*E*")))</f>
        <v/>
      </c>
      <c r="U26" s="9" t="str">
        <f t="shared" si="1"/>
        <v/>
      </c>
    </row>
    <row r="27" spans="2:21" s="1" customFormat="1" ht="15" customHeight="1" x14ac:dyDescent="0.25">
      <c r="B27" s="1" t="s">
        <v>626</v>
      </c>
      <c r="C27" s="1" t="s">
        <v>362</v>
      </c>
      <c r="D27" s="1" t="s">
        <v>409</v>
      </c>
      <c r="E27"/>
      <c r="F27" t="s">
        <v>627</v>
      </c>
      <c r="G27" t="s">
        <v>628</v>
      </c>
      <c r="H27" t="s">
        <v>583</v>
      </c>
      <c r="I27" t="s">
        <v>629</v>
      </c>
      <c r="J27" t="s">
        <v>614</v>
      </c>
      <c r="K27" t="s">
        <v>606</v>
      </c>
      <c r="L27"/>
      <c r="M27">
        <v>1</v>
      </c>
      <c r="N27"/>
      <c r="O27"/>
      <c r="P27"/>
      <c r="Q27" s="7"/>
      <c r="R27" s="27" t="str">
        <f t="shared" si="0"/>
        <v/>
      </c>
      <c r="S27" s="27" t="str">
        <f>IF(SUM(COUNTIFS('12_09_12_15'!E:E,'12_09_12_15 Acc Rate'!C27,'12_09_12_15'!O:O,"*M*"),COUNTIFS('12_09_12_15'!E:E,'12_09_12_15 Acc Rate'!C27,'12_09_12_15'!R:R,"*M*"))=0,"",SUM(COUNTIFS('12_09_12_15'!E:E,'12_09_12_15 Acc Rate'!C27,'12_09_12_15'!O:O,"*M*"),COUNTIFS('12_09_12_15'!E:E,'12_09_12_15 Acc Rate'!C27,'12_09_12_15'!R:R,"*M*")))</f>
        <v/>
      </c>
      <c r="T27" s="1" t="str">
        <f>IF(SUM(COUNTIFS('12_09_12_15'!E:E,'12_09_12_15 Acc Rate'!C27,'12_09_12_15'!P:P,"*E*"),COUNTIFS('12_09_12_15'!E:E,'12_09_12_15 Acc Rate'!C27,'12_09_12_15'!S:S,"*E*"))=0,"",SUM(COUNTIFS('12_09_12_15'!E:E,'12_09_12_15 Acc Rate'!C27,'12_09_12_15'!P:P,"*E*"),COUNTIFS('12_09_12_15'!E:E,'12_09_12_15 Acc Rate'!C27,'12_09_12_15'!S:S,"*E*")))</f>
        <v/>
      </c>
      <c r="U27" s="9" t="str">
        <f t="shared" si="1"/>
        <v/>
      </c>
    </row>
    <row r="28" spans="2:21" s="1" customFormat="1" ht="15" customHeight="1" x14ac:dyDescent="0.25">
      <c r="B28" s="1" t="s">
        <v>630</v>
      </c>
      <c r="C28" s="1" t="s">
        <v>425</v>
      </c>
      <c r="D28" s="1" t="s">
        <v>426</v>
      </c>
      <c r="E28"/>
      <c r="F28" t="s">
        <v>631</v>
      </c>
      <c r="G28" t="s">
        <v>632</v>
      </c>
      <c r="H28" t="s">
        <v>583</v>
      </c>
      <c r="I28" t="s">
        <v>633</v>
      </c>
      <c r="J28" t="s">
        <v>614</v>
      </c>
      <c r="K28" t="s">
        <v>606</v>
      </c>
      <c r="L28"/>
      <c r="M28">
        <v>15</v>
      </c>
      <c r="N28"/>
      <c r="O28"/>
      <c r="P28"/>
      <c r="Q28" s="7"/>
      <c r="R28" s="27" t="str">
        <f t="shared" si="0"/>
        <v/>
      </c>
      <c r="S28" s="27" t="str">
        <f>IF(SUM(COUNTIFS('12_09_12_15'!E:E,'12_09_12_15 Acc Rate'!C28,'12_09_12_15'!O:O,"*M*"),COUNTIFS('12_09_12_15'!E:E,'12_09_12_15 Acc Rate'!C28,'12_09_12_15'!R:R,"*M*"))=0,"",SUM(COUNTIFS('12_09_12_15'!E:E,'12_09_12_15 Acc Rate'!C28,'12_09_12_15'!O:O,"*M*"),COUNTIFS('12_09_12_15'!E:E,'12_09_12_15 Acc Rate'!C28,'12_09_12_15'!R:R,"*M*")))</f>
        <v/>
      </c>
      <c r="T28" s="1" t="str">
        <f>IF(SUM(COUNTIFS('12_09_12_15'!E:E,'12_09_12_15 Acc Rate'!C28,'12_09_12_15'!P:P,"*E*"),COUNTIFS('12_09_12_15'!E:E,'12_09_12_15 Acc Rate'!C28,'12_09_12_15'!S:S,"*E*"))=0,"",SUM(COUNTIFS('12_09_12_15'!E:E,'12_09_12_15 Acc Rate'!C28,'12_09_12_15'!P:P,"*E*"),COUNTIFS('12_09_12_15'!E:E,'12_09_12_15 Acc Rate'!C28,'12_09_12_15'!S:S,"*E*")))</f>
        <v/>
      </c>
      <c r="U28" s="8" t="str">
        <f t="shared" si="1"/>
        <v/>
      </c>
    </row>
    <row r="29" spans="2:21" s="1" customFormat="1" ht="15" customHeight="1" x14ac:dyDescent="0.25">
      <c r="B29" s="1" t="s">
        <v>634</v>
      </c>
      <c r="C29" s="1" t="s">
        <v>635</v>
      </c>
      <c r="D29" s="1" t="s">
        <v>636</v>
      </c>
      <c r="E29"/>
      <c r="F29" t="s">
        <v>21</v>
      </c>
      <c r="G29" t="s">
        <v>637</v>
      </c>
      <c r="H29" t="s">
        <v>583</v>
      </c>
      <c r="I29" t="s">
        <v>638</v>
      </c>
      <c r="J29" t="s">
        <v>607</v>
      </c>
      <c r="K29"/>
      <c r="L29"/>
      <c r="M29">
        <v>1</v>
      </c>
      <c r="N29"/>
      <c r="O29"/>
      <c r="P29"/>
      <c r="Q29" s="7"/>
      <c r="R29" s="27" t="str">
        <f t="shared" si="0"/>
        <v/>
      </c>
      <c r="S29" s="27" t="str">
        <f>IF(SUM(COUNTIFS('12_09_12_15'!E:E,'12_09_12_15 Acc Rate'!C29,'12_09_12_15'!O:O,"*M*"),COUNTIFS('12_09_12_15'!E:E,'12_09_12_15 Acc Rate'!C29,'12_09_12_15'!R:R,"*M*"))=0,"",SUM(COUNTIFS('12_09_12_15'!E:E,'12_09_12_15 Acc Rate'!C29,'12_09_12_15'!O:O,"*M*"),COUNTIFS('12_09_12_15'!E:E,'12_09_12_15 Acc Rate'!C29,'12_09_12_15'!R:R,"*M*")))</f>
        <v/>
      </c>
      <c r="T29" s="1" t="str">
        <f>IF(SUM(COUNTIFS('12_09_12_15'!E:E,'12_09_12_15 Acc Rate'!C29,'12_09_12_15'!P:P,"*E*"),COUNTIFS('12_09_12_15'!E:E,'12_09_12_15 Acc Rate'!C29,'12_09_12_15'!S:S,"*E*"))=0,"",SUM(COUNTIFS('12_09_12_15'!E:E,'12_09_12_15 Acc Rate'!C29,'12_09_12_15'!P:P,"*E*"),COUNTIFS('12_09_12_15'!E:E,'12_09_12_15 Acc Rate'!C29,'12_09_12_15'!S:S,"*E*")))</f>
        <v/>
      </c>
      <c r="U29" s="9" t="str">
        <f t="shared" si="1"/>
        <v/>
      </c>
    </row>
    <row r="30" spans="2:21" s="1" customFormat="1" ht="15" customHeight="1" x14ac:dyDescent="0.25">
      <c r="B30" s="1" t="s">
        <v>1630</v>
      </c>
      <c r="C30" s="1" t="s">
        <v>1631</v>
      </c>
      <c r="D30" s="1" t="s">
        <v>1122</v>
      </c>
      <c r="E30"/>
      <c r="F30" t="s">
        <v>21</v>
      </c>
      <c r="G30" t="s">
        <v>1632</v>
      </c>
      <c r="H30" t="s">
        <v>583</v>
      </c>
      <c r="I30" t="s">
        <v>1633</v>
      </c>
      <c r="J30" t="s">
        <v>1634</v>
      </c>
      <c r="K30" t="s">
        <v>638</v>
      </c>
      <c r="L30"/>
      <c r="M30">
        <v>15</v>
      </c>
      <c r="N30"/>
      <c r="O30"/>
      <c r="P30"/>
      <c r="Q30" s="7"/>
      <c r="R30" s="27" t="str">
        <f t="shared" si="0"/>
        <v/>
      </c>
      <c r="S30" s="27" t="str">
        <f>IF(SUM(COUNTIFS('12_09_12_15'!E:E,'12_09_12_15 Acc Rate'!C30,'12_09_12_15'!O:O,"*M*"),COUNTIFS('12_09_12_15'!E:E,'12_09_12_15 Acc Rate'!C30,'12_09_12_15'!R:R,"*M*"))=0,"",SUM(COUNTIFS('12_09_12_15'!E:E,'12_09_12_15 Acc Rate'!C30,'12_09_12_15'!O:O,"*M*"),COUNTIFS('12_09_12_15'!E:E,'12_09_12_15 Acc Rate'!C30,'12_09_12_15'!R:R,"*M*")))</f>
        <v/>
      </c>
      <c r="T30" s="1" t="str">
        <f>IF(SUM(COUNTIFS('12_09_12_15'!E:E,'12_09_12_15 Acc Rate'!C30,'12_09_12_15'!P:P,"*E*"),COUNTIFS('12_09_12_15'!E:E,'12_09_12_15 Acc Rate'!C30,'12_09_12_15'!S:S,"*E*"))=0,"",SUM(COUNTIFS('12_09_12_15'!E:E,'12_09_12_15 Acc Rate'!C30,'12_09_12_15'!P:P,"*E*"),COUNTIFS('12_09_12_15'!E:E,'12_09_12_15 Acc Rate'!C30,'12_09_12_15'!S:S,"*E*")))</f>
        <v/>
      </c>
      <c r="U30" s="9" t="str">
        <f t="shared" si="1"/>
        <v/>
      </c>
    </row>
    <row r="31" spans="2:21" s="1" customFormat="1" ht="15" customHeight="1" x14ac:dyDescent="0.25">
      <c r="B31" s="1" t="s">
        <v>639</v>
      </c>
      <c r="C31" s="1" t="s">
        <v>635</v>
      </c>
      <c r="D31" s="1" t="s">
        <v>640</v>
      </c>
      <c r="E31"/>
      <c r="F31" t="s">
        <v>641</v>
      </c>
      <c r="G31" t="s">
        <v>642</v>
      </c>
      <c r="H31" t="s">
        <v>583</v>
      </c>
      <c r="I31" t="s">
        <v>643</v>
      </c>
      <c r="J31" t="s">
        <v>607</v>
      </c>
      <c r="K31"/>
      <c r="L31"/>
      <c r="M31">
        <v>1</v>
      </c>
      <c r="N31"/>
      <c r="O31"/>
      <c r="P31"/>
      <c r="Q31" s="7"/>
      <c r="R31" s="27" t="str">
        <f t="shared" si="0"/>
        <v/>
      </c>
      <c r="S31" s="27" t="str">
        <f>IF(SUM(COUNTIFS('12_09_12_15'!E:E,'12_09_12_15 Acc Rate'!C31,'12_09_12_15'!O:O,"*M*"),COUNTIFS('12_09_12_15'!E:E,'12_09_12_15 Acc Rate'!C31,'12_09_12_15'!R:R,"*M*"))=0,"",SUM(COUNTIFS('12_09_12_15'!E:E,'12_09_12_15 Acc Rate'!C31,'12_09_12_15'!O:O,"*M*"),COUNTIFS('12_09_12_15'!E:E,'12_09_12_15 Acc Rate'!C31,'12_09_12_15'!R:R,"*M*")))</f>
        <v/>
      </c>
      <c r="T31" s="1" t="str">
        <f>IF(SUM(COUNTIFS('12_09_12_15'!E:E,'12_09_12_15 Acc Rate'!C31,'12_09_12_15'!P:P,"*E*"),COUNTIFS('12_09_12_15'!E:E,'12_09_12_15 Acc Rate'!C31,'12_09_12_15'!S:S,"*E*"))=0,"",SUM(COUNTIFS('12_09_12_15'!E:E,'12_09_12_15 Acc Rate'!C31,'12_09_12_15'!P:P,"*E*"),COUNTIFS('12_09_12_15'!E:E,'12_09_12_15 Acc Rate'!C31,'12_09_12_15'!S:S,"*E*")))</f>
        <v/>
      </c>
      <c r="U31" s="9" t="str">
        <f t="shared" si="1"/>
        <v/>
      </c>
    </row>
    <row r="32" spans="2:21" ht="15" customHeight="1" x14ac:dyDescent="0.25">
      <c r="B32" s="1" t="s">
        <v>644</v>
      </c>
      <c r="C32" s="1" t="s">
        <v>162</v>
      </c>
      <c r="D32" s="1" t="s">
        <v>163</v>
      </c>
      <c r="E32"/>
      <c r="F32" t="s">
        <v>645</v>
      </c>
      <c r="G32" t="s">
        <v>646</v>
      </c>
      <c r="H32" t="s">
        <v>583</v>
      </c>
      <c r="I32" t="s">
        <v>647</v>
      </c>
      <c r="J32" t="s">
        <v>648</v>
      </c>
      <c r="K32" t="s">
        <v>643</v>
      </c>
      <c r="L32"/>
      <c r="M32">
        <v>1</v>
      </c>
      <c r="N32"/>
      <c r="O32"/>
      <c r="P32"/>
      <c r="Q32" s="7"/>
      <c r="R32" s="27" t="str">
        <f t="shared" si="0"/>
        <v/>
      </c>
      <c r="S32" s="27" t="str">
        <f>IF(SUM(COUNTIFS('12_09_12_15'!E:E,'12_09_12_15 Acc Rate'!C32,'12_09_12_15'!O:O,"*M*"),COUNTIFS('12_09_12_15'!E:E,'12_09_12_15 Acc Rate'!C32,'12_09_12_15'!R:R,"*M*"))=0,"",SUM(COUNTIFS('12_09_12_15'!E:E,'12_09_12_15 Acc Rate'!C32,'12_09_12_15'!O:O,"*M*"),COUNTIFS('12_09_12_15'!E:E,'12_09_12_15 Acc Rate'!C32,'12_09_12_15'!R:R,"*M*")))</f>
        <v/>
      </c>
      <c r="T32" s="1" t="str">
        <f>IF(SUM(COUNTIFS('12_09_12_15'!E:E,'12_09_12_15 Acc Rate'!C32,'12_09_12_15'!P:P,"*E*"),COUNTIFS('12_09_12_15'!E:E,'12_09_12_15 Acc Rate'!C32,'12_09_12_15'!S:S,"*E*"))=0,"",SUM(COUNTIFS('12_09_12_15'!E:E,'12_09_12_15 Acc Rate'!C32,'12_09_12_15'!P:P,"*E*"),COUNTIFS('12_09_12_15'!E:E,'12_09_12_15 Acc Rate'!C32,'12_09_12_15'!S:S,"*E*")))</f>
        <v/>
      </c>
      <c r="U32" s="8" t="str">
        <f t="shared" si="1"/>
        <v/>
      </c>
    </row>
    <row r="33" spans="2:21" ht="15" customHeight="1" x14ac:dyDescent="0.25">
      <c r="B33" s="1" t="s">
        <v>649</v>
      </c>
      <c r="C33" s="1" t="s">
        <v>264</v>
      </c>
      <c r="D33" s="1" t="s">
        <v>650</v>
      </c>
      <c r="E33"/>
      <c r="F33" t="s">
        <v>651</v>
      </c>
      <c r="G33" t="s">
        <v>652</v>
      </c>
      <c r="H33" t="s">
        <v>583</v>
      </c>
      <c r="I33" t="s">
        <v>653</v>
      </c>
      <c r="J33" t="s">
        <v>648</v>
      </c>
      <c r="K33" t="s">
        <v>643</v>
      </c>
      <c r="L33"/>
      <c r="M33">
        <v>1</v>
      </c>
      <c r="N33"/>
      <c r="O33"/>
      <c r="P33"/>
      <c r="Q33" s="7"/>
      <c r="R33" s="27" t="str">
        <f t="shared" si="0"/>
        <v/>
      </c>
      <c r="S33" s="27" t="str">
        <f>IF(SUM(COUNTIFS('12_09_12_15'!E:E,'12_09_12_15 Acc Rate'!C33,'12_09_12_15'!O:O,"*M*"),COUNTIFS('12_09_12_15'!E:E,'12_09_12_15 Acc Rate'!C33,'12_09_12_15'!R:R,"*M*"))=0,"",SUM(COUNTIFS('12_09_12_15'!E:E,'12_09_12_15 Acc Rate'!C33,'12_09_12_15'!O:O,"*M*"),COUNTIFS('12_09_12_15'!E:E,'12_09_12_15 Acc Rate'!C33,'12_09_12_15'!R:R,"*M*")))</f>
        <v/>
      </c>
      <c r="T33" s="1" t="str">
        <f>IF(SUM(COUNTIFS('12_09_12_15'!E:E,'12_09_12_15 Acc Rate'!C33,'12_09_12_15'!P:P,"*E*"),COUNTIFS('12_09_12_15'!E:E,'12_09_12_15 Acc Rate'!C33,'12_09_12_15'!S:S,"*E*"))=0,"",SUM(COUNTIFS('12_09_12_15'!E:E,'12_09_12_15 Acc Rate'!C33,'12_09_12_15'!P:P,"*E*"),COUNTIFS('12_09_12_15'!E:E,'12_09_12_15 Acc Rate'!C33,'12_09_12_15'!S:S,"*E*")))</f>
        <v/>
      </c>
      <c r="U33" s="8" t="str">
        <f t="shared" si="1"/>
        <v/>
      </c>
    </row>
    <row r="34" spans="2:21" ht="15" customHeight="1" x14ac:dyDescent="0.25">
      <c r="B34" s="1" t="s">
        <v>654</v>
      </c>
      <c r="C34" s="1" t="s">
        <v>417</v>
      </c>
      <c r="D34" s="1" t="s">
        <v>418</v>
      </c>
      <c r="E34"/>
      <c r="F34" t="s">
        <v>655</v>
      </c>
      <c r="G34" t="s">
        <v>656</v>
      </c>
      <c r="H34" t="s">
        <v>583</v>
      </c>
      <c r="I34" t="s">
        <v>657</v>
      </c>
      <c r="J34" t="s">
        <v>648</v>
      </c>
      <c r="K34" t="s">
        <v>643</v>
      </c>
      <c r="L34"/>
      <c r="M34">
        <v>1</v>
      </c>
      <c r="N34"/>
      <c r="O34"/>
      <c r="P34"/>
      <c r="Q34" s="7"/>
      <c r="R34" s="27" t="str">
        <f t="shared" si="0"/>
        <v/>
      </c>
      <c r="S34" s="27" t="str">
        <f>IF(SUM(COUNTIFS('12_09_12_15'!E:E,'12_09_12_15 Acc Rate'!C34,'12_09_12_15'!O:O,"*M*"),COUNTIFS('12_09_12_15'!E:E,'12_09_12_15 Acc Rate'!C34,'12_09_12_15'!R:R,"*M*"))=0,"",SUM(COUNTIFS('12_09_12_15'!E:E,'12_09_12_15 Acc Rate'!C34,'12_09_12_15'!O:O,"*M*"),COUNTIFS('12_09_12_15'!E:E,'12_09_12_15 Acc Rate'!C34,'12_09_12_15'!R:R,"*M*")))</f>
        <v/>
      </c>
      <c r="T34" s="1" t="str">
        <f>IF(SUM(COUNTIFS('12_09_12_15'!E:E,'12_09_12_15 Acc Rate'!C34,'12_09_12_15'!P:P,"*E*"),COUNTIFS('12_09_12_15'!E:E,'12_09_12_15 Acc Rate'!C34,'12_09_12_15'!S:S,"*E*"))=0,"",SUM(COUNTIFS('12_09_12_15'!E:E,'12_09_12_15 Acc Rate'!C34,'12_09_12_15'!P:P,"*E*"),COUNTIFS('12_09_12_15'!E:E,'12_09_12_15 Acc Rate'!C34,'12_09_12_15'!S:S,"*E*")))</f>
        <v/>
      </c>
      <c r="U34" s="8" t="str">
        <f t="shared" si="1"/>
        <v/>
      </c>
    </row>
    <row r="35" spans="2:21" ht="15" customHeight="1" x14ac:dyDescent="0.25">
      <c r="B35" s="1" t="s">
        <v>1641</v>
      </c>
      <c r="C35" s="1" t="s">
        <v>345</v>
      </c>
      <c r="D35" s="1" t="s">
        <v>1642</v>
      </c>
      <c r="E35"/>
      <c r="F35" t="s">
        <v>1643</v>
      </c>
      <c r="G35" t="s">
        <v>1644</v>
      </c>
      <c r="H35" t="s">
        <v>583</v>
      </c>
      <c r="I35" t="s">
        <v>1645</v>
      </c>
      <c r="J35" t="s">
        <v>648</v>
      </c>
      <c r="K35" t="s">
        <v>643</v>
      </c>
      <c r="L35"/>
      <c r="M35">
        <v>15</v>
      </c>
      <c r="N35"/>
      <c r="O35"/>
      <c r="P35"/>
      <c r="Q35" s="7"/>
      <c r="R35" s="27" t="str">
        <f t="shared" si="0"/>
        <v/>
      </c>
      <c r="S35" s="27" t="str">
        <f>IF(SUM(COUNTIFS('12_09_12_15'!E:E,'12_09_12_15 Acc Rate'!C35,'12_09_12_15'!O:O,"*M*"),COUNTIFS('12_09_12_15'!E:E,'12_09_12_15 Acc Rate'!C35,'12_09_12_15'!R:R,"*M*"))=0,"",SUM(COUNTIFS('12_09_12_15'!E:E,'12_09_12_15 Acc Rate'!C35,'12_09_12_15'!O:O,"*M*"),COUNTIFS('12_09_12_15'!E:E,'12_09_12_15 Acc Rate'!C35,'12_09_12_15'!R:R,"*M*")))</f>
        <v/>
      </c>
      <c r="T35" s="1" t="str">
        <f>IF(SUM(COUNTIFS('12_09_12_15'!E:E,'12_09_12_15 Acc Rate'!C35,'12_09_12_15'!P:P,"*E*"),COUNTIFS('12_09_12_15'!E:E,'12_09_12_15 Acc Rate'!C35,'12_09_12_15'!S:S,"*E*"))=0,"",SUM(COUNTIFS('12_09_12_15'!E:E,'12_09_12_15 Acc Rate'!C35,'12_09_12_15'!P:P,"*E*"),COUNTIFS('12_09_12_15'!E:E,'12_09_12_15 Acc Rate'!C35,'12_09_12_15'!S:S,"*E*")))</f>
        <v/>
      </c>
      <c r="U35" s="8" t="str">
        <f t="shared" si="1"/>
        <v/>
      </c>
    </row>
    <row r="36" spans="2:21" ht="15" customHeight="1" x14ac:dyDescent="0.25">
      <c r="B36" s="1" t="s">
        <v>658</v>
      </c>
      <c r="C36" s="1" t="s">
        <v>659</v>
      </c>
      <c r="D36" s="1" t="s">
        <v>660</v>
      </c>
      <c r="E36"/>
      <c r="F36" t="s">
        <v>661</v>
      </c>
      <c r="G36" t="s">
        <v>662</v>
      </c>
      <c r="H36" t="s">
        <v>583</v>
      </c>
      <c r="I36" t="s">
        <v>663</v>
      </c>
      <c r="J36" t="s">
        <v>607</v>
      </c>
      <c r="K36"/>
      <c r="L36"/>
      <c r="M36">
        <v>1</v>
      </c>
      <c r="N36"/>
      <c r="O36"/>
      <c r="P36"/>
      <c r="Q36" s="7"/>
      <c r="R36" s="27" t="str">
        <f t="shared" si="0"/>
        <v/>
      </c>
      <c r="S36" s="27" t="str">
        <f>IF(SUM(COUNTIFS('12_09_12_15'!E:E,'12_09_12_15 Acc Rate'!C36,'12_09_12_15'!O:O,"*M*"),COUNTIFS('12_09_12_15'!E:E,'12_09_12_15 Acc Rate'!C36,'12_09_12_15'!R:R,"*M*"))=0,"",SUM(COUNTIFS('12_09_12_15'!E:E,'12_09_12_15 Acc Rate'!C36,'12_09_12_15'!O:O,"*M*"),COUNTIFS('12_09_12_15'!E:E,'12_09_12_15 Acc Rate'!C36,'12_09_12_15'!R:R,"*M*")))</f>
        <v/>
      </c>
      <c r="T36" s="1" t="str">
        <f>IF(SUM(COUNTIFS('12_09_12_15'!E:E,'12_09_12_15 Acc Rate'!C36,'12_09_12_15'!P:P,"*E*"),COUNTIFS('12_09_12_15'!E:E,'12_09_12_15 Acc Rate'!C36,'12_09_12_15'!S:S,"*E*"))=0,"",SUM(COUNTIFS('12_09_12_15'!E:E,'12_09_12_15 Acc Rate'!C36,'12_09_12_15'!P:P,"*E*"),COUNTIFS('12_09_12_15'!E:E,'12_09_12_15 Acc Rate'!C36,'12_09_12_15'!S:S,"*E*")))</f>
        <v/>
      </c>
      <c r="U36" s="8" t="str">
        <f t="shared" si="1"/>
        <v/>
      </c>
    </row>
    <row r="37" spans="2:21" ht="15" customHeight="1" x14ac:dyDescent="0.25">
      <c r="B37" s="1" t="s">
        <v>664</v>
      </c>
      <c r="C37" s="1" t="s">
        <v>155</v>
      </c>
      <c r="D37" s="1" t="s">
        <v>156</v>
      </c>
      <c r="E37"/>
      <c r="F37" t="s">
        <v>550</v>
      </c>
      <c r="G37" t="s">
        <v>665</v>
      </c>
      <c r="H37" t="s">
        <v>583</v>
      </c>
      <c r="I37" t="s">
        <v>666</v>
      </c>
      <c r="J37" t="s">
        <v>667</v>
      </c>
      <c r="K37" t="s">
        <v>663</v>
      </c>
      <c r="L37"/>
      <c r="M37">
        <v>1</v>
      </c>
      <c r="N37"/>
      <c r="O37"/>
      <c r="P37"/>
      <c r="Q37" s="7"/>
      <c r="R37" s="27" t="str">
        <f t="shared" si="0"/>
        <v/>
      </c>
      <c r="S37" s="27" t="str">
        <f>IF(SUM(COUNTIFS('12_09_12_15'!E:E,'12_09_12_15 Acc Rate'!C37,'12_09_12_15'!O:O,"*M*"),COUNTIFS('12_09_12_15'!E:E,'12_09_12_15 Acc Rate'!C37,'12_09_12_15'!R:R,"*M*"))=0,"",SUM(COUNTIFS('12_09_12_15'!E:E,'12_09_12_15 Acc Rate'!C37,'12_09_12_15'!O:O,"*M*"),COUNTIFS('12_09_12_15'!E:E,'12_09_12_15 Acc Rate'!C37,'12_09_12_15'!R:R,"*M*")))</f>
        <v/>
      </c>
      <c r="T37" s="1" t="str">
        <f>IF(SUM(COUNTIFS('12_09_12_15'!E:E,'12_09_12_15 Acc Rate'!C37,'12_09_12_15'!P:P,"*E*"),COUNTIFS('12_09_12_15'!E:E,'12_09_12_15 Acc Rate'!C37,'12_09_12_15'!S:S,"*E*"))=0,"",SUM(COUNTIFS('12_09_12_15'!E:E,'12_09_12_15 Acc Rate'!C37,'12_09_12_15'!P:P,"*E*"),COUNTIFS('12_09_12_15'!E:E,'12_09_12_15 Acc Rate'!C37,'12_09_12_15'!S:S,"*E*")))</f>
        <v/>
      </c>
      <c r="U37" s="8" t="str">
        <f t="shared" si="1"/>
        <v/>
      </c>
    </row>
    <row r="38" spans="2:21" ht="15" customHeight="1" x14ac:dyDescent="0.25">
      <c r="B38" s="1" t="s">
        <v>668</v>
      </c>
      <c r="C38" s="1" t="s">
        <v>669</v>
      </c>
      <c r="D38" s="1" t="s">
        <v>670</v>
      </c>
      <c r="E38"/>
      <c r="F38" t="s">
        <v>671</v>
      </c>
      <c r="G38" t="s">
        <v>672</v>
      </c>
      <c r="H38" t="s">
        <v>583</v>
      </c>
      <c r="I38" t="s">
        <v>673</v>
      </c>
      <c r="J38" t="s">
        <v>667</v>
      </c>
      <c r="K38" t="s">
        <v>663</v>
      </c>
      <c r="L38"/>
      <c r="M38">
        <v>1</v>
      </c>
      <c r="N38"/>
      <c r="O38"/>
      <c r="P38"/>
      <c r="Q38" s="7"/>
      <c r="R38" s="27" t="str">
        <f t="shared" si="0"/>
        <v/>
      </c>
      <c r="S38" s="27" t="str">
        <f>IF(SUM(COUNTIFS('12_09_12_15'!E:E,'12_09_12_15 Acc Rate'!C38,'12_09_12_15'!O:O,"*M*"),COUNTIFS('12_09_12_15'!E:E,'12_09_12_15 Acc Rate'!C38,'12_09_12_15'!R:R,"*M*"))=0,"",SUM(COUNTIFS('12_09_12_15'!E:E,'12_09_12_15 Acc Rate'!C38,'12_09_12_15'!O:O,"*M*"),COUNTIFS('12_09_12_15'!E:E,'12_09_12_15 Acc Rate'!C38,'12_09_12_15'!R:R,"*M*")))</f>
        <v/>
      </c>
      <c r="T38" s="1" t="str">
        <f>IF(SUM(COUNTIFS('12_09_12_15'!E:E,'12_09_12_15 Acc Rate'!C38,'12_09_12_15'!P:P,"*E*"),COUNTIFS('12_09_12_15'!E:E,'12_09_12_15 Acc Rate'!C38,'12_09_12_15'!S:S,"*E*"))=0,"",SUM(COUNTIFS('12_09_12_15'!E:E,'12_09_12_15 Acc Rate'!C38,'12_09_12_15'!P:P,"*E*"),COUNTIFS('12_09_12_15'!E:E,'12_09_12_15 Acc Rate'!C38,'12_09_12_15'!S:S,"*E*")))</f>
        <v/>
      </c>
      <c r="U38" s="8" t="str">
        <f t="shared" si="1"/>
        <v/>
      </c>
    </row>
    <row r="39" spans="2:21" ht="15" customHeight="1" x14ac:dyDescent="0.25">
      <c r="B39" s="1" t="s">
        <v>701</v>
      </c>
      <c r="C39" s="1" t="s">
        <v>696</v>
      </c>
      <c r="D39" s="1" t="s">
        <v>702</v>
      </c>
      <c r="E39"/>
      <c r="F39" t="s">
        <v>703</v>
      </c>
      <c r="G39" t="s">
        <v>704</v>
      </c>
      <c r="H39" t="s">
        <v>583</v>
      </c>
      <c r="I39" t="s">
        <v>705</v>
      </c>
      <c r="J39" t="s">
        <v>667</v>
      </c>
      <c r="K39" t="s">
        <v>663</v>
      </c>
      <c r="L39"/>
      <c r="M39">
        <v>1</v>
      </c>
      <c r="N39"/>
      <c r="O39"/>
      <c r="P39"/>
      <c r="Q39" s="7"/>
      <c r="R39" s="27" t="str">
        <f t="shared" si="0"/>
        <v/>
      </c>
      <c r="S39" s="27" t="str">
        <f>IF(SUM(COUNTIFS('12_09_12_15'!E:E,'12_09_12_15 Acc Rate'!C39,'12_09_12_15'!O:O,"*M*"),COUNTIFS('12_09_12_15'!E:E,'12_09_12_15 Acc Rate'!C39,'12_09_12_15'!R:R,"*M*"))=0,"",SUM(COUNTIFS('12_09_12_15'!E:E,'12_09_12_15 Acc Rate'!C39,'12_09_12_15'!O:O,"*M*"),COUNTIFS('12_09_12_15'!E:E,'12_09_12_15 Acc Rate'!C39,'12_09_12_15'!R:R,"*M*")))</f>
        <v/>
      </c>
      <c r="T39" s="1" t="str">
        <f>IF(SUM(COUNTIFS('12_09_12_15'!E:E,'12_09_12_15 Acc Rate'!C39,'12_09_12_15'!P:P,"*E*"),COUNTIFS('12_09_12_15'!E:E,'12_09_12_15 Acc Rate'!C39,'12_09_12_15'!S:S,"*E*"))=0,"",SUM(COUNTIFS('12_09_12_15'!E:E,'12_09_12_15 Acc Rate'!C39,'12_09_12_15'!P:P,"*E*"),COUNTIFS('12_09_12_15'!E:E,'12_09_12_15 Acc Rate'!C39,'12_09_12_15'!S:S,"*E*")))</f>
        <v/>
      </c>
      <c r="U39" s="8" t="str">
        <f t="shared" si="1"/>
        <v/>
      </c>
    </row>
    <row r="40" spans="2:21" ht="15" customHeight="1" x14ac:dyDescent="0.25">
      <c r="B40" s="1" t="s">
        <v>674</v>
      </c>
      <c r="C40" s="1" t="s">
        <v>411</v>
      </c>
      <c r="D40" s="1" t="s">
        <v>412</v>
      </c>
      <c r="E40"/>
      <c r="F40" t="s">
        <v>675</v>
      </c>
      <c r="G40" t="s">
        <v>676</v>
      </c>
      <c r="H40" t="s">
        <v>583</v>
      </c>
      <c r="I40" t="s">
        <v>677</v>
      </c>
      <c r="J40" t="s">
        <v>667</v>
      </c>
      <c r="K40" t="s">
        <v>663</v>
      </c>
      <c r="L40"/>
      <c r="M40">
        <v>1</v>
      </c>
      <c r="N40"/>
      <c r="O40"/>
      <c r="P40"/>
      <c r="Q40" s="7"/>
      <c r="R40" s="27" t="str">
        <f t="shared" si="0"/>
        <v/>
      </c>
      <c r="S40" s="27" t="str">
        <f>IF(SUM(COUNTIFS('12_09_12_15'!E:E,'12_09_12_15 Acc Rate'!C40,'12_09_12_15'!O:O,"*M*"),COUNTIFS('12_09_12_15'!E:E,'12_09_12_15 Acc Rate'!C40,'12_09_12_15'!R:R,"*M*"))=0,"",SUM(COUNTIFS('12_09_12_15'!E:E,'12_09_12_15 Acc Rate'!C40,'12_09_12_15'!O:O,"*M*"),COUNTIFS('12_09_12_15'!E:E,'12_09_12_15 Acc Rate'!C40,'12_09_12_15'!R:R,"*M*")))</f>
        <v/>
      </c>
      <c r="T40" s="1" t="str">
        <f>IF(SUM(COUNTIFS('12_09_12_15'!E:E,'12_09_12_15 Acc Rate'!C40,'12_09_12_15'!P:P,"*E*"),COUNTIFS('12_09_12_15'!E:E,'12_09_12_15 Acc Rate'!C40,'12_09_12_15'!S:S,"*E*"))=0,"",SUM(COUNTIFS('12_09_12_15'!E:E,'12_09_12_15 Acc Rate'!C40,'12_09_12_15'!P:P,"*E*"),COUNTIFS('12_09_12_15'!E:E,'12_09_12_15 Acc Rate'!C40,'12_09_12_15'!S:S,"*E*")))</f>
        <v/>
      </c>
      <c r="U40" s="8" t="str">
        <f t="shared" si="1"/>
        <v/>
      </c>
    </row>
    <row r="41" spans="2:21" ht="15" customHeight="1" x14ac:dyDescent="0.25">
      <c r="B41" s="1" t="s">
        <v>678</v>
      </c>
      <c r="C41" s="1" t="s">
        <v>679</v>
      </c>
      <c r="D41" s="1" t="s">
        <v>680</v>
      </c>
      <c r="E41"/>
      <c r="F41" t="s">
        <v>681</v>
      </c>
      <c r="G41" t="s">
        <v>682</v>
      </c>
      <c r="H41" t="s">
        <v>583</v>
      </c>
      <c r="I41" t="s">
        <v>683</v>
      </c>
      <c r="J41" t="s">
        <v>607</v>
      </c>
      <c r="K41"/>
      <c r="L41"/>
      <c r="M41">
        <v>1</v>
      </c>
      <c r="N41"/>
      <c r="O41"/>
      <c r="P41"/>
      <c r="Q41" s="7"/>
      <c r="R41" s="27" t="str">
        <f t="shared" si="0"/>
        <v/>
      </c>
      <c r="S41" s="27" t="str">
        <f>IF(SUM(COUNTIFS('12_09_12_15'!E:E,'12_09_12_15 Acc Rate'!C41,'12_09_12_15'!O:O,"*M*"),COUNTIFS('12_09_12_15'!E:E,'12_09_12_15 Acc Rate'!C41,'12_09_12_15'!R:R,"*M*"))=0,"",SUM(COUNTIFS('12_09_12_15'!E:E,'12_09_12_15 Acc Rate'!C41,'12_09_12_15'!O:O,"*M*"),COUNTIFS('12_09_12_15'!E:E,'12_09_12_15 Acc Rate'!C41,'12_09_12_15'!R:R,"*M*")))</f>
        <v/>
      </c>
      <c r="T41" s="1" t="str">
        <f>IF(SUM(COUNTIFS('12_09_12_15'!E:E,'12_09_12_15 Acc Rate'!C41,'12_09_12_15'!P:P,"*E*"),COUNTIFS('12_09_12_15'!E:E,'12_09_12_15 Acc Rate'!C41,'12_09_12_15'!S:S,"*E*"))=0,"",SUM(COUNTIFS('12_09_12_15'!E:E,'12_09_12_15 Acc Rate'!C41,'12_09_12_15'!P:P,"*E*"),COUNTIFS('12_09_12_15'!E:E,'12_09_12_15 Acc Rate'!C41,'12_09_12_15'!S:S,"*E*")))</f>
        <v/>
      </c>
      <c r="U41" s="8" t="str">
        <f t="shared" si="1"/>
        <v/>
      </c>
    </row>
    <row r="42" spans="2:21" ht="15" customHeight="1" x14ac:dyDescent="0.25">
      <c r="B42" s="1" t="s">
        <v>684</v>
      </c>
      <c r="C42" s="1" t="s">
        <v>84</v>
      </c>
      <c r="D42" s="1" t="s">
        <v>273</v>
      </c>
      <c r="E42"/>
      <c r="F42" t="s">
        <v>685</v>
      </c>
      <c r="G42" t="s">
        <v>686</v>
      </c>
      <c r="H42" t="s">
        <v>583</v>
      </c>
      <c r="I42" t="s">
        <v>687</v>
      </c>
      <c r="J42" t="s">
        <v>688</v>
      </c>
      <c r="K42" t="s">
        <v>683</v>
      </c>
      <c r="L42"/>
      <c r="M42">
        <v>1</v>
      </c>
      <c r="N42"/>
      <c r="O42"/>
      <c r="P42"/>
      <c r="Q42" s="7"/>
      <c r="R42" s="27" t="str">
        <f t="shared" si="0"/>
        <v/>
      </c>
      <c r="S42" s="27" t="str">
        <f>IF(SUM(COUNTIFS('12_09_12_15'!E:E,'12_09_12_15 Acc Rate'!C42,'12_09_12_15'!O:O,"*M*"),COUNTIFS('12_09_12_15'!E:E,'12_09_12_15 Acc Rate'!C42,'12_09_12_15'!R:R,"*M*"))=0,"",SUM(COUNTIFS('12_09_12_15'!E:E,'12_09_12_15 Acc Rate'!C42,'12_09_12_15'!O:O,"*M*"),COUNTIFS('12_09_12_15'!E:E,'12_09_12_15 Acc Rate'!C42,'12_09_12_15'!R:R,"*M*")))</f>
        <v/>
      </c>
      <c r="T42" s="1" t="str">
        <f>IF(SUM(COUNTIFS('12_09_12_15'!E:E,'12_09_12_15 Acc Rate'!C42,'12_09_12_15'!P:P,"*E*"),COUNTIFS('12_09_12_15'!E:E,'12_09_12_15 Acc Rate'!C42,'12_09_12_15'!S:S,"*E*"))=0,"",SUM(COUNTIFS('12_09_12_15'!E:E,'12_09_12_15 Acc Rate'!C42,'12_09_12_15'!P:P,"*E*"),COUNTIFS('12_09_12_15'!E:E,'12_09_12_15 Acc Rate'!C42,'12_09_12_15'!S:S,"*E*")))</f>
        <v/>
      </c>
      <c r="U42" s="8" t="str">
        <f t="shared" si="1"/>
        <v/>
      </c>
    </row>
    <row r="43" spans="2:21" ht="15" customHeight="1" x14ac:dyDescent="0.25">
      <c r="B43" s="1" t="s">
        <v>689</v>
      </c>
      <c r="C43" s="1" t="s">
        <v>690</v>
      </c>
      <c r="D43" s="1" t="s">
        <v>691</v>
      </c>
      <c r="E43"/>
      <c r="F43" t="s">
        <v>692</v>
      </c>
      <c r="G43" t="s">
        <v>693</v>
      </c>
      <c r="H43" t="s">
        <v>583</v>
      </c>
      <c r="I43" t="s">
        <v>694</v>
      </c>
      <c r="J43" t="s">
        <v>688</v>
      </c>
      <c r="K43" t="s">
        <v>683</v>
      </c>
      <c r="L43"/>
      <c r="M43">
        <v>1</v>
      </c>
      <c r="N43"/>
      <c r="O43"/>
      <c r="P43"/>
      <c r="Q43" s="7"/>
      <c r="R43" s="27" t="str">
        <f t="shared" si="0"/>
        <v/>
      </c>
      <c r="S43" s="27" t="str">
        <f>IF(SUM(COUNTIFS('12_09_12_15'!E:E,'12_09_12_15 Acc Rate'!C43,'12_09_12_15'!O:O,"*M*"),COUNTIFS('12_09_12_15'!E:E,'12_09_12_15 Acc Rate'!C43,'12_09_12_15'!R:R,"*M*"))=0,"",SUM(COUNTIFS('12_09_12_15'!E:E,'12_09_12_15 Acc Rate'!C43,'12_09_12_15'!O:O,"*M*"),COUNTIFS('12_09_12_15'!E:E,'12_09_12_15 Acc Rate'!C43,'12_09_12_15'!R:R,"*M*")))</f>
        <v/>
      </c>
      <c r="T43" s="1" t="str">
        <f>IF(SUM(COUNTIFS('12_09_12_15'!E:E,'12_09_12_15 Acc Rate'!C43,'12_09_12_15'!P:P,"*E*"),COUNTIFS('12_09_12_15'!E:E,'12_09_12_15 Acc Rate'!C43,'12_09_12_15'!S:S,"*E*"))=0,"",SUM(COUNTIFS('12_09_12_15'!E:E,'12_09_12_15 Acc Rate'!C43,'12_09_12_15'!P:P,"*E*"),COUNTIFS('12_09_12_15'!E:E,'12_09_12_15 Acc Rate'!C43,'12_09_12_15'!S:S,"*E*")))</f>
        <v/>
      </c>
      <c r="U43" s="8" t="str">
        <f t="shared" si="1"/>
        <v/>
      </c>
    </row>
    <row r="44" spans="2:21" ht="15" customHeight="1" x14ac:dyDescent="0.25">
      <c r="B44" s="1" t="s">
        <v>695</v>
      </c>
      <c r="C44" s="1" t="s">
        <v>696</v>
      </c>
      <c r="D44" s="1" t="s">
        <v>697</v>
      </c>
      <c r="E44"/>
      <c r="F44" t="s">
        <v>698</v>
      </c>
      <c r="G44" t="s">
        <v>699</v>
      </c>
      <c r="H44" t="s">
        <v>583</v>
      </c>
      <c r="I44" t="s">
        <v>700</v>
      </c>
      <c r="J44" t="s">
        <v>607</v>
      </c>
      <c r="K44"/>
      <c r="L44"/>
      <c r="M44">
        <v>1</v>
      </c>
      <c r="N44"/>
      <c r="O44"/>
      <c r="P44"/>
      <c r="Q44" s="7"/>
      <c r="R44" s="27" t="str">
        <f t="shared" si="0"/>
        <v/>
      </c>
      <c r="S44" s="27" t="str">
        <f>IF(SUM(COUNTIFS('12_09_12_15'!E:E,'12_09_12_15 Acc Rate'!C44,'12_09_12_15'!O:O,"*M*"),COUNTIFS('12_09_12_15'!E:E,'12_09_12_15 Acc Rate'!C44,'12_09_12_15'!R:R,"*M*"))=0,"",SUM(COUNTIFS('12_09_12_15'!E:E,'12_09_12_15 Acc Rate'!C44,'12_09_12_15'!O:O,"*M*"),COUNTIFS('12_09_12_15'!E:E,'12_09_12_15 Acc Rate'!C44,'12_09_12_15'!R:R,"*M*")))</f>
        <v/>
      </c>
      <c r="T44" s="1" t="str">
        <f>IF(SUM(COUNTIFS('12_09_12_15'!E:E,'12_09_12_15 Acc Rate'!C44,'12_09_12_15'!P:P,"*E*"),COUNTIFS('12_09_12_15'!E:E,'12_09_12_15 Acc Rate'!C44,'12_09_12_15'!S:S,"*E*"))=0,"",SUM(COUNTIFS('12_09_12_15'!E:E,'12_09_12_15 Acc Rate'!C44,'12_09_12_15'!P:P,"*E*"),COUNTIFS('12_09_12_15'!E:E,'12_09_12_15 Acc Rate'!C44,'12_09_12_15'!S:S,"*E*")))</f>
        <v/>
      </c>
      <c r="U44" s="8" t="str">
        <f t="shared" si="1"/>
        <v/>
      </c>
    </row>
    <row r="45" spans="2:21" ht="15" customHeight="1" x14ac:dyDescent="0.25">
      <c r="B45" s="1" t="s">
        <v>707</v>
      </c>
      <c r="C45" s="1" t="s">
        <v>708</v>
      </c>
      <c r="D45" s="1" t="s">
        <v>709</v>
      </c>
      <c r="E45"/>
      <c r="F45" t="s">
        <v>710</v>
      </c>
      <c r="G45" t="s">
        <v>711</v>
      </c>
      <c r="H45" t="s">
        <v>583</v>
      </c>
      <c r="I45" t="s">
        <v>712</v>
      </c>
      <c r="J45" t="s">
        <v>706</v>
      </c>
      <c r="K45" t="s">
        <v>700</v>
      </c>
      <c r="L45"/>
      <c r="M45">
        <v>1</v>
      </c>
      <c r="N45"/>
      <c r="O45"/>
      <c r="P45"/>
      <c r="Q45" s="7"/>
      <c r="R45" s="27" t="str">
        <f t="shared" si="0"/>
        <v/>
      </c>
      <c r="S45" s="27" t="str">
        <f>IF(SUM(COUNTIFS('12_09_12_15'!E:E,'12_09_12_15 Acc Rate'!C45,'12_09_12_15'!O:O,"*M*"),COUNTIFS('12_09_12_15'!E:E,'12_09_12_15 Acc Rate'!C45,'12_09_12_15'!R:R,"*M*"))=0,"",SUM(COUNTIFS('12_09_12_15'!E:E,'12_09_12_15 Acc Rate'!C45,'12_09_12_15'!O:O,"*M*"),COUNTIFS('12_09_12_15'!E:E,'12_09_12_15 Acc Rate'!C45,'12_09_12_15'!R:R,"*M*")))</f>
        <v/>
      </c>
      <c r="T45" s="1" t="str">
        <f>IF(SUM(COUNTIFS('12_09_12_15'!E:E,'12_09_12_15 Acc Rate'!C45,'12_09_12_15'!P:P,"*E*"),COUNTIFS('12_09_12_15'!E:E,'12_09_12_15 Acc Rate'!C45,'12_09_12_15'!S:S,"*E*"))=0,"",SUM(COUNTIFS('12_09_12_15'!E:E,'12_09_12_15 Acc Rate'!C45,'12_09_12_15'!P:P,"*E*"),COUNTIFS('12_09_12_15'!E:E,'12_09_12_15 Acc Rate'!C45,'12_09_12_15'!S:S,"*E*")))</f>
        <v/>
      </c>
      <c r="U45" s="8" t="str">
        <f t="shared" si="1"/>
        <v/>
      </c>
    </row>
    <row r="46" spans="2:21" ht="15" customHeight="1" x14ac:dyDescent="0.25">
      <c r="B46" s="1" t="s">
        <v>713</v>
      </c>
      <c r="C46" s="1" t="s">
        <v>714</v>
      </c>
      <c r="D46" s="1" t="s">
        <v>715</v>
      </c>
      <c r="E46"/>
      <c r="F46" t="s">
        <v>716</v>
      </c>
      <c r="G46" t="s">
        <v>717</v>
      </c>
      <c r="H46" t="s">
        <v>583</v>
      </c>
      <c r="I46" t="s">
        <v>718</v>
      </c>
      <c r="J46" t="s">
        <v>706</v>
      </c>
      <c r="K46" t="s">
        <v>700</v>
      </c>
      <c r="L46"/>
      <c r="M46">
        <v>1</v>
      </c>
      <c r="N46"/>
      <c r="O46"/>
      <c r="P46"/>
      <c r="Q46" s="7"/>
      <c r="R46" s="27" t="str">
        <f t="shared" si="0"/>
        <v/>
      </c>
      <c r="S46" s="27" t="str">
        <f>IF(SUM(COUNTIFS('12_09_12_15'!E:E,'12_09_12_15 Acc Rate'!C46,'12_09_12_15'!O:O,"*M*"),COUNTIFS('12_09_12_15'!E:E,'12_09_12_15 Acc Rate'!C46,'12_09_12_15'!R:R,"*M*"))=0,"",SUM(COUNTIFS('12_09_12_15'!E:E,'12_09_12_15 Acc Rate'!C46,'12_09_12_15'!O:O,"*M*"),COUNTIFS('12_09_12_15'!E:E,'12_09_12_15 Acc Rate'!C46,'12_09_12_15'!R:R,"*M*")))</f>
        <v/>
      </c>
      <c r="T46" s="1" t="str">
        <f>IF(SUM(COUNTIFS('12_09_12_15'!E:E,'12_09_12_15 Acc Rate'!C46,'12_09_12_15'!P:P,"*E*"),COUNTIFS('12_09_12_15'!E:E,'12_09_12_15 Acc Rate'!C46,'12_09_12_15'!S:S,"*E*"))=0,"",SUM(COUNTIFS('12_09_12_15'!E:E,'12_09_12_15 Acc Rate'!C46,'12_09_12_15'!P:P,"*E*"),COUNTIFS('12_09_12_15'!E:E,'12_09_12_15 Acc Rate'!C46,'12_09_12_15'!S:S,"*E*")))</f>
        <v/>
      </c>
      <c r="U46" s="8" t="str">
        <f t="shared" si="1"/>
        <v/>
      </c>
    </row>
    <row r="47" spans="2:21" ht="15" customHeight="1" x14ac:dyDescent="0.25">
      <c r="B47" s="1" t="s">
        <v>2034</v>
      </c>
      <c r="C47" s="1" t="s">
        <v>848</v>
      </c>
      <c r="D47" s="1" t="s">
        <v>2035</v>
      </c>
      <c r="E47"/>
      <c r="F47" t="s">
        <v>2036</v>
      </c>
      <c r="G47" t="s">
        <v>2037</v>
      </c>
      <c r="H47" t="s">
        <v>583</v>
      </c>
      <c r="I47" t="s">
        <v>2038</v>
      </c>
      <c r="J47" t="s">
        <v>706</v>
      </c>
      <c r="K47" t="s">
        <v>700</v>
      </c>
      <c r="L47"/>
      <c r="M47">
        <v>1</v>
      </c>
      <c r="N47"/>
      <c r="O47"/>
      <c r="P47"/>
      <c r="Q47" s="7"/>
      <c r="R47" s="27" t="str">
        <f t="shared" si="0"/>
        <v/>
      </c>
      <c r="S47" s="27" t="str">
        <f>IF(SUM(COUNTIFS('12_09_12_15'!E:E,'12_09_12_15 Acc Rate'!C47,'12_09_12_15'!O:O,"*M*"),COUNTIFS('12_09_12_15'!E:E,'12_09_12_15 Acc Rate'!C47,'12_09_12_15'!R:R,"*M*"))=0,"",SUM(COUNTIFS('12_09_12_15'!E:E,'12_09_12_15 Acc Rate'!C47,'12_09_12_15'!O:O,"*M*"),COUNTIFS('12_09_12_15'!E:E,'12_09_12_15 Acc Rate'!C47,'12_09_12_15'!R:R,"*M*")))</f>
        <v/>
      </c>
      <c r="T47" s="1" t="str">
        <f>IF(SUM(COUNTIFS('12_09_12_15'!E:E,'12_09_12_15 Acc Rate'!C47,'12_09_12_15'!P:P,"*E*"),COUNTIFS('12_09_12_15'!E:E,'12_09_12_15 Acc Rate'!C47,'12_09_12_15'!S:S,"*E*"))=0,"",SUM(COUNTIFS('12_09_12_15'!E:E,'12_09_12_15 Acc Rate'!C47,'12_09_12_15'!P:P,"*E*"),COUNTIFS('12_09_12_15'!E:E,'12_09_12_15 Acc Rate'!C47,'12_09_12_15'!S:S,"*E*")))</f>
        <v/>
      </c>
      <c r="U47" s="8" t="str">
        <f t="shared" si="1"/>
        <v/>
      </c>
    </row>
    <row r="48" spans="2:21" ht="15" customHeight="1" x14ac:dyDescent="0.25">
      <c r="B48" s="1" t="s">
        <v>719</v>
      </c>
      <c r="C48" s="1" t="s">
        <v>556</v>
      </c>
      <c r="D48" s="1" t="s">
        <v>720</v>
      </c>
      <c r="E48"/>
      <c r="F48" t="s">
        <v>721</v>
      </c>
      <c r="G48" t="s">
        <v>722</v>
      </c>
      <c r="H48" t="s">
        <v>583</v>
      </c>
      <c r="I48" t="s">
        <v>723</v>
      </c>
      <c r="J48" t="s">
        <v>706</v>
      </c>
      <c r="K48" t="s">
        <v>700</v>
      </c>
      <c r="L48"/>
      <c r="M48">
        <v>1</v>
      </c>
      <c r="N48"/>
      <c r="O48"/>
      <c r="P48"/>
      <c r="Q48" s="7"/>
      <c r="R48" s="27" t="str">
        <f t="shared" si="0"/>
        <v/>
      </c>
      <c r="S48" s="27" t="str">
        <f>IF(SUM(COUNTIFS('12_09_12_15'!E:E,'12_09_12_15 Acc Rate'!C48,'12_09_12_15'!O:O,"*M*"),COUNTIFS('12_09_12_15'!E:E,'12_09_12_15 Acc Rate'!C48,'12_09_12_15'!R:R,"*M*"))=0,"",SUM(COUNTIFS('12_09_12_15'!E:E,'12_09_12_15 Acc Rate'!C48,'12_09_12_15'!O:O,"*M*"),COUNTIFS('12_09_12_15'!E:E,'12_09_12_15 Acc Rate'!C48,'12_09_12_15'!R:R,"*M*")))</f>
        <v/>
      </c>
      <c r="T48" s="1" t="str">
        <f>IF(SUM(COUNTIFS('12_09_12_15'!E:E,'12_09_12_15 Acc Rate'!C48,'12_09_12_15'!P:P,"*E*"),COUNTIFS('12_09_12_15'!E:E,'12_09_12_15 Acc Rate'!C48,'12_09_12_15'!S:S,"*E*"))=0,"",SUM(COUNTIFS('12_09_12_15'!E:E,'12_09_12_15 Acc Rate'!C48,'12_09_12_15'!P:P,"*E*"),COUNTIFS('12_09_12_15'!E:E,'12_09_12_15 Acc Rate'!C48,'12_09_12_15'!S:S,"*E*")))</f>
        <v/>
      </c>
      <c r="U48" s="8"/>
    </row>
    <row r="49" spans="5:21" ht="15" customHeight="1" x14ac:dyDescent="0.25">
      <c r="E49"/>
      <c r="F49"/>
      <c r="G49"/>
      <c r="H49"/>
      <c r="I49"/>
      <c r="J49"/>
      <c r="K49"/>
      <c r="L49"/>
      <c r="M49" t="s">
        <v>724</v>
      </c>
      <c r="N49"/>
      <c r="O49"/>
      <c r="P49"/>
      <c r="Q49" s="1">
        <f>SUM(Q3:Q47)</f>
        <v>0</v>
      </c>
      <c r="R49" s="27">
        <f>SUM(R3:R47)</f>
        <v>-9</v>
      </c>
      <c r="S49" s="27">
        <f>SUM(S3:S47)</f>
        <v>7</v>
      </c>
      <c r="T49" s="1">
        <f>SUM(T3:T47)</f>
        <v>2</v>
      </c>
      <c r="U49" s="2">
        <f>IFERROR(SUM(S48*8+T48*2)/Q48,0)</f>
        <v>0</v>
      </c>
    </row>
    <row r="50" spans="5:21" ht="15" customHeight="1" x14ac:dyDescent="0.25">
      <c r="E50"/>
      <c r="F50"/>
      <c r="G50"/>
      <c r="H50"/>
      <c r="I50"/>
      <c r="J50"/>
      <c r="K50"/>
      <c r="L50"/>
      <c r="M50"/>
      <c r="N50"/>
      <c r="O50"/>
      <c r="P50"/>
    </row>
  </sheetData>
  <mergeCells count="3">
    <mergeCell ref="W3:X3"/>
    <mergeCell ref="W7:X7"/>
    <mergeCell ref="W8:X8"/>
  </mergeCells>
  <conditionalFormatting sqref="B1:P1048576">
    <cfRule type="expression" dxfId="68" priority="6">
      <formula>$H1="Service Center"</formula>
    </cfRule>
    <cfRule type="expression" dxfId="67" priority="7">
      <formula>$H1="COBRA"</formula>
    </cfRule>
    <cfRule type="expression" dxfId="66" priority="8">
      <formula>$H1="Claims"</formula>
    </cfRule>
  </conditionalFormatting>
  <conditionalFormatting sqref="B1:U1048576">
    <cfRule type="expression" dxfId="65" priority="4">
      <formula>NOT(ISBLANK($B1))</formula>
    </cfRule>
    <cfRule type="expression" dxfId="64" priority="5">
      <formula>AND($H1="Service Center",$M1=15)</formula>
    </cfRule>
    <cfRule type="expression" dxfId="63" priority="9">
      <formula>$B1="Full Name"</formula>
    </cfRule>
    <cfRule type="expression" dxfId="62" priority="10">
      <formula>$M1="Totals"</formula>
    </cfRule>
  </conditionalFormatting>
  <conditionalFormatting sqref="Q2">
    <cfRule type="expression" dxfId="61" priority="1">
      <formula>$H2="Service Center"</formula>
    </cfRule>
    <cfRule type="expression" dxfId="60" priority="2">
      <formula>$H2="COBRA"</formula>
    </cfRule>
    <cfRule type="expression" dxfId="59" priority="3">
      <formula>$H2="Claims"</formula>
    </cfRule>
  </conditionalFormatting>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42DD4C-B164-49A0-8797-723D2FB636D2}">
  <dimension ref="A1:U186"/>
  <sheetViews>
    <sheetView topLeftCell="A176" workbookViewId="0">
      <selection activeCell="M56" sqref="M56"/>
    </sheetView>
  </sheetViews>
  <sheetFormatPr defaultRowHeight="15" x14ac:dyDescent="0.25"/>
  <cols>
    <col min="1" max="1" width="8.7109375" customWidth="1"/>
    <col min="2" max="2" width="10.7109375" customWidth="1"/>
    <col min="3" max="3" width="8.7109375" customWidth="1"/>
    <col min="4" max="4" width="12.7109375" customWidth="1"/>
    <col min="5" max="6" width="15.7109375" customWidth="1"/>
    <col min="7" max="7" width="40.7109375" customWidth="1"/>
    <col min="8" max="9" width="15.7109375" customWidth="1"/>
    <col min="10" max="12" width="10.7109375" customWidth="1"/>
    <col min="13" max="13" width="13.7109375" style="21" customWidth="1"/>
    <col min="14" max="14" width="12.7109375" customWidth="1"/>
    <col min="15" max="16" width="10.7109375" customWidth="1"/>
    <col min="17" max="17" width="30.7109375" customWidth="1"/>
    <col min="18" max="19" width="17.7109375" customWidth="1"/>
    <col min="20" max="20" width="30.7109375" customWidth="1"/>
    <col min="21" max="21" width="8.7109375" customWidth="1"/>
  </cols>
  <sheetData>
    <row r="1" spans="1:21" ht="38.25" x14ac:dyDescent="0.25">
      <c r="A1" s="42" t="s">
        <v>0</v>
      </c>
      <c r="B1" s="42" t="s">
        <v>1</v>
      </c>
      <c r="C1" s="42" t="s">
        <v>2</v>
      </c>
      <c r="D1" s="42" t="s">
        <v>3</v>
      </c>
      <c r="E1" s="42" t="s">
        <v>4</v>
      </c>
      <c r="F1" s="42" t="s">
        <v>5</v>
      </c>
      <c r="G1" s="42" t="s">
        <v>6</v>
      </c>
      <c r="H1" s="42" t="s">
        <v>7</v>
      </c>
      <c r="I1" s="42" t="s">
        <v>8</v>
      </c>
      <c r="J1" s="42" t="s">
        <v>9</v>
      </c>
      <c r="K1" s="42" t="s">
        <v>10</v>
      </c>
      <c r="L1" s="42" t="s">
        <v>11</v>
      </c>
      <c r="M1" s="43" t="s">
        <v>12</v>
      </c>
      <c r="N1" s="42" t="s">
        <v>13</v>
      </c>
      <c r="O1" s="42" t="s">
        <v>14</v>
      </c>
      <c r="P1" s="42" t="s">
        <v>15</v>
      </c>
      <c r="Q1" s="42" t="s">
        <v>16</v>
      </c>
      <c r="R1" s="42" t="s">
        <v>17</v>
      </c>
      <c r="S1" s="42" t="s">
        <v>18</v>
      </c>
      <c r="T1" s="42" t="s">
        <v>16</v>
      </c>
      <c r="U1" s="44" t="s">
        <v>19</v>
      </c>
    </row>
    <row r="2" spans="1:21" x14ac:dyDescent="0.25">
      <c r="A2" s="45" t="s">
        <v>20</v>
      </c>
      <c r="B2" s="46">
        <v>45764</v>
      </c>
      <c r="C2" s="45" t="s">
        <v>168</v>
      </c>
      <c r="D2" s="47"/>
      <c r="E2" s="45" t="s">
        <v>563</v>
      </c>
      <c r="F2" s="45" t="s">
        <v>564</v>
      </c>
      <c r="G2" s="45" t="s">
        <v>164</v>
      </c>
      <c r="H2" s="45" t="s">
        <v>2765</v>
      </c>
      <c r="I2" s="45" t="s">
        <v>2766</v>
      </c>
      <c r="J2" s="45">
        <v>2229</v>
      </c>
      <c r="K2" s="45" t="s">
        <v>2767</v>
      </c>
      <c r="L2" s="48">
        <v>10</v>
      </c>
      <c r="M2" s="49">
        <v>202412171091</v>
      </c>
      <c r="N2" s="50" t="s">
        <v>28</v>
      </c>
      <c r="O2" s="50"/>
      <c r="P2" s="50"/>
      <c r="Q2" s="51"/>
      <c r="R2" s="50"/>
      <c r="S2" s="50"/>
      <c r="T2" s="51"/>
      <c r="U2" s="50"/>
    </row>
    <row r="3" spans="1:21" x14ac:dyDescent="0.25">
      <c r="A3" s="45" t="s">
        <v>20</v>
      </c>
      <c r="B3" s="46">
        <v>45764</v>
      </c>
      <c r="C3" s="45" t="s">
        <v>168</v>
      </c>
      <c r="D3" s="47"/>
      <c r="E3" s="45" t="s">
        <v>563</v>
      </c>
      <c r="F3" s="45" t="s">
        <v>564</v>
      </c>
      <c r="G3" s="45" t="s">
        <v>164</v>
      </c>
      <c r="H3" s="45" t="s">
        <v>731</v>
      </c>
      <c r="I3" s="45" t="s">
        <v>2768</v>
      </c>
      <c r="J3" s="45">
        <v>77615</v>
      </c>
      <c r="K3" s="45" t="s">
        <v>1593</v>
      </c>
      <c r="L3" s="48">
        <v>20</v>
      </c>
      <c r="M3" s="49">
        <v>202412171082</v>
      </c>
      <c r="N3" s="50" t="s">
        <v>28</v>
      </c>
      <c r="O3" s="50"/>
      <c r="P3" s="50"/>
      <c r="Q3" s="51"/>
      <c r="R3" s="50"/>
      <c r="S3" s="50"/>
      <c r="T3" s="51"/>
      <c r="U3" s="50"/>
    </row>
    <row r="4" spans="1:21" ht="30" x14ac:dyDescent="0.25">
      <c r="A4" s="45" t="s">
        <v>20</v>
      </c>
      <c r="B4" s="46">
        <v>45764</v>
      </c>
      <c r="C4" s="45" t="s">
        <v>168</v>
      </c>
      <c r="D4" s="47"/>
      <c r="E4" s="45" t="s">
        <v>563</v>
      </c>
      <c r="F4" s="45" t="s">
        <v>564</v>
      </c>
      <c r="G4" s="45" t="s">
        <v>164</v>
      </c>
      <c r="H4" s="45" t="s">
        <v>731</v>
      </c>
      <c r="I4" s="45" t="s">
        <v>2768</v>
      </c>
      <c r="J4" s="45">
        <v>77615</v>
      </c>
      <c r="K4" s="45" t="s">
        <v>1463</v>
      </c>
      <c r="L4" s="48">
        <v>23.9</v>
      </c>
      <c r="M4" s="49">
        <v>202412171083</v>
      </c>
      <c r="N4" s="50"/>
      <c r="O4" s="50" t="s">
        <v>124</v>
      </c>
      <c r="P4" s="50"/>
      <c r="Q4" s="51" t="s">
        <v>2769</v>
      </c>
      <c r="R4" s="50"/>
      <c r="S4" s="50"/>
      <c r="T4" s="51"/>
      <c r="U4" s="50"/>
    </row>
    <row r="5" spans="1:21" ht="30" x14ac:dyDescent="0.25">
      <c r="A5" s="45" t="s">
        <v>20</v>
      </c>
      <c r="B5" s="46">
        <v>45764</v>
      </c>
      <c r="C5" s="45" t="s">
        <v>168</v>
      </c>
      <c r="D5" s="47"/>
      <c r="E5" s="45" t="s">
        <v>563</v>
      </c>
      <c r="F5" s="45" t="s">
        <v>564</v>
      </c>
      <c r="G5" s="45" t="s">
        <v>164</v>
      </c>
      <c r="H5" s="45" t="s">
        <v>731</v>
      </c>
      <c r="I5" s="45" t="s">
        <v>2768</v>
      </c>
      <c r="J5" s="45">
        <v>77615</v>
      </c>
      <c r="K5" s="45" t="s">
        <v>999</v>
      </c>
      <c r="L5" s="48">
        <v>6.35</v>
      </c>
      <c r="M5" s="49">
        <v>202412171084</v>
      </c>
      <c r="N5" s="50"/>
      <c r="O5" s="50"/>
      <c r="P5" s="50" t="s">
        <v>304</v>
      </c>
      <c r="Q5" s="51" t="s">
        <v>2770</v>
      </c>
      <c r="R5" s="50"/>
      <c r="S5" s="50"/>
      <c r="T5" s="51"/>
      <c r="U5" s="50"/>
    </row>
    <row r="6" spans="1:21" x14ac:dyDescent="0.25">
      <c r="A6" s="45" t="s">
        <v>20</v>
      </c>
      <c r="B6" s="46">
        <v>45764</v>
      </c>
      <c r="C6" s="45" t="s">
        <v>168</v>
      </c>
      <c r="D6" s="47"/>
      <c r="E6" s="45" t="s">
        <v>563</v>
      </c>
      <c r="F6" s="45" t="s">
        <v>564</v>
      </c>
      <c r="G6" s="45" t="s">
        <v>164</v>
      </c>
      <c r="H6" s="45" t="s">
        <v>731</v>
      </c>
      <c r="I6" s="45" t="s">
        <v>2768</v>
      </c>
      <c r="J6" s="45">
        <v>77615</v>
      </c>
      <c r="K6" s="45" t="s">
        <v>1033</v>
      </c>
      <c r="L6" s="48">
        <v>20</v>
      </c>
      <c r="M6" s="49">
        <v>202412171085</v>
      </c>
      <c r="N6" s="50" t="s">
        <v>28</v>
      </c>
      <c r="O6" s="50"/>
      <c r="P6" s="50"/>
      <c r="Q6" s="51"/>
      <c r="R6" s="50"/>
      <c r="S6" s="50"/>
      <c r="T6" s="51"/>
      <c r="U6" s="50"/>
    </row>
    <row r="7" spans="1:21" x14ac:dyDescent="0.25">
      <c r="A7" s="45" t="s">
        <v>20</v>
      </c>
      <c r="B7" s="46">
        <v>45764</v>
      </c>
      <c r="C7" s="45" t="s">
        <v>168</v>
      </c>
      <c r="D7" s="47"/>
      <c r="E7" s="45" t="s">
        <v>563</v>
      </c>
      <c r="F7" s="45" t="s">
        <v>564</v>
      </c>
      <c r="G7" s="45" t="s">
        <v>164</v>
      </c>
      <c r="H7" s="45" t="s">
        <v>731</v>
      </c>
      <c r="I7" s="45" t="s">
        <v>2768</v>
      </c>
      <c r="J7" s="45">
        <v>77615</v>
      </c>
      <c r="K7" s="45" t="s">
        <v>1005</v>
      </c>
      <c r="L7" s="48">
        <v>27.73</v>
      </c>
      <c r="M7" s="49">
        <v>202412171086</v>
      </c>
      <c r="N7" s="50" t="s">
        <v>28</v>
      </c>
      <c r="O7" s="50"/>
      <c r="P7" s="50"/>
      <c r="Q7" s="51"/>
      <c r="R7" s="50"/>
      <c r="S7" s="50"/>
      <c r="T7" s="51"/>
      <c r="U7" s="50"/>
    </row>
    <row r="8" spans="1:21" x14ac:dyDescent="0.25">
      <c r="A8" s="45" t="s">
        <v>20</v>
      </c>
      <c r="B8" s="46">
        <v>45764</v>
      </c>
      <c r="C8" s="45" t="s">
        <v>168</v>
      </c>
      <c r="D8" s="47"/>
      <c r="E8" s="45" t="s">
        <v>22</v>
      </c>
      <c r="F8" s="45" t="s">
        <v>23</v>
      </c>
      <c r="G8" s="45" t="s">
        <v>2771</v>
      </c>
      <c r="H8" s="45" t="s">
        <v>2772</v>
      </c>
      <c r="I8" s="45" t="s">
        <v>2773</v>
      </c>
      <c r="J8" s="45">
        <v>449271796</v>
      </c>
      <c r="K8" s="45" t="s">
        <v>1337</v>
      </c>
      <c r="L8" s="48">
        <v>5.12</v>
      </c>
      <c r="M8" s="49">
        <v>20241216814</v>
      </c>
      <c r="N8" s="50" t="s">
        <v>28</v>
      </c>
      <c r="O8" s="50"/>
      <c r="P8" s="50"/>
      <c r="Q8" s="51"/>
      <c r="R8" s="50"/>
      <c r="S8" s="50"/>
      <c r="T8" s="51"/>
      <c r="U8" s="50"/>
    </row>
    <row r="9" spans="1:21" x14ac:dyDescent="0.25">
      <c r="A9" s="45" t="s">
        <v>20</v>
      </c>
      <c r="B9" s="46">
        <v>45765</v>
      </c>
      <c r="C9" s="45" t="s">
        <v>21</v>
      </c>
      <c r="D9" s="47" t="s">
        <v>168</v>
      </c>
      <c r="E9" s="45" t="s">
        <v>22</v>
      </c>
      <c r="F9" s="45" t="s">
        <v>23</v>
      </c>
      <c r="G9" s="45" t="s">
        <v>2771</v>
      </c>
      <c r="H9" s="45" t="s">
        <v>2772</v>
      </c>
      <c r="I9" s="45" t="s">
        <v>2773</v>
      </c>
      <c r="J9" s="45">
        <v>449271796</v>
      </c>
      <c r="K9" s="45" t="s">
        <v>2447</v>
      </c>
      <c r="L9" s="48">
        <v>47.06</v>
      </c>
      <c r="M9" s="49">
        <v>20241216820</v>
      </c>
      <c r="N9" s="50" t="s">
        <v>28</v>
      </c>
      <c r="O9" s="50"/>
      <c r="P9" s="50"/>
      <c r="Q9" s="51"/>
      <c r="R9" s="50"/>
      <c r="S9" s="50"/>
      <c r="T9" s="51"/>
      <c r="U9" s="50"/>
    </row>
    <row r="10" spans="1:21" x14ac:dyDescent="0.25">
      <c r="A10" s="45" t="s">
        <v>20</v>
      </c>
      <c r="B10" s="46">
        <v>45765</v>
      </c>
      <c r="C10" s="45" t="s">
        <v>244</v>
      </c>
      <c r="D10" s="47" t="s">
        <v>168</v>
      </c>
      <c r="E10" s="45" t="s">
        <v>22</v>
      </c>
      <c r="F10" s="45" t="s">
        <v>23</v>
      </c>
      <c r="G10" s="45" t="s">
        <v>2771</v>
      </c>
      <c r="H10" s="45" t="s">
        <v>2772</v>
      </c>
      <c r="I10" s="45" t="s">
        <v>2773</v>
      </c>
      <c r="J10" s="45">
        <v>449271796</v>
      </c>
      <c r="K10" s="45" t="s">
        <v>2418</v>
      </c>
      <c r="L10" s="48">
        <v>12</v>
      </c>
      <c r="M10" s="49">
        <v>20241216799</v>
      </c>
      <c r="N10" s="50" t="s">
        <v>28</v>
      </c>
      <c r="O10" s="50"/>
      <c r="P10" s="50"/>
      <c r="Q10" s="51"/>
      <c r="R10" s="50"/>
      <c r="S10" s="50"/>
      <c r="T10" s="51"/>
      <c r="U10" s="50"/>
    </row>
    <row r="11" spans="1:21" x14ac:dyDescent="0.25">
      <c r="A11" s="45" t="s">
        <v>20</v>
      </c>
      <c r="B11" s="46">
        <v>45765</v>
      </c>
      <c r="C11" s="45" t="s">
        <v>244</v>
      </c>
      <c r="D11" s="47" t="s">
        <v>168</v>
      </c>
      <c r="E11" s="45" t="s">
        <v>22</v>
      </c>
      <c r="F11" s="45" t="s">
        <v>23</v>
      </c>
      <c r="G11" s="45" t="s">
        <v>2771</v>
      </c>
      <c r="H11" s="45" t="s">
        <v>2772</v>
      </c>
      <c r="I11" s="45" t="s">
        <v>2773</v>
      </c>
      <c r="J11" s="45">
        <v>449271796</v>
      </c>
      <c r="K11" s="45" t="s">
        <v>932</v>
      </c>
      <c r="L11" s="48">
        <v>16.46</v>
      </c>
      <c r="M11" s="49">
        <v>20241216809</v>
      </c>
      <c r="N11" s="50" t="s">
        <v>28</v>
      </c>
      <c r="O11" s="50"/>
      <c r="P11" s="50"/>
      <c r="Q11" s="51"/>
      <c r="R11" s="50"/>
      <c r="S11" s="50"/>
      <c r="T11" s="51"/>
      <c r="U11" s="50"/>
    </row>
    <row r="12" spans="1:21" x14ac:dyDescent="0.25">
      <c r="A12" s="45" t="s">
        <v>20</v>
      </c>
      <c r="B12" s="46">
        <v>45765</v>
      </c>
      <c r="C12" s="45" t="s">
        <v>244</v>
      </c>
      <c r="D12" s="47" t="s">
        <v>168</v>
      </c>
      <c r="E12" s="45" t="s">
        <v>22</v>
      </c>
      <c r="F12" s="45" t="s">
        <v>23</v>
      </c>
      <c r="G12" s="45" t="s">
        <v>2774</v>
      </c>
      <c r="H12" s="45" t="s">
        <v>1252</v>
      </c>
      <c r="I12" s="45" t="s">
        <v>2775</v>
      </c>
      <c r="J12" s="45">
        <v>459574652</v>
      </c>
      <c r="K12" s="45" t="s">
        <v>1338</v>
      </c>
      <c r="L12" s="48">
        <v>96.67</v>
      </c>
      <c r="M12" s="49">
        <v>20241206352</v>
      </c>
      <c r="N12" s="50" t="s">
        <v>28</v>
      </c>
      <c r="O12" s="50"/>
      <c r="P12" s="50"/>
      <c r="Q12" s="51"/>
      <c r="R12" s="50"/>
      <c r="S12" s="50"/>
      <c r="T12" s="51"/>
      <c r="U12" s="50"/>
    </row>
    <row r="13" spans="1:21" x14ac:dyDescent="0.25">
      <c r="A13" s="45" t="s">
        <v>20</v>
      </c>
      <c r="B13" s="46">
        <v>45765</v>
      </c>
      <c r="C13" s="45" t="s">
        <v>244</v>
      </c>
      <c r="D13" s="47" t="s">
        <v>168</v>
      </c>
      <c r="E13" s="45" t="s">
        <v>22</v>
      </c>
      <c r="F13" s="45" t="s">
        <v>23</v>
      </c>
      <c r="G13" s="45" t="s">
        <v>2776</v>
      </c>
      <c r="H13" s="45" t="s">
        <v>2777</v>
      </c>
      <c r="I13" s="45" t="s">
        <v>2778</v>
      </c>
      <c r="J13" s="45">
        <v>460494070</v>
      </c>
      <c r="K13" s="45" t="s">
        <v>2125</v>
      </c>
      <c r="L13" s="48">
        <v>40</v>
      </c>
      <c r="M13" s="49">
        <v>20241122449</v>
      </c>
      <c r="N13" s="50" t="s">
        <v>28</v>
      </c>
      <c r="O13" s="50"/>
      <c r="P13" s="50"/>
      <c r="Q13" s="51"/>
      <c r="R13" s="50"/>
      <c r="S13" s="50"/>
      <c r="T13" s="51"/>
      <c r="U13" s="50"/>
    </row>
    <row r="14" spans="1:21" ht="45" x14ac:dyDescent="0.25">
      <c r="A14" s="45" t="s">
        <v>20</v>
      </c>
      <c r="B14" s="46">
        <v>45765</v>
      </c>
      <c r="C14" s="45" t="s">
        <v>244</v>
      </c>
      <c r="D14" s="47" t="s">
        <v>168</v>
      </c>
      <c r="E14" s="45" t="s">
        <v>22</v>
      </c>
      <c r="F14" s="45" t="s">
        <v>23</v>
      </c>
      <c r="G14" s="45" t="s">
        <v>763</v>
      </c>
      <c r="H14" s="45" t="s">
        <v>2779</v>
      </c>
      <c r="I14" s="45" t="s">
        <v>2780</v>
      </c>
      <c r="J14" s="45">
        <v>460732111</v>
      </c>
      <c r="K14" s="45" t="s">
        <v>379</v>
      </c>
      <c r="L14" s="48">
        <v>70</v>
      </c>
      <c r="M14" s="49">
        <v>202410312127</v>
      </c>
      <c r="N14" s="50" t="s">
        <v>28</v>
      </c>
      <c r="O14" s="50"/>
      <c r="P14" s="50"/>
      <c r="Q14" s="51" t="s">
        <v>2781</v>
      </c>
      <c r="R14" s="50"/>
      <c r="S14" s="50"/>
      <c r="T14" s="51"/>
      <c r="U14" s="50"/>
    </row>
    <row r="15" spans="1:21" ht="45" x14ac:dyDescent="0.25">
      <c r="A15" s="45" t="s">
        <v>20</v>
      </c>
      <c r="B15" s="46">
        <v>45765</v>
      </c>
      <c r="C15" s="45" t="s">
        <v>244</v>
      </c>
      <c r="D15" s="47" t="s">
        <v>168</v>
      </c>
      <c r="E15" s="45" t="s">
        <v>22</v>
      </c>
      <c r="F15" s="45" t="s">
        <v>23</v>
      </c>
      <c r="G15" s="45" t="s">
        <v>763</v>
      </c>
      <c r="H15" s="45" t="s">
        <v>2779</v>
      </c>
      <c r="I15" s="45" t="s">
        <v>2780</v>
      </c>
      <c r="J15" s="45">
        <v>460732111</v>
      </c>
      <c r="K15" s="45" t="s">
        <v>379</v>
      </c>
      <c r="L15" s="48">
        <v>70</v>
      </c>
      <c r="M15" s="49">
        <v>202412161462</v>
      </c>
      <c r="N15" s="50" t="s">
        <v>28</v>
      </c>
      <c r="O15" s="50"/>
      <c r="P15" s="50"/>
      <c r="Q15" s="51" t="s">
        <v>2782</v>
      </c>
      <c r="R15" s="50"/>
      <c r="S15" s="50"/>
      <c r="T15" s="51"/>
      <c r="U15" s="50"/>
    </row>
    <row r="16" spans="1:21" ht="25.5" x14ac:dyDescent="0.25">
      <c r="A16" s="45" t="s">
        <v>20</v>
      </c>
      <c r="B16" s="46">
        <v>45765</v>
      </c>
      <c r="C16" s="45" t="s">
        <v>244</v>
      </c>
      <c r="D16" s="47" t="s">
        <v>168</v>
      </c>
      <c r="E16" s="45" t="s">
        <v>22</v>
      </c>
      <c r="F16" s="45" t="s">
        <v>23</v>
      </c>
      <c r="G16" s="45" t="s">
        <v>2783</v>
      </c>
      <c r="H16" s="45" t="s">
        <v>2784</v>
      </c>
      <c r="I16" s="45" t="s">
        <v>2785</v>
      </c>
      <c r="J16" s="45">
        <v>462021015</v>
      </c>
      <c r="K16" s="45" t="s">
        <v>888</v>
      </c>
      <c r="L16" s="48">
        <v>1800</v>
      </c>
      <c r="M16" s="49">
        <v>20241216316</v>
      </c>
      <c r="N16" s="50" t="s">
        <v>28</v>
      </c>
      <c r="O16" s="50"/>
      <c r="P16" s="50"/>
      <c r="Q16" s="51"/>
      <c r="R16" s="50"/>
      <c r="S16" s="50"/>
      <c r="T16" s="51"/>
      <c r="U16" s="50"/>
    </row>
    <row r="17" spans="1:21" ht="25.5" x14ac:dyDescent="0.25">
      <c r="A17" s="45" t="s">
        <v>20</v>
      </c>
      <c r="B17" s="46">
        <v>45765</v>
      </c>
      <c r="C17" s="45" t="s">
        <v>244</v>
      </c>
      <c r="D17" s="47" t="s">
        <v>168</v>
      </c>
      <c r="E17" s="45" t="s">
        <v>22</v>
      </c>
      <c r="F17" s="45" t="s">
        <v>23</v>
      </c>
      <c r="G17" s="45" t="s">
        <v>995</v>
      </c>
      <c r="H17" s="45" t="s">
        <v>2786</v>
      </c>
      <c r="I17" s="45" t="s">
        <v>2787</v>
      </c>
      <c r="J17" s="45">
        <v>469963279</v>
      </c>
      <c r="K17" s="45" t="s">
        <v>222</v>
      </c>
      <c r="L17" s="48">
        <v>704</v>
      </c>
      <c r="M17" s="49">
        <v>20241216668</v>
      </c>
      <c r="N17" s="50" t="s">
        <v>28</v>
      </c>
      <c r="O17" s="50"/>
      <c r="P17" s="50"/>
      <c r="Q17" s="51"/>
      <c r="R17" s="50"/>
      <c r="S17" s="50"/>
      <c r="T17" s="51"/>
      <c r="U17" s="50"/>
    </row>
    <row r="18" spans="1:21" x14ac:dyDescent="0.25">
      <c r="A18" s="45" t="s">
        <v>29</v>
      </c>
      <c r="B18" s="46">
        <v>45765</v>
      </c>
      <c r="C18" s="45" t="s">
        <v>244</v>
      </c>
      <c r="D18" s="47" t="s">
        <v>168</v>
      </c>
      <c r="E18" s="45" t="s">
        <v>22</v>
      </c>
      <c r="F18" s="45" t="s">
        <v>23</v>
      </c>
      <c r="G18" s="45" t="s">
        <v>178</v>
      </c>
      <c r="H18" s="45" t="s">
        <v>2788</v>
      </c>
      <c r="I18" s="45" t="s">
        <v>2789</v>
      </c>
      <c r="J18" s="45">
        <v>477741720</v>
      </c>
      <c r="K18" s="45" t="s">
        <v>184</v>
      </c>
      <c r="L18" s="48">
        <v>1346.17</v>
      </c>
      <c r="M18" s="49">
        <v>202412161106</v>
      </c>
      <c r="N18" s="50" t="s">
        <v>28</v>
      </c>
      <c r="O18" s="50"/>
      <c r="P18" s="50"/>
      <c r="Q18" s="51"/>
      <c r="R18" s="50"/>
      <c r="S18" s="50"/>
      <c r="T18" s="51"/>
      <c r="U18" s="50"/>
    </row>
    <row r="19" spans="1:21" x14ac:dyDescent="0.25">
      <c r="A19" s="45" t="s">
        <v>20</v>
      </c>
      <c r="B19" s="46">
        <v>45765</v>
      </c>
      <c r="C19" s="45" t="s">
        <v>244</v>
      </c>
      <c r="D19" s="47" t="s">
        <v>168</v>
      </c>
      <c r="E19" s="45" t="s">
        <v>22</v>
      </c>
      <c r="F19" s="45" t="s">
        <v>23</v>
      </c>
      <c r="G19" s="45" t="s">
        <v>2790</v>
      </c>
      <c r="H19" s="45" t="s">
        <v>2791</v>
      </c>
      <c r="I19" s="45" t="s">
        <v>177</v>
      </c>
      <c r="J19" s="45">
        <v>484826929</v>
      </c>
      <c r="K19" s="45" t="s">
        <v>112</v>
      </c>
      <c r="L19" s="48">
        <v>541.58000000000004</v>
      </c>
      <c r="M19" s="49">
        <v>20241216141</v>
      </c>
      <c r="N19" s="50" t="s">
        <v>28</v>
      </c>
      <c r="O19" s="50"/>
      <c r="P19" s="50"/>
      <c r="Q19" s="51"/>
      <c r="R19" s="50"/>
      <c r="S19" s="50"/>
      <c r="T19" s="51"/>
      <c r="U19" s="50"/>
    </row>
    <row r="20" spans="1:21" x14ac:dyDescent="0.25">
      <c r="A20" s="45" t="s">
        <v>29</v>
      </c>
      <c r="B20" s="46">
        <v>45765</v>
      </c>
      <c r="C20" s="45" t="s">
        <v>244</v>
      </c>
      <c r="D20" s="47" t="s">
        <v>168</v>
      </c>
      <c r="E20" s="45" t="s">
        <v>22</v>
      </c>
      <c r="F20" s="45" t="s">
        <v>23</v>
      </c>
      <c r="G20" s="45" t="s">
        <v>178</v>
      </c>
      <c r="H20" s="45" t="s">
        <v>938</v>
      </c>
      <c r="I20" s="45" t="s">
        <v>2792</v>
      </c>
      <c r="J20" s="45">
        <v>496022516</v>
      </c>
      <c r="K20" s="45" t="s">
        <v>2735</v>
      </c>
      <c r="L20" s="48">
        <v>480</v>
      </c>
      <c r="M20" s="49">
        <v>20241217990</v>
      </c>
      <c r="N20" s="50" t="s">
        <v>28</v>
      </c>
      <c r="O20" s="50"/>
      <c r="P20" s="50"/>
      <c r="Q20" s="51"/>
      <c r="R20" s="50"/>
      <c r="S20" s="50"/>
      <c r="T20" s="51"/>
      <c r="U20" s="50"/>
    </row>
    <row r="21" spans="1:21" x14ac:dyDescent="0.25">
      <c r="A21" s="45" t="s">
        <v>20</v>
      </c>
      <c r="B21" s="46">
        <v>45765</v>
      </c>
      <c r="C21" s="45" t="s">
        <v>244</v>
      </c>
      <c r="D21" s="47" t="s">
        <v>168</v>
      </c>
      <c r="E21" s="45" t="s">
        <v>22</v>
      </c>
      <c r="F21" s="45" t="s">
        <v>23</v>
      </c>
      <c r="G21" s="45" t="s">
        <v>1014</v>
      </c>
      <c r="H21" s="45" t="s">
        <v>1058</v>
      </c>
      <c r="I21" s="45" t="s">
        <v>2793</v>
      </c>
      <c r="J21" s="45">
        <v>498746107</v>
      </c>
      <c r="K21" s="45" t="s">
        <v>2597</v>
      </c>
      <c r="L21" s="48">
        <v>199</v>
      </c>
      <c r="M21" s="49">
        <v>202412091226</v>
      </c>
      <c r="N21" s="50" t="s">
        <v>28</v>
      </c>
      <c r="O21" s="50"/>
      <c r="P21" s="50"/>
      <c r="Q21" s="51"/>
      <c r="R21" s="50"/>
      <c r="S21" s="50"/>
      <c r="T21" s="51"/>
      <c r="U21" s="50"/>
    </row>
    <row r="22" spans="1:21" ht="75" x14ac:dyDescent="0.25">
      <c r="A22" s="45" t="s">
        <v>20</v>
      </c>
      <c r="B22" s="46">
        <v>45771</v>
      </c>
      <c r="C22" s="45" t="s">
        <v>244</v>
      </c>
      <c r="D22" s="47" t="s">
        <v>168</v>
      </c>
      <c r="E22" s="45" t="s">
        <v>22</v>
      </c>
      <c r="F22" s="45" t="s">
        <v>23</v>
      </c>
      <c r="G22" s="45" t="s">
        <v>178</v>
      </c>
      <c r="H22" s="45" t="s">
        <v>2376</v>
      </c>
      <c r="I22" s="45" t="s">
        <v>2452</v>
      </c>
      <c r="J22" s="45">
        <v>511524743</v>
      </c>
      <c r="K22" s="45" t="s">
        <v>2087</v>
      </c>
      <c r="L22" s="48">
        <v>141.66</v>
      </c>
      <c r="M22" s="49">
        <v>20241216991</v>
      </c>
      <c r="N22" s="50"/>
      <c r="O22" s="50" t="s">
        <v>124</v>
      </c>
      <c r="P22" s="50"/>
      <c r="Q22" s="51" t="s">
        <v>2794</v>
      </c>
      <c r="R22" s="50"/>
      <c r="S22" s="50"/>
      <c r="T22" s="51"/>
      <c r="U22" s="50"/>
    </row>
    <row r="23" spans="1:21" x14ac:dyDescent="0.25">
      <c r="A23" s="45" t="s">
        <v>29</v>
      </c>
      <c r="B23" s="46">
        <v>45771</v>
      </c>
      <c r="C23" s="45" t="s">
        <v>244</v>
      </c>
      <c r="D23" s="47" t="s">
        <v>168</v>
      </c>
      <c r="E23" s="45" t="s">
        <v>64</v>
      </c>
      <c r="F23" s="45" t="s">
        <v>65</v>
      </c>
      <c r="G23" s="45" t="s">
        <v>1866</v>
      </c>
      <c r="H23" s="45" t="s">
        <v>2795</v>
      </c>
      <c r="I23" s="45" t="s">
        <v>2796</v>
      </c>
      <c r="J23" s="45">
        <v>636077704</v>
      </c>
      <c r="K23" s="45" t="s">
        <v>48</v>
      </c>
      <c r="L23" s="48">
        <v>293.33</v>
      </c>
      <c r="M23" s="49">
        <v>20241217616</v>
      </c>
      <c r="N23" s="50" t="s">
        <v>28</v>
      </c>
      <c r="O23" s="50"/>
      <c r="P23" s="50"/>
      <c r="Q23" s="51"/>
      <c r="R23" s="50"/>
      <c r="S23" s="50"/>
      <c r="T23" s="51"/>
      <c r="U23" s="50"/>
    </row>
    <row r="24" spans="1:21" x14ac:dyDescent="0.25">
      <c r="A24" s="45" t="s">
        <v>29</v>
      </c>
      <c r="B24" s="46">
        <v>45771</v>
      </c>
      <c r="C24" s="45" t="s">
        <v>34</v>
      </c>
      <c r="D24" s="47" t="s">
        <v>168</v>
      </c>
      <c r="E24" s="45" t="s">
        <v>64</v>
      </c>
      <c r="F24" s="45" t="s">
        <v>65</v>
      </c>
      <c r="G24" s="45" t="s">
        <v>1866</v>
      </c>
      <c r="H24" s="45" t="s">
        <v>2795</v>
      </c>
      <c r="I24" s="45" t="s">
        <v>2796</v>
      </c>
      <c r="J24" s="45">
        <v>636077704</v>
      </c>
      <c r="K24" s="45" t="s">
        <v>1358</v>
      </c>
      <c r="L24" s="48">
        <v>293.33</v>
      </c>
      <c r="M24" s="49">
        <v>20241217591</v>
      </c>
      <c r="N24" s="50" t="s">
        <v>28</v>
      </c>
      <c r="O24" s="50"/>
      <c r="P24" s="50"/>
      <c r="Q24" s="51"/>
      <c r="R24" s="50"/>
      <c r="S24" s="50"/>
      <c r="T24" s="51"/>
      <c r="U24" s="50"/>
    </row>
    <row r="25" spans="1:21" x14ac:dyDescent="0.25">
      <c r="A25" s="45" t="s">
        <v>29</v>
      </c>
      <c r="B25" s="46">
        <v>45771</v>
      </c>
      <c r="C25" s="45" t="s">
        <v>34</v>
      </c>
      <c r="D25" s="47" t="s">
        <v>168</v>
      </c>
      <c r="E25" s="45" t="s">
        <v>64</v>
      </c>
      <c r="F25" s="45" t="s">
        <v>65</v>
      </c>
      <c r="G25" s="45" t="s">
        <v>1866</v>
      </c>
      <c r="H25" s="45" t="s">
        <v>2797</v>
      </c>
      <c r="I25" s="45" t="s">
        <v>2798</v>
      </c>
      <c r="J25" s="45">
        <v>639019317</v>
      </c>
      <c r="K25" s="45" t="s">
        <v>237</v>
      </c>
      <c r="L25" s="48">
        <v>5775</v>
      </c>
      <c r="M25" s="49">
        <v>20241217574</v>
      </c>
      <c r="N25" s="50" t="s">
        <v>28</v>
      </c>
      <c r="O25" s="50"/>
      <c r="P25" s="50"/>
      <c r="Q25" s="51"/>
      <c r="R25" s="50"/>
      <c r="S25" s="50"/>
      <c r="T25" s="51"/>
      <c r="U25" s="50"/>
    </row>
    <row r="26" spans="1:21" x14ac:dyDescent="0.25">
      <c r="A26" s="45" t="s">
        <v>29</v>
      </c>
      <c r="B26" s="46">
        <v>45771</v>
      </c>
      <c r="C26" s="45" t="s">
        <v>34</v>
      </c>
      <c r="D26" s="47" t="s">
        <v>168</v>
      </c>
      <c r="E26" s="45" t="s">
        <v>64</v>
      </c>
      <c r="F26" s="45" t="s">
        <v>65</v>
      </c>
      <c r="G26" s="45" t="s">
        <v>1866</v>
      </c>
      <c r="H26" s="45" t="s">
        <v>2799</v>
      </c>
      <c r="I26" s="45" t="s">
        <v>2800</v>
      </c>
      <c r="J26" s="45">
        <v>644288380</v>
      </c>
      <c r="K26" s="45" t="s">
        <v>184</v>
      </c>
      <c r="L26" s="48">
        <v>833.32</v>
      </c>
      <c r="M26" s="49">
        <v>20241217606</v>
      </c>
      <c r="N26" s="50" t="s">
        <v>28</v>
      </c>
      <c r="O26" s="50"/>
      <c r="P26" s="50"/>
      <c r="Q26" s="51"/>
      <c r="R26" s="50"/>
      <c r="S26" s="50"/>
      <c r="T26" s="51"/>
      <c r="U26" s="50"/>
    </row>
    <row r="27" spans="1:21" x14ac:dyDescent="0.25">
      <c r="A27" s="45" t="s">
        <v>20</v>
      </c>
      <c r="B27" s="46">
        <v>45771</v>
      </c>
      <c r="C27" s="45" t="s">
        <v>34</v>
      </c>
      <c r="D27" s="47" t="s">
        <v>168</v>
      </c>
      <c r="E27" s="45" t="s">
        <v>64</v>
      </c>
      <c r="F27" s="45" t="s">
        <v>65</v>
      </c>
      <c r="G27" s="45" t="s">
        <v>2801</v>
      </c>
      <c r="H27" s="45" t="s">
        <v>616</v>
      </c>
      <c r="I27" s="45" t="s">
        <v>2802</v>
      </c>
      <c r="J27" s="45">
        <v>647183842</v>
      </c>
      <c r="K27" s="45" t="s">
        <v>2803</v>
      </c>
      <c r="L27" s="48">
        <v>10</v>
      </c>
      <c r="M27" s="49">
        <v>20241216408</v>
      </c>
      <c r="N27" s="50" t="s">
        <v>28</v>
      </c>
      <c r="O27" s="50"/>
      <c r="P27" s="50"/>
      <c r="Q27" s="51"/>
      <c r="R27" s="50"/>
      <c r="S27" s="50"/>
      <c r="T27" s="51"/>
      <c r="U27" s="50"/>
    </row>
    <row r="28" spans="1:21" x14ac:dyDescent="0.25">
      <c r="A28" s="45" t="s">
        <v>20</v>
      </c>
      <c r="B28" s="46">
        <v>45771</v>
      </c>
      <c r="C28" s="45" t="s">
        <v>34</v>
      </c>
      <c r="D28" s="47" t="s">
        <v>168</v>
      </c>
      <c r="E28" s="45" t="s">
        <v>64</v>
      </c>
      <c r="F28" s="45" t="s">
        <v>65</v>
      </c>
      <c r="G28" s="45" t="s">
        <v>2801</v>
      </c>
      <c r="H28" s="45" t="s">
        <v>616</v>
      </c>
      <c r="I28" s="45" t="s">
        <v>2802</v>
      </c>
      <c r="J28" s="45">
        <v>647183842</v>
      </c>
      <c r="K28" s="45" t="s">
        <v>897</v>
      </c>
      <c r="L28" s="48">
        <v>37.03</v>
      </c>
      <c r="M28" s="49">
        <v>20241216397</v>
      </c>
      <c r="N28" s="50" t="s">
        <v>28</v>
      </c>
      <c r="O28" s="50"/>
      <c r="P28" s="50"/>
      <c r="Q28" s="51"/>
      <c r="R28" s="50"/>
      <c r="S28" s="50"/>
      <c r="T28" s="51"/>
      <c r="U28" s="50"/>
    </row>
    <row r="29" spans="1:21" x14ac:dyDescent="0.25">
      <c r="A29" s="45" t="s">
        <v>20</v>
      </c>
      <c r="B29" s="46">
        <v>45771</v>
      </c>
      <c r="C29" s="45" t="s">
        <v>34</v>
      </c>
      <c r="D29" s="47" t="s">
        <v>168</v>
      </c>
      <c r="E29" s="45" t="s">
        <v>64</v>
      </c>
      <c r="F29" s="45" t="s">
        <v>65</v>
      </c>
      <c r="G29" s="45" t="s">
        <v>2801</v>
      </c>
      <c r="H29" s="45" t="s">
        <v>616</v>
      </c>
      <c r="I29" s="45" t="s">
        <v>2802</v>
      </c>
      <c r="J29" s="45">
        <v>647183842</v>
      </c>
      <c r="K29" s="45" t="s">
        <v>990</v>
      </c>
      <c r="L29" s="48">
        <v>7.03</v>
      </c>
      <c r="M29" s="49">
        <v>20241216494</v>
      </c>
      <c r="N29" s="50" t="s">
        <v>28</v>
      </c>
      <c r="O29" s="50"/>
      <c r="P29" s="50"/>
      <c r="Q29" s="51"/>
      <c r="R29" s="50"/>
      <c r="S29" s="50"/>
      <c r="T29" s="51"/>
      <c r="U29" s="50"/>
    </row>
    <row r="30" spans="1:21" x14ac:dyDescent="0.25">
      <c r="A30" s="45" t="s">
        <v>20</v>
      </c>
      <c r="B30" s="46">
        <v>45771</v>
      </c>
      <c r="C30" s="45" t="s">
        <v>34</v>
      </c>
      <c r="D30" s="47" t="s">
        <v>168</v>
      </c>
      <c r="E30" s="45" t="s">
        <v>64</v>
      </c>
      <c r="F30" s="45" t="s">
        <v>65</v>
      </c>
      <c r="G30" s="45" t="s">
        <v>2801</v>
      </c>
      <c r="H30" s="45" t="s">
        <v>616</v>
      </c>
      <c r="I30" s="45" t="s">
        <v>2802</v>
      </c>
      <c r="J30" s="45">
        <v>647183842</v>
      </c>
      <c r="K30" s="45" t="s">
        <v>1036</v>
      </c>
      <c r="L30" s="48">
        <v>5.05</v>
      </c>
      <c r="M30" s="49">
        <v>20241216435</v>
      </c>
      <c r="N30" s="50" t="s">
        <v>28</v>
      </c>
      <c r="O30" s="50"/>
      <c r="P30" s="50"/>
      <c r="Q30" s="51"/>
      <c r="R30" s="50"/>
      <c r="S30" s="50"/>
      <c r="T30" s="51"/>
      <c r="U30" s="50"/>
    </row>
    <row r="31" spans="1:21" x14ac:dyDescent="0.25">
      <c r="A31" s="45" t="s">
        <v>20</v>
      </c>
      <c r="B31" s="46">
        <v>45771</v>
      </c>
      <c r="C31" s="45" t="s">
        <v>34</v>
      </c>
      <c r="D31" s="47" t="s">
        <v>168</v>
      </c>
      <c r="E31" s="45" t="s">
        <v>64</v>
      </c>
      <c r="F31" s="45" t="s">
        <v>65</v>
      </c>
      <c r="G31" s="45" t="s">
        <v>2801</v>
      </c>
      <c r="H31" s="45" t="s">
        <v>616</v>
      </c>
      <c r="I31" s="45" t="s">
        <v>2802</v>
      </c>
      <c r="J31" s="45">
        <v>647183842</v>
      </c>
      <c r="K31" s="45" t="s">
        <v>888</v>
      </c>
      <c r="L31" s="48">
        <v>15.82</v>
      </c>
      <c r="M31" s="49">
        <v>20241216455</v>
      </c>
      <c r="N31" s="50" t="s">
        <v>28</v>
      </c>
      <c r="O31" s="50"/>
      <c r="P31" s="50"/>
      <c r="Q31" s="51"/>
      <c r="R31" s="50"/>
      <c r="S31" s="50"/>
      <c r="T31" s="51"/>
      <c r="U31" s="50"/>
    </row>
    <row r="32" spans="1:21" x14ac:dyDescent="0.25">
      <c r="A32" s="45" t="s">
        <v>20</v>
      </c>
      <c r="B32" s="46">
        <v>45771</v>
      </c>
      <c r="C32" s="45" t="s">
        <v>34</v>
      </c>
      <c r="D32" s="47" t="s">
        <v>168</v>
      </c>
      <c r="E32" s="45" t="s">
        <v>64</v>
      </c>
      <c r="F32" s="45" t="s">
        <v>65</v>
      </c>
      <c r="G32" s="45" t="s">
        <v>2801</v>
      </c>
      <c r="H32" s="45" t="s">
        <v>616</v>
      </c>
      <c r="I32" s="45" t="s">
        <v>2802</v>
      </c>
      <c r="J32" s="45">
        <v>647183842</v>
      </c>
      <c r="K32" s="45" t="s">
        <v>48</v>
      </c>
      <c r="L32" s="48">
        <v>20</v>
      </c>
      <c r="M32" s="49">
        <v>20241216449</v>
      </c>
      <c r="N32" s="50" t="s">
        <v>28</v>
      </c>
      <c r="O32" s="50"/>
      <c r="P32" s="50"/>
      <c r="Q32" s="51"/>
      <c r="R32" s="50"/>
      <c r="S32" s="50"/>
      <c r="T32" s="51"/>
      <c r="U32" s="50"/>
    </row>
    <row r="33" spans="1:21" x14ac:dyDescent="0.25">
      <c r="A33" s="45" t="s">
        <v>20</v>
      </c>
      <c r="B33" s="46">
        <v>45771</v>
      </c>
      <c r="C33" s="45" t="s">
        <v>34</v>
      </c>
      <c r="D33" s="47" t="s">
        <v>168</v>
      </c>
      <c r="E33" s="45" t="s">
        <v>64</v>
      </c>
      <c r="F33" s="45" t="s">
        <v>65</v>
      </c>
      <c r="G33" s="45" t="s">
        <v>2801</v>
      </c>
      <c r="H33" s="45" t="s">
        <v>616</v>
      </c>
      <c r="I33" s="45" t="s">
        <v>2802</v>
      </c>
      <c r="J33" s="45">
        <v>647183842</v>
      </c>
      <c r="K33" s="45" t="s">
        <v>1543</v>
      </c>
      <c r="L33" s="48">
        <v>19.809999999999999</v>
      </c>
      <c r="M33" s="49">
        <v>20241216443</v>
      </c>
      <c r="N33" s="50" t="s">
        <v>28</v>
      </c>
      <c r="O33" s="50"/>
      <c r="P33" s="50"/>
      <c r="Q33" s="51"/>
      <c r="R33" s="50"/>
      <c r="S33" s="50"/>
      <c r="T33" s="51"/>
      <c r="U33" s="50"/>
    </row>
    <row r="34" spans="1:21" x14ac:dyDescent="0.25">
      <c r="A34" s="45" t="s">
        <v>20</v>
      </c>
      <c r="B34" s="46">
        <v>45771</v>
      </c>
      <c r="C34" s="45" t="s">
        <v>34</v>
      </c>
      <c r="D34" s="47" t="s">
        <v>168</v>
      </c>
      <c r="E34" s="45" t="s">
        <v>64</v>
      </c>
      <c r="F34" s="45" t="s">
        <v>65</v>
      </c>
      <c r="G34" s="45" t="s">
        <v>2801</v>
      </c>
      <c r="H34" s="45" t="s">
        <v>616</v>
      </c>
      <c r="I34" s="45" t="s">
        <v>2802</v>
      </c>
      <c r="J34" s="45">
        <v>647183842</v>
      </c>
      <c r="K34" s="45" t="s">
        <v>2804</v>
      </c>
      <c r="L34" s="48">
        <v>5.05</v>
      </c>
      <c r="M34" s="49">
        <v>20241216486</v>
      </c>
      <c r="N34" s="50" t="s">
        <v>28</v>
      </c>
      <c r="O34" s="50"/>
      <c r="P34" s="50"/>
      <c r="Q34" s="51"/>
      <c r="R34" s="50"/>
      <c r="S34" s="50"/>
      <c r="T34" s="51"/>
      <c r="U34" s="50"/>
    </row>
    <row r="35" spans="1:21" x14ac:dyDescent="0.25">
      <c r="A35" s="45" t="s">
        <v>20</v>
      </c>
      <c r="B35" s="46">
        <v>45771</v>
      </c>
      <c r="C35" s="45" t="s">
        <v>34</v>
      </c>
      <c r="D35" s="47" t="s">
        <v>168</v>
      </c>
      <c r="E35" s="45" t="s">
        <v>64</v>
      </c>
      <c r="F35" s="45" t="s">
        <v>65</v>
      </c>
      <c r="G35" s="45" t="s">
        <v>2801</v>
      </c>
      <c r="H35" s="45" t="s">
        <v>616</v>
      </c>
      <c r="I35" s="45" t="s">
        <v>2802</v>
      </c>
      <c r="J35" s="45">
        <v>647183842</v>
      </c>
      <c r="K35" s="45" t="s">
        <v>399</v>
      </c>
      <c r="L35" s="48">
        <v>9.5500000000000007</v>
      </c>
      <c r="M35" s="49">
        <v>20241216473</v>
      </c>
      <c r="N35" s="50" t="s">
        <v>28</v>
      </c>
      <c r="O35" s="50"/>
      <c r="P35" s="50"/>
      <c r="Q35" s="51"/>
      <c r="R35" s="50"/>
      <c r="S35" s="50"/>
      <c r="T35" s="51"/>
      <c r="U35" s="50"/>
    </row>
    <row r="36" spans="1:21" x14ac:dyDescent="0.25">
      <c r="A36" s="45" t="s">
        <v>20</v>
      </c>
      <c r="B36" s="46">
        <v>45771</v>
      </c>
      <c r="C36" s="45" t="s">
        <v>34</v>
      </c>
      <c r="D36" s="47" t="s">
        <v>168</v>
      </c>
      <c r="E36" s="45" t="s">
        <v>64</v>
      </c>
      <c r="F36" s="45" t="s">
        <v>65</v>
      </c>
      <c r="G36" s="45" t="s">
        <v>2801</v>
      </c>
      <c r="H36" s="45" t="s">
        <v>616</v>
      </c>
      <c r="I36" s="45" t="s">
        <v>2802</v>
      </c>
      <c r="J36" s="45">
        <v>647183842</v>
      </c>
      <c r="K36" s="45" t="s">
        <v>898</v>
      </c>
      <c r="L36" s="48">
        <v>17.03</v>
      </c>
      <c r="M36" s="49">
        <v>20241216406</v>
      </c>
      <c r="N36" s="50" t="s">
        <v>28</v>
      </c>
      <c r="O36" s="50"/>
      <c r="P36" s="50"/>
      <c r="Q36" s="51"/>
      <c r="R36" s="50"/>
      <c r="S36" s="50"/>
      <c r="T36" s="51"/>
      <c r="U36" s="50"/>
    </row>
    <row r="37" spans="1:21" x14ac:dyDescent="0.25">
      <c r="A37" s="45" t="s">
        <v>20</v>
      </c>
      <c r="B37" s="46">
        <v>45771</v>
      </c>
      <c r="C37" s="45" t="s">
        <v>34</v>
      </c>
      <c r="D37" s="47" t="s">
        <v>168</v>
      </c>
      <c r="E37" s="45" t="s">
        <v>64</v>
      </c>
      <c r="F37" s="45" t="s">
        <v>65</v>
      </c>
      <c r="G37" s="45" t="s">
        <v>1359</v>
      </c>
      <c r="H37" s="45" t="s">
        <v>2805</v>
      </c>
      <c r="I37" s="45" t="s">
        <v>2806</v>
      </c>
      <c r="J37" s="45" t="s">
        <v>2807</v>
      </c>
      <c r="K37" s="45" t="s">
        <v>1912</v>
      </c>
      <c r="L37" s="48">
        <v>18.86</v>
      </c>
      <c r="M37" s="49">
        <v>20241213381</v>
      </c>
      <c r="N37" s="50" t="s">
        <v>28</v>
      </c>
      <c r="O37" s="50"/>
      <c r="P37" s="50"/>
      <c r="Q37" s="51"/>
      <c r="R37" s="50"/>
      <c r="S37" s="50"/>
      <c r="T37" s="51"/>
      <c r="U37" s="50"/>
    </row>
    <row r="38" spans="1:21" x14ac:dyDescent="0.25">
      <c r="A38" s="45" t="s">
        <v>29</v>
      </c>
      <c r="B38" s="46">
        <v>45775</v>
      </c>
      <c r="C38" s="45" t="s">
        <v>34</v>
      </c>
      <c r="D38" s="78" t="s">
        <v>244</v>
      </c>
      <c r="E38" s="45" t="s">
        <v>107</v>
      </c>
      <c r="F38" s="45" t="s">
        <v>108</v>
      </c>
      <c r="G38" s="45" t="s">
        <v>773</v>
      </c>
      <c r="H38" s="45" t="s">
        <v>2808</v>
      </c>
      <c r="I38" s="45" t="s">
        <v>2809</v>
      </c>
      <c r="J38" s="45">
        <v>347868514</v>
      </c>
      <c r="K38" s="45" t="s">
        <v>56</v>
      </c>
      <c r="L38" s="48">
        <v>750</v>
      </c>
      <c r="M38" s="49">
        <v>20241219321</v>
      </c>
      <c r="N38" s="50" t="s">
        <v>28</v>
      </c>
      <c r="O38" s="50"/>
      <c r="P38" s="50"/>
      <c r="Q38" s="51"/>
      <c r="R38" s="50"/>
      <c r="S38" s="50"/>
      <c r="T38" s="51"/>
      <c r="U38" s="50"/>
    </row>
    <row r="39" spans="1:21" x14ac:dyDescent="0.25">
      <c r="A39" s="45" t="s">
        <v>29</v>
      </c>
      <c r="B39" s="77">
        <v>45775</v>
      </c>
      <c r="C39" s="45" t="s">
        <v>34</v>
      </c>
      <c r="D39" s="76" t="s">
        <v>244</v>
      </c>
      <c r="E39" s="45" t="s">
        <v>107</v>
      </c>
      <c r="F39" s="45" t="s">
        <v>108</v>
      </c>
      <c r="G39" s="45" t="s">
        <v>178</v>
      </c>
      <c r="H39" s="45" t="s">
        <v>852</v>
      </c>
      <c r="I39" s="45" t="s">
        <v>2810</v>
      </c>
      <c r="J39" s="45">
        <v>358021953</v>
      </c>
      <c r="K39" s="45" t="s">
        <v>1358</v>
      </c>
      <c r="L39" s="48">
        <v>629.75</v>
      </c>
      <c r="M39" s="49">
        <v>20241118740</v>
      </c>
      <c r="N39" s="50" t="s">
        <v>28</v>
      </c>
      <c r="O39" s="50"/>
      <c r="P39" s="50"/>
      <c r="Q39" s="51"/>
      <c r="R39" s="50"/>
      <c r="S39" s="50"/>
      <c r="T39" s="51"/>
      <c r="U39" s="50"/>
    </row>
    <row r="40" spans="1:21" x14ac:dyDescent="0.25">
      <c r="A40" s="45" t="s">
        <v>20</v>
      </c>
      <c r="B40" s="77">
        <v>45775</v>
      </c>
      <c r="C40" s="45" t="s">
        <v>34</v>
      </c>
      <c r="D40" s="76" t="s">
        <v>244</v>
      </c>
      <c r="E40" s="45" t="s">
        <v>107</v>
      </c>
      <c r="F40" s="45" t="s">
        <v>108</v>
      </c>
      <c r="G40" s="45" t="s">
        <v>2150</v>
      </c>
      <c r="H40" s="45" t="s">
        <v>235</v>
      </c>
      <c r="I40" s="45" t="s">
        <v>2811</v>
      </c>
      <c r="J40" s="45">
        <v>363762667</v>
      </c>
      <c r="K40" s="45" t="s">
        <v>1686</v>
      </c>
      <c r="L40" s="48">
        <v>27.37</v>
      </c>
      <c r="M40" s="49">
        <v>20241217538</v>
      </c>
      <c r="N40" s="50" t="s">
        <v>28</v>
      </c>
      <c r="O40" s="50"/>
      <c r="P40" s="50"/>
      <c r="Q40" s="51"/>
      <c r="R40" s="50"/>
      <c r="S40" s="50"/>
      <c r="T40" s="51"/>
      <c r="U40" s="50"/>
    </row>
    <row r="41" spans="1:21" x14ac:dyDescent="0.25">
      <c r="A41" s="45" t="s">
        <v>20</v>
      </c>
      <c r="B41" s="77">
        <v>45775</v>
      </c>
      <c r="C41" s="45" t="s">
        <v>34</v>
      </c>
      <c r="D41" s="76" t="s">
        <v>244</v>
      </c>
      <c r="E41" s="45" t="s">
        <v>107</v>
      </c>
      <c r="F41" s="45" t="s">
        <v>108</v>
      </c>
      <c r="G41" s="45" t="s">
        <v>2150</v>
      </c>
      <c r="H41" s="45" t="s">
        <v>235</v>
      </c>
      <c r="I41" s="45" t="s">
        <v>2811</v>
      </c>
      <c r="J41" s="45">
        <v>363762667</v>
      </c>
      <c r="K41" s="45" t="s">
        <v>1460</v>
      </c>
      <c r="L41" s="48">
        <v>180</v>
      </c>
      <c r="M41" s="49">
        <v>20241217540</v>
      </c>
      <c r="N41" s="50" t="s">
        <v>28</v>
      </c>
      <c r="O41" s="50"/>
      <c r="P41" s="50"/>
      <c r="Q41" s="51"/>
      <c r="R41" s="50"/>
      <c r="S41" s="50"/>
      <c r="T41" s="51"/>
      <c r="U41" s="50"/>
    </row>
    <row r="42" spans="1:21" x14ac:dyDescent="0.25">
      <c r="A42" s="45" t="s">
        <v>20</v>
      </c>
      <c r="B42" s="77">
        <v>45775</v>
      </c>
      <c r="C42" s="45" t="s">
        <v>34</v>
      </c>
      <c r="D42" s="76" t="s">
        <v>244</v>
      </c>
      <c r="E42" s="45" t="s">
        <v>107</v>
      </c>
      <c r="F42" s="45" t="s">
        <v>108</v>
      </c>
      <c r="G42" s="45" t="s">
        <v>2526</v>
      </c>
      <c r="H42" s="45" t="s">
        <v>875</v>
      </c>
      <c r="I42" s="45" t="s">
        <v>2812</v>
      </c>
      <c r="J42" s="45">
        <v>367049812</v>
      </c>
      <c r="K42" s="45" t="s">
        <v>2767</v>
      </c>
      <c r="L42" s="48">
        <v>299</v>
      </c>
      <c r="M42" s="49">
        <v>202412181352</v>
      </c>
      <c r="N42" s="50" t="s">
        <v>28</v>
      </c>
      <c r="O42" s="50"/>
      <c r="P42" s="50"/>
      <c r="Q42" s="51"/>
      <c r="R42" s="50"/>
      <c r="S42" s="50"/>
      <c r="T42" s="51"/>
      <c r="U42" s="50"/>
    </row>
    <row r="43" spans="1:21" ht="60" x14ac:dyDescent="0.25">
      <c r="A43" s="45" t="s">
        <v>20</v>
      </c>
      <c r="B43" s="77">
        <v>45775</v>
      </c>
      <c r="C43" s="45" t="s">
        <v>34</v>
      </c>
      <c r="D43" s="76" t="s">
        <v>244</v>
      </c>
      <c r="E43" s="45" t="s">
        <v>107</v>
      </c>
      <c r="F43" s="45" t="s">
        <v>108</v>
      </c>
      <c r="G43" s="45" t="s">
        <v>2526</v>
      </c>
      <c r="H43" s="45" t="s">
        <v>875</v>
      </c>
      <c r="I43" s="45" t="s">
        <v>2812</v>
      </c>
      <c r="J43" s="45">
        <v>367049812</v>
      </c>
      <c r="K43" s="45" t="s">
        <v>1686</v>
      </c>
      <c r="L43" s="48">
        <v>34.99</v>
      </c>
      <c r="M43" s="49">
        <v>202412181353</v>
      </c>
      <c r="N43" s="50"/>
      <c r="O43" s="50" t="s">
        <v>124</v>
      </c>
      <c r="P43" s="50"/>
      <c r="Q43" s="51" t="s">
        <v>2813</v>
      </c>
      <c r="R43" s="50"/>
      <c r="S43" s="50"/>
      <c r="T43" s="51"/>
      <c r="U43" s="50"/>
    </row>
    <row r="44" spans="1:21" x14ac:dyDescent="0.25">
      <c r="A44" s="45" t="s">
        <v>20</v>
      </c>
      <c r="B44" s="77">
        <v>45775</v>
      </c>
      <c r="C44" s="45" t="s">
        <v>34</v>
      </c>
      <c r="D44" s="76" t="s">
        <v>244</v>
      </c>
      <c r="E44" s="45" t="s">
        <v>107</v>
      </c>
      <c r="F44" s="45" t="s">
        <v>108</v>
      </c>
      <c r="G44" s="45" t="s">
        <v>2526</v>
      </c>
      <c r="H44" s="45" t="s">
        <v>875</v>
      </c>
      <c r="I44" s="45" t="s">
        <v>2812</v>
      </c>
      <c r="J44" s="45">
        <v>367049812</v>
      </c>
      <c r="K44" s="45" t="s">
        <v>2767</v>
      </c>
      <c r="L44" s="48">
        <v>154.44</v>
      </c>
      <c r="M44" s="49">
        <v>202412181355</v>
      </c>
      <c r="N44" s="50" t="s">
        <v>28</v>
      </c>
      <c r="O44" s="50"/>
      <c r="P44" s="50"/>
      <c r="Q44" s="51"/>
      <c r="R44" s="50"/>
      <c r="S44" s="50"/>
      <c r="T44" s="51"/>
      <c r="U44" s="50"/>
    </row>
    <row r="45" spans="1:21" x14ac:dyDescent="0.25">
      <c r="A45" s="45" t="s">
        <v>20</v>
      </c>
      <c r="B45" s="77">
        <v>45775</v>
      </c>
      <c r="C45" s="45" t="s">
        <v>34</v>
      </c>
      <c r="D45" s="76" t="s">
        <v>244</v>
      </c>
      <c r="E45" s="45" t="s">
        <v>107</v>
      </c>
      <c r="F45" s="45" t="s">
        <v>108</v>
      </c>
      <c r="G45" s="45" t="s">
        <v>2526</v>
      </c>
      <c r="H45" s="45" t="s">
        <v>875</v>
      </c>
      <c r="I45" s="45" t="s">
        <v>2812</v>
      </c>
      <c r="J45" s="45">
        <v>367049812</v>
      </c>
      <c r="K45" s="45" t="s">
        <v>2050</v>
      </c>
      <c r="L45" s="48">
        <v>10</v>
      </c>
      <c r="M45" s="49">
        <v>202412181354</v>
      </c>
      <c r="N45" s="50" t="s">
        <v>28</v>
      </c>
      <c r="O45" s="50"/>
      <c r="P45" s="50"/>
      <c r="Q45" s="51"/>
      <c r="R45" s="50"/>
      <c r="S45" s="50"/>
      <c r="T45" s="51"/>
      <c r="U45" s="50"/>
    </row>
    <row r="46" spans="1:21" ht="25.5" x14ac:dyDescent="0.25">
      <c r="A46" s="45" t="s">
        <v>20</v>
      </c>
      <c r="B46" s="77">
        <v>45775</v>
      </c>
      <c r="C46" s="45" t="s">
        <v>34</v>
      </c>
      <c r="D46" s="76" t="s">
        <v>244</v>
      </c>
      <c r="E46" s="45" t="s">
        <v>107</v>
      </c>
      <c r="F46" s="45" t="s">
        <v>108</v>
      </c>
      <c r="G46" s="45" t="s">
        <v>786</v>
      </c>
      <c r="H46" s="45" t="s">
        <v>2814</v>
      </c>
      <c r="I46" s="45" t="s">
        <v>2815</v>
      </c>
      <c r="J46" s="45">
        <v>368750761</v>
      </c>
      <c r="K46" s="45" t="s">
        <v>2816</v>
      </c>
      <c r="L46" s="48">
        <v>1513.5</v>
      </c>
      <c r="M46" s="49">
        <v>20241219318</v>
      </c>
      <c r="N46" s="50" t="s">
        <v>28</v>
      </c>
      <c r="O46" s="50"/>
      <c r="P46" s="50"/>
      <c r="Q46" s="51"/>
      <c r="R46" s="50"/>
      <c r="S46" s="50"/>
      <c r="T46" s="51"/>
      <c r="U46" s="50"/>
    </row>
    <row r="47" spans="1:21" x14ac:dyDescent="0.25">
      <c r="A47" s="45" t="s">
        <v>29</v>
      </c>
      <c r="B47" s="77">
        <v>45775</v>
      </c>
      <c r="C47" s="45" t="s">
        <v>34</v>
      </c>
      <c r="D47" s="76" t="s">
        <v>244</v>
      </c>
      <c r="E47" s="45" t="s">
        <v>107</v>
      </c>
      <c r="F47" s="45" t="s">
        <v>108</v>
      </c>
      <c r="G47" s="45" t="s">
        <v>2817</v>
      </c>
      <c r="H47" s="45" t="s">
        <v>2818</v>
      </c>
      <c r="I47" s="45" t="s">
        <v>2819</v>
      </c>
      <c r="J47" s="45">
        <v>392198650</v>
      </c>
      <c r="K47" s="45" t="s">
        <v>2735</v>
      </c>
      <c r="L47" s="48">
        <v>208</v>
      </c>
      <c r="M47" s="49">
        <v>20241217548</v>
      </c>
      <c r="N47" s="50" t="s">
        <v>28</v>
      </c>
      <c r="O47" s="50"/>
      <c r="P47" s="50"/>
      <c r="Q47" s="51"/>
      <c r="R47" s="50"/>
      <c r="S47" s="50"/>
      <c r="T47" s="51"/>
      <c r="U47" s="50"/>
    </row>
    <row r="48" spans="1:21" x14ac:dyDescent="0.25">
      <c r="A48" s="45" t="s">
        <v>20</v>
      </c>
      <c r="B48" s="77">
        <v>45775</v>
      </c>
      <c r="C48" s="45" t="s">
        <v>34</v>
      </c>
      <c r="D48" s="76" t="s">
        <v>244</v>
      </c>
      <c r="E48" s="45" t="s">
        <v>107</v>
      </c>
      <c r="F48" s="45" t="s">
        <v>108</v>
      </c>
      <c r="G48" s="45" t="s">
        <v>2820</v>
      </c>
      <c r="H48" s="45" t="s">
        <v>901</v>
      </c>
      <c r="I48" s="45" t="s">
        <v>2821</v>
      </c>
      <c r="J48" s="45">
        <v>393925496</v>
      </c>
      <c r="K48" s="45" t="s">
        <v>1686</v>
      </c>
      <c r="L48" s="48">
        <v>2388</v>
      </c>
      <c r="M48" s="79">
        <v>20241121323</v>
      </c>
      <c r="N48" s="50" t="s">
        <v>28</v>
      </c>
      <c r="O48" s="50"/>
      <c r="P48" s="50"/>
      <c r="Q48" s="51"/>
      <c r="R48" s="50"/>
      <c r="S48" s="50"/>
      <c r="T48" s="51"/>
      <c r="U48" s="50"/>
    </row>
    <row r="49" spans="1:21" x14ac:dyDescent="0.25">
      <c r="A49" s="45" t="s">
        <v>29</v>
      </c>
      <c r="B49" s="77">
        <v>45775</v>
      </c>
      <c r="C49" s="45" t="s">
        <v>34</v>
      </c>
      <c r="D49" s="76" t="s">
        <v>244</v>
      </c>
      <c r="E49" s="45" t="s">
        <v>107</v>
      </c>
      <c r="F49" s="45" t="s">
        <v>108</v>
      </c>
      <c r="G49" s="45" t="s">
        <v>229</v>
      </c>
      <c r="H49" s="45" t="s">
        <v>1655</v>
      </c>
      <c r="I49" s="45" t="s">
        <v>2822</v>
      </c>
      <c r="J49" s="45">
        <v>394963995</v>
      </c>
      <c r="K49" s="45" t="s">
        <v>2418</v>
      </c>
      <c r="L49" s="48">
        <v>83</v>
      </c>
      <c r="M49" s="49">
        <v>20241216819</v>
      </c>
      <c r="N49" s="50" t="s">
        <v>28</v>
      </c>
      <c r="O49" s="50"/>
      <c r="P49" s="50"/>
      <c r="Q49" s="51"/>
      <c r="R49" s="50"/>
      <c r="S49" s="50"/>
      <c r="T49" s="51"/>
      <c r="U49" s="50"/>
    </row>
    <row r="50" spans="1:21" x14ac:dyDescent="0.25">
      <c r="A50" s="45" t="s">
        <v>20</v>
      </c>
      <c r="B50" s="77">
        <v>45775</v>
      </c>
      <c r="C50" s="45" t="s">
        <v>34</v>
      </c>
      <c r="D50" s="76" t="s">
        <v>244</v>
      </c>
      <c r="E50" s="45" t="s">
        <v>107</v>
      </c>
      <c r="F50" s="45" t="s">
        <v>108</v>
      </c>
      <c r="G50" s="45" t="s">
        <v>1689</v>
      </c>
      <c r="H50" s="45" t="s">
        <v>2823</v>
      </c>
      <c r="I50" s="45" t="s">
        <v>2824</v>
      </c>
      <c r="J50" s="45">
        <v>395801052</v>
      </c>
      <c r="K50" s="45" t="s">
        <v>840</v>
      </c>
      <c r="L50" s="48">
        <v>24.68</v>
      </c>
      <c r="M50" s="49">
        <v>20241216399</v>
      </c>
      <c r="N50" s="50" t="s">
        <v>28</v>
      </c>
      <c r="O50" s="50"/>
      <c r="P50" s="50"/>
      <c r="Q50" s="51"/>
      <c r="R50" s="50"/>
      <c r="S50" s="50"/>
      <c r="T50" s="51"/>
      <c r="U50" s="50"/>
    </row>
    <row r="51" spans="1:21" x14ac:dyDescent="0.25">
      <c r="A51" s="45" t="s">
        <v>20</v>
      </c>
      <c r="B51" s="77">
        <v>45775</v>
      </c>
      <c r="C51" s="45" t="s">
        <v>34</v>
      </c>
      <c r="D51" s="76" t="s">
        <v>244</v>
      </c>
      <c r="E51" s="45" t="s">
        <v>107</v>
      </c>
      <c r="F51" s="45" t="s">
        <v>108</v>
      </c>
      <c r="G51" s="45" t="s">
        <v>1689</v>
      </c>
      <c r="H51" s="45" t="s">
        <v>2823</v>
      </c>
      <c r="I51" s="45" t="s">
        <v>2824</v>
      </c>
      <c r="J51" s="45">
        <v>395801052</v>
      </c>
      <c r="K51" s="45" t="s">
        <v>1219</v>
      </c>
      <c r="L51" s="48">
        <v>110.42</v>
      </c>
      <c r="M51" s="49">
        <v>20241216402</v>
      </c>
      <c r="N51" s="50" t="s">
        <v>28</v>
      </c>
      <c r="O51" s="50"/>
      <c r="P51" s="50"/>
      <c r="Q51" s="51"/>
      <c r="R51" s="50"/>
      <c r="S51" s="50"/>
      <c r="T51" s="51"/>
      <c r="U51" s="50"/>
    </row>
    <row r="52" spans="1:21" ht="25.5" x14ac:dyDescent="0.25">
      <c r="A52" s="45" t="s">
        <v>756</v>
      </c>
      <c r="B52" s="77">
        <v>45775</v>
      </c>
      <c r="C52" s="45" t="s">
        <v>34</v>
      </c>
      <c r="D52" s="76" t="s">
        <v>244</v>
      </c>
      <c r="E52" s="45" t="s">
        <v>107</v>
      </c>
      <c r="F52" s="45" t="s">
        <v>108</v>
      </c>
      <c r="G52" s="45" t="s">
        <v>1866</v>
      </c>
      <c r="H52" s="45" t="s">
        <v>2168</v>
      </c>
      <c r="I52" s="45" t="s">
        <v>2825</v>
      </c>
      <c r="J52" s="45">
        <v>395881931</v>
      </c>
      <c r="K52" s="45" t="s">
        <v>101</v>
      </c>
      <c r="L52" s="48">
        <v>39.04</v>
      </c>
      <c r="M52" s="49">
        <v>20241216352</v>
      </c>
      <c r="N52" s="50" t="s">
        <v>28</v>
      </c>
      <c r="O52" s="50"/>
      <c r="P52" s="50"/>
      <c r="Q52" s="51"/>
      <c r="R52" s="50"/>
      <c r="S52" s="50"/>
      <c r="T52" s="51"/>
      <c r="U52" s="50"/>
    </row>
    <row r="53" spans="1:21" x14ac:dyDescent="0.25">
      <c r="A53" s="45" t="s">
        <v>29</v>
      </c>
      <c r="B53" s="77">
        <v>45775</v>
      </c>
      <c r="C53" s="45" t="s">
        <v>34</v>
      </c>
      <c r="D53" s="76" t="s">
        <v>244</v>
      </c>
      <c r="E53" s="45" t="s">
        <v>162</v>
      </c>
      <c r="F53" s="45" t="s">
        <v>163</v>
      </c>
      <c r="G53" s="45" t="s">
        <v>148</v>
      </c>
      <c r="H53" s="45" t="s">
        <v>2826</v>
      </c>
      <c r="I53" s="45" t="s">
        <v>2827</v>
      </c>
      <c r="J53" s="45">
        <v>575132549</v>
      </c>
      <c r="K53" s="45" t="s">
        <v>56</v>
      </c>
      <c r="L53" s="48">
        <v>160</v>
      </c>
      <c r="M53" s="49">
        <v>20241107638</v>
      </c>
      <c r="N53" s="50" t="s">
        <v>28</v>
      </c>
      <c r="O53" s="50"/>
      <c r="P53" s="50"/>
      <c r="Q53" s="51"/>
      <c r="R53" s="50"/>
      <c r="S53" s="50"/>
      <c r="T53" s="51"/>
      <c r="U53" s="50"/>
    </row>
    <row r="54" spans="1:21" x14ac:dyDescent="0.25">
      <c r="A54" s="45" t="s">
        <v>20</v>
      </c>
      <c r="B54" s="77">
        <v>45775</v>
      </c>
      <c r="C54" s="45" t="s">
        <v>34</v>
      </c>
      <c r="D54" s="76" t="s">
        <v>244</v>
      </c>
      <c r="E54" s="45" t="s">
        <v>176</v>
      </c>
      <c r="F54" s="45" t="s">
        <v>177</v>
      </c>
      <c r="G54" s="45" t="s">
        <v>30</v>
      </c>
      <c r="H54" s="45" t="s">
        <v>2828</v>
      </c>
      <c r="I54" s="45" t="s">
        <v>2829</v>
      </c>
      <c r="J54" s="45">
        <v>576635966</v>
      </c>
      <c r="K54" s="45" t="s">
        <v>2830</v>
      </c>
      <c r="L54" s="48">
        <v>13.52</v>
      </c>
      <c r="M54" s="49">
        <v>202412161401</v>
      </c>
      <c r="N54" s="50" t="s">
        <v>28</v>
      </c>
      <c r="O54" s="50"/>
      <c r="P54" s="50"/>
      <c r="Q54" s="51"/>
      <c r="R54" s="50"/>
      <c r="S54" s="50"/>
      <c r="T54" s="51"/>
      <c r="U54" s="50"/>
    </row>
    <row r="55" spans="1:21" x14ac:dyDescent="0.25">
      <c r="A55" s="45" t="s">
        <v>20</v>
      </c>
      <c r="B55" s="77">
        <v>45775</v>
      </c>
      <c r="C55" s="45" t="s">
        <v>34</v>
      </c>
      <c r="D55" s="76" t="s">
        <v>244</v>
      </c>
      <c r="E55" s="45" t="s">
        <v>176</v>
      </c>
      <c r="F55" s="45" t="s">
        <v>177</v>
      </c>
      <c r="G55" s="45" t="s">
        <v>2831</v>
      </c>
      <c r="H55" s="45" t="s">
        <v>2832</v>
      </c>
      <c r="I55" s="45" t="s">
        <v>2833</v>
      </c>
      <c r="J55" s="45">
        <v>576654689</v>
      </c>
      <c r="K55" s="45" t="s">
        <v>2585</v>
      </c>
      <c r="L55" s="48">
        <v>101.34</v>
      </c>
      <c r="M55" s="49">
        <v>20241220712</v>
      </c>
      <c r="N55" s="50" t="s">
        <v>28</v>
      </c>
      <c r="O55" s="50"/>
      <c r="P55" s="50"/>
      <c r="Q55" s="51"/>
      <c r="R55" s="50"/>
      <c r="S55" s="50"/>
      <c r="T55" s="51"/>
      <c r="U55" s="50"/>
    </row>
    <row r="56" spans="1:21" ht="60" x14ac:dyDescent="0.25">
      <c r="A56" s="45" t="s">
        <v>20</v>
      </c>
      <c r="B56" s="77">
        <v>45775</v>
      </c>
      <c r="C56" s="45" t="s">
        <v>34</v>
      </c>
      <c r="D56" s="76" t="s">
        <v>244</v>
      </c>
      <c r="E56" s="45" t="s">
        <v>176</v>
      </c>
      <c r="F56" s="45" t="s">
        <v>177</v>
      </c>
      <c r="G56" s="45" t="s">
        <v>2831</v>
      </c>
      <c r="H56" s="45" t="s">
        <v>2832</v>
      </c>
      <c r="I56" s="45" t="s">
        <v>2833</v>
      </c>
      <c r="J56" s="45">
        <v>576654689</v>
      </c>
      <c r="K56" s="45" t="s">
        <v>76</v>
      </c>
      <c r="L56" s="48">
        <v>41.66</v>
      </c>
      <c r="M56" s="49">
        <v>20241219634</v>
      </c>
      <c r="N56" s="50"/>
      <c r="O56" s="50"/>
      <c r="P56" s="50" t="s">
        <v>304</v>
      </c>
      <c r="Q56" s="51" t="s">
        <v>2834</v>
      </c>
      <c r="R56" s="50"/>
      <c r="S56" s="50"/>
      <c r="T56" s="51"/>
      <c r="U56" s="50"/>
    </row>
    <row r="57" spans="1:21" x14ac:dyDescent="0.25">
      <c r="A57" s="45" t="s">
        <v>20</v>
      </c>
      <c r="B57" s="77">
        <v>45775</v>
      </c>
      <c r="C57" s="45" t="s">
        <v>34</v>
      </c>
      <c r="D57" s="76" t="s">
        <v>244</v>
      </c>
      <c r="E57" s="45" t="s">
        <v>176</v>
      </c>
      <c r="F57" s="45" t="s">
        <v>177</v>
      </c>
      <c r="G57" s="45" t="s">
        <v>2831</v>
      </c>
      <c r="H57" s="45" t="s">
        <v>2832</v>
      </c>
      <c r="I57" s="45" t="s">
        <v>2833</v>
      </c>
      <c r="J57" s="45">
        <v>576654689</v>
      </c>
      <c r="K57" s="45" t="s">
        <v>1964</v>
      </c>
      <c r="L57" s="48">
        <v>83.85</v>
      </c>
      <c r="M57" s="49">
        <v>20241220701</v>
      </c>
      <c r="N57" s="50" t="s">
        <v>28</v>
      </c>
      <c r="O57" s="50"/>
      <c r="P57" s="50"/>
      <c r="Q57" s="51"/>
      <c r="R57" s="50"/>
      <c r="S57" s="50"/>
      <c r="T57" s="51"/>
      <c r="U57" s="50"/>
    </row>
    <row r="58" spans="1:21" x14ac:dyDescent="0.25">
      <c r="A58" s="45" t="s">
        <v>20</v>
      </c>
      <c r="B58" s="77">
        <v>45775</v>
      </c>
      <c r="C58" s="45" t="s">
        <v>34</v>
      </c>
      <c r="D58" s="76" t="s">
        <v>244</v>
      </c>
      <c r="E58" s="45" t="s">
        <v>176</v>
      </c>
      <c r="F58" s="45" t="s">
        <v>177</v>
      </c>
      <c r="G58" s="45" t="s">
        <v>2831</v>
      </c>
      <c r="H58" s="45" t="s">
        <v>2832</v>
      </c>
      <c r="I58" s="45" t="s">
        <v>2833</v>
      </c>
      <c r="J58" s="45">
        <v>576654689</v>
      </c>
      <c r="K58" s="45" t="s">
        <v>370</v>
      </c>
      <c r="L58" s="48">
        <v>39.49</v>
      </c>
      <c r="M58" s="49">
        <v>20241220703</v>
      </c>
      <c r="N58" s="50" t="s">
        <v>28</v>
      </c>
      <c r="O58" s="50"/>
      <c r="P58" s="50"/>
      <c r="Q58" s="51"/>
      <c r="R58" s="50"/>
      <c r="S58" s="50"/>
      <c r="T58" s="51"/>
      <c r="U58" s="50"/>
    </row>
    <row r="59" spans="1:21" x14ac:dyDescent="0.25">
      <c r="A59" s="45" t="s">
        <v>20</v>
      </c>
      <c r="B59" s="77">
        <v>45775</v>
      </c>
      <c r="C59" s="45" t="s">
        <v>175</v>
      </c>
      <c r="D59" s="76" t="s">
        <v>244</v>
      </c>
      <c r="E59" s="45" t="s">
        <v>176</v>
      </c>
      <c r="F59" s="45" t="s">
        <v>177</v>
      </c>
      <c r="G59" s="45" t="s">
        <v>2831</v>
      </c>
      <c r="H59" s="45" t="s">
        <v>2832</v>
      </c>
      <c r="I59" s="45" t="s">
        <v>2833</v>
      </c>
      <c r="J59" s="45">
        <v>576654689</v>
      </c>
      <c r="K59" s="45" t="s">
        <v>382</v>
      </c>
      <c r="L59" s="48">
        <v>7.64</v>
      </c>
      <c r="M59" s="49">
        <v>20241220706</v>
      </c>
      <c r="N59" s="50" t="s">
        <v>28</v>
      </c>
      <c r="O59" s="50"/>
      <c r="P59" s="50"/>
      <c r="Q59" s="51"/>
      <c r="R59" s="50"/>
      <c r="S59" s="50"/>
      <c r="T59" s="51"/>
      <c r="U59" s="50"/>
    </row>
    <row r="60" spans="1:21" x14ac:dyDescent="0.25">
      <c r="A60" s="45" t="s">
        <v>20</v>
      </c>
      <c r="B60" s="77">
        <v>45775</v>
      </c>
      <c r="C60" s="45" t="s">
        <v>175</v>
      </c>
      <c r="D60" s="76" t="s">
        <v>244</v>
      </c>
      <c r="E60" s="45" t="s">
        <v>176</v>
      </c>
      <c r="F60" s="45" t="s">
        <v>177</v>
      </c>
      <c r="G60" s="45" t="s">
        <v>2831</v>
      </c>
      <c r="H60" s="45" t="s">
        <v>2832</v>
      </c>
      <c r="I60" s="45" t="s">
        <v>2833</v>
      </c>
      <c r="J60" s="45">
        <v>576654689</v>
      </c>
      <c r="K60" s="45" t="s">
        <v>112</v>
      </c>
      <c r="L60" s="48">
        <v>31.99</v>
      </c>
      <c r="M60" s="49">
        <v>20241220708</v>
      </c>
      <c r="N60" s="50" t="s">
        <v>28</v>
      </c>
      <c r="O60" s="50"/>
      <c r="P60" s="50"/>
      <c r="Q60" s="51"/>
      <c r="R60" s="50"/>
      <c r="S60" s="50"/>
      <c r="T60" s="51"/>
      <c r="U60" s="50"/>
    </row>
    <row r="61" spans="1:21" x14ac:dyDescent="0.25">
      <c r="A61" s="45" t="s">
        <v>20</v>
      </c>
      <c r="B61" s="77">
        <v>45775</v>
      </c>
      <c r="C61" s="45" t="s">
        <v>175</v>
      </c>
      <c r="D61" s="76" t="s">
        <v>244</v>
      </c>
      <c r="E61" s="45" t="s">
        <v>176</v>
      </c>
      <c r="F61" s="45" t="s">
        <v>177</v>
      </c>
      <c r="G61" s="45" t="s">
        <v>2831</v>
      </c>
      <c r="H61" s="45" t="s">
        <v>2832</v>
      </c>
      <c r="I61" s="45" t="s">
        <v>2833</v>
      </c>
      <c r="J61" s="45">
        <v>576654689</v>
      </c>
      <c r="K61" s="45" t="s">
        <v>2455</v>
      </c>
      <c r="L61" s="48">
        <v>167.52</v>
      </c>
      <c r="M61" s="49">
        <v>20241219648</v>
      </c>
      <c r="N61" s="50" t="s">
        <v>28</v>
      </c>
      <c r="O61" s="50"/>
      <c r="P61" s="50"/>
      <c r="Q61" s="51"/>
      <c r="R61" s="50"/>
      <c r="S61" s="50"/>
      <c r="T61" s="51"/>
      <c r="U61" s="50"/>
    </row>
    <row r="62" spans="1:21" x14ac:dyDescent="0.25">
      <c r="A62" s="45" t="s">
        <v>20</v>
      </c>
      <c r="B62" s="77">
        <v>45775</v>
      </c>
      <c r="C62" s="45" t="s">
        <v>175</v>
      </c>
      <c r="D62" s="76" t="s">
        <v>244</v>
      </c>
      <c r="E62" s="45" t="s">
        <v>176</v>
      </c>
      <c r="F62" s="45" t="s">
        <v>177</v>
      </c>
      <c r="G62" s="45" t="s">
        <v>2831</v>
      </c>
      <c r="H62" s="45" t="s">
        <v>2832</v>
      </c>
      <c r="I62" s="45" t="s">
        <v>2833</v>
      </c>
      <c r="J62" s="45">
        <v>576654689</v>
      </c>
      <c r="K62" s="45" t="s">
        <v>382</v>
      </c>
      <c r="L62" s="48">
        <v>21.08</v>
      </c>
      <c r="M62" s="49">
        <v>20241219637</v>
      </c>
      <c r="N62" s="50" t="s">
        <v>28</v>
      </c>
      <c r="O62" s="50"/>
      <c r="P62" s="50"/>
      <c r="Q62" s="51"/>
      <c r="R62" s="50"/>
      <c r="S62" s="50"/>
      <c r="T62" s="51"/>
      <c r="U62" s="50"/>
    </row>
    <row r="63" spans="1:21" x14ac:dyDescent="0.25">
      <c r="A63" s="45" t="s">
        <v>20</v>
      </c>
      <c r="B63" s="77">
        <v>45775</v>
      </c>
      <c r="C63" s="45" t="s">
        <v>175</v>
      </c>
      <c r="D63" s="76" t="s">
        <v>244</v>
      </c>
      <c r="E63" s="45" t="s">
        <v>176</v>
      </c>
      <c r="F63" s="45" t="s">
        <v>177</v>
      </c>
      <c r="G63" s="45" t="s">
        <v>2831</v>
      </c>
      <c r="H63" s="45" t="s">
        <v>2832</v>
      </c>
      <c r="I63" s="45" t="s">
        <v>2833</v>
      </c>
      <c r="J63" s="45">
        <v>576654689</v>
      </c>
      <c r="K63" s="45" t="s">
        <v>382</v>
      </c>
      <c r="L63" s="48">
        <v>38.82</v>
      </c>
      <c r="M63" s="49">
        <v>20241219638</v>
      </c>
      <c r="N63" s="50" t="s">
        <v>28</v>
      </c>
      <c r="O63" s="50"/>
      <c r="P63" s="50"/>
      <c r="Q63" s="51"/>
      <c r="R63" s="50"/>
      <c r="S63" s="50"/>
      <c r="T63" s="51"/>
      <c r="U63" s="50"/>
    </row>
    <row r="64" spans="1:21" x14ac:dyDescent="0.25">
      <c r="A64" s="45" t="s">
        <v>29</v>
      </c>
      <c r="B64" s="77">
        <v>45775</v>
      </c>
      <c r="C64" s="45" t="s">
        <v>175</v>
      </c>
      <c r="D64" s="76" t="s">
        <v>244</v>
      </c>
      <c r="E64" s="45" t="s">
        <v>176</v>
      </c>
      <c r="F64" s="45" t="s">
        <v>177</v>
      </c>
      <c r="G64" s="45" t="s">
        <v>2831</v>
      </c>
      <c r="H64" s="45" t="s">
        <v>2832</v>
      </c>
      <c r="I64" s="45" t="s">
        <v>2833</v>
      </c>
      <c r="J64" s="45">
        <v>576654689</v>
      </c>
      <c r="K64" s="45" t="s">
        <v>422</v>
      </c>
      <c r="L64" s="48">
        <v>120</v>
      </c>
      <c r="M64" s="49">
        <v>20241219644</v>
      </c>
      <c r="N64" s="50" t="s">
        <v>28</v>
      </c>
      <c r="O64" s="50"/>
      <c r="P64" s="50"/>
      <c r="Q64" s="51"/>
      <c r="R64" s="50"/>
      <c r="S64" s="50"/>
      <c r="T64" s="51"/>
      <c r="U64" s="50"/>
    </row>
    <row r="65" spans="1:21" x14ac:dyDescent="0.25">
      <c r="A65" s="45" t="s">
        <v>29</v>
      </c>
      <c r="B65" s="77">
        <v>45775</v>
      </c>
      <c r="C65" s="45" t="s">
        <v>175</v>
      </c>
      <c r="D65" s="76" t="s">
        <v>244</v>
      </c>
      <c r="E65" s="45" t="s">
        <v>176</v>
      </c>
      <c r="F65" s="45" t="s">
        <v>177</v>
      </c>
      <c r="G65" s="45" t="s">
        <v>2831</v>
      </c>
      <c r="H65" s="45" t="s">
        <v>2832</v>
      </c>
      <c r="I65" s="45" t="s">
        <v>2833</v>
      </c>
      <c r="J65" s="45">
        <v>576654689</v>
      </c>
      <c r="K65" s="45" t="s">
        <v>318</v>
      </c>
      <c r="L65" s="48">
        <v>120</v>
      </c>
      <c r="M65" s="49">
        <v>20241219641</v>
      </c>
      <c r="N65" s="50" t="s">
        <v>28</v>
      </c>
      <c r="O65" s="50"/>
      <c r="P65" s="50"/>
      <c r="Q65" s="51"/>
      <c r="R65" s="50"/>
      <c r="S65" s="50"/>
      <c r="T65" s="51"/>
      <c r="U65" s="50"/>
    </row>
    <row r="66" spans="1:21" x14ac:dyDescent="0.25">
      <c r="A66" s="45" t="s">
        <v>29</v>
      </c>
      <c r="B66" s="77">
        <v>45775</v>
      </c>
      <c r="C66" s="45" t="s">
        <v>175</v>
      </c>
      <c r="D66" s="76" t="s">
        <v>244</v>
      </c>
      <c r="E66" s="45" t="s">
        <v>176</v>
      </c>
      <c r="F66" s="45" t="s">
        <v>177</v>
      </c>
      <c r="G66" s="45" t="s">
        <v>2831</v>
      </c>
      <c r="H66" s="45" t="s">
        <v>2832</v>
      </c>
      <c r="I66" s="45" t="s">
        <v>2833</v>
      </c>
      <c r="J66" s="45">
        <v>576654689</v>
      </c>
      <c r="K66" s="45" t="s">
        <v>972</v>
      </c>
      <c r="L66" s="48">
        <v>120</v>
      </c>
      <c r="M66" s="49">
        <v>20241219643</v>
      </c>
      <c r="N66" s="50" t="s">
        <v>28</v>
      </c>
      <c r="O66" s="50"/>
      <c r="P66" s="50"/>
      <c r="Q66" s="51"/>
      <c r="R66" s="50"/>
      <c r="S66" s="50"/>
      <c r="T66" s="51"/>
      <c r="U66" s="50"/>
    </row>
    <row r="67" spans="1:21" x14ac:dyDescent="0.25">
      <c r="A67" s="45" t="s">
        <v>29</v>
      </c>
      <c r="B67" s="77">
        <v>45775</v>
      </c>
      <c r="C67" s="45" t="s">
        <v>175</v>
      </c>
      <c r="D67" s="76" t="s">
        <v>244</v>
      </c>
      <c r="E67" s="45" t="s">
        <v>176</v>
      </c>
      <c r="F67" s="45" t="s">
        <v>177</v>
      </c>
      <c r="G67" s="45" t="s">
        <v>2831</v>
      </c>
      <c r="H67" s="45" t="s">
        <v>2832</v>
      </c>
      <c r="I67" s="45" t="s">
        <v>2833</v>
      </c>
      <c r="J67" s="45">
        <v>576654689</v>
      </c>
      <c r="K67" s="45" t="s">
        <v>241</v>
      </c>
      <c r="L67" s="48">
        <v>120</v>
      </c>
      <c r="M67" s="49">
        <v>20241219646</v>
      </c>
      <c r="N67" s="50" t="s">
        <v>28</v>
      </c>
      <c r="O67" s="50"/>
      <c r="P67" s="50"/>
      <c r="Q67" s="51"/>
      <c r="R67" s="50"/>
      <c r="S67" s="50"/>
      <c r="T67" s="51"/>
      <c r="U67" s="50"/>
    </row>
    <row r="68" spans="1:21" x14ac:dyDescent="0.25">
      <c r="A68" s="45" t="s">
        <v>29</v>
      </c>
      <c r="B68" s="77">
        <v>45775</v>
      </c>
      <c r="C68" s="45" t="s">
        <v>175</v>
      </c>
      <c r="D68" s="76" t="s">
        <v>244</v>
      </c>
      <c r="E68" s="45" t="s">
        <v>176</v>
      </c>
      <c r="F68" s="45" t="s">
        <v>177</v>
      </c>
      <c r="G68" s="45" t="s">
        <v>2831</v>
      </c>
      <c r="H68" s="45" t="s">
        <v>2832</v>
      </c>
      <c r="I68" s="45" t="s">
        <v>2833</v>
      </c>
      <c r="J68" s="45">
        <v>576654689</v>
      </c>
      <c r="K68" s="45" t="s">
        <v>232</v>
      </c>
      <c r="L68" s="48">
        <v>25</v>
      </c>
      <c r="M68" s="49">
        <v>20241219647</v>
      </c>
      <c r="N68" s="50" t="s">
        <v>28</v>
      </c>
      <c r="O68" s="50"/>
      <c r="P68" s="50"/>
      <c r="Q68" s="51"/>
      <c r="R68" s="50"/>
      <c r="S68" s="50"/>
      <c r="T68" s="51"/>
      <c r="U68" s="50"/>
    </row>
    <row r="69" spans="1:21" x14ac:dyDescent="0.25">
      <c r="A69" s="45" t="s">
        <v>20</v>
      </c>
      <c r="B69" s="46">
        <v>45765</v>
      </c>
      <c r="C69" s="45" t="s">
        <v>175</v>
      </c>
      <c r="D69" s="47" t="s">
        <v>168</v>
      </c>
      <c r="E69" s="45" t="s">
        <v>1631</v>
      </c>
      <c r="F69" s="45" t="s">
        <v>1122</v>
      </c>
      <c r="G69" s="45" t="s">
        <v>1428</v>
      </c>
      <c r="H69" s="45" t="s">
        <v>264</v>
      </c>
      <c r="I69" s="45" t="s">
        <v>2835</v>
      </c>
      <c r="J69" s="45">
        <v>462316639</v>
      </c>
      <c r="K69" s="45" t="s">
        <v>859</v>
      </c>
      <c r="L69" s="48">
        <v>68.900000000000006</v>
      </c>
      <c r="M69" s="49">
        <v>20241115280</v>
      </c>
      <c r="N69" s="50" t="s">
        <v>28</v>
      </c>
      <c r="O69" s="50"/>
      <c r="P69" s="50"/>
      <c r="Q69" s="51"/>
      <c r="R69" s="50"/>
      <c r="S69" s="50"/>
      <c r="T69" s="51"/>
      <c r="U69" s="50"/>
    </row>
    <row r="70" spans="1:21" ht="45" x14ac:dyDescent="0.25">
      <c r="A70" s="45" t="s">
        <v>29</v>
      </c>
      <c r="B70" s="46">
        <v>45765</v>
      </c>
      <c r="C70" s="45" t="s">
        <v>175</v>
      </c>
      <c r="D70" s="47" t="s">
        <v>168</v>
      </c>
      <c r="E70" s="45" t="s">
        <v>208</v>
      </c>
      <c r="F70" s="45" t="s">
        <v>209</v>
      </c>
      <c r="G70" s="45" t="s">
        <v>1339</v>
      </c>
      <c r="H70" s="45" t="s">
        <v>2836</v>
      </c>
      <c r="I70" s="45" t="s">
        <v>1167</v>
      </c>
      <c r="J70" s="45">
        <v>556470359</v>
      </c>
      <c r="K70" s="45" t="s">
        <v>1358</v>
      </c>
      <c r="L70" s="48">
        <v>250</v>
      </c>
      <c r="M70" s="49">
        <v>20241216287</v>
      </c>
      <c r="N70" s="50"/>
      <c r="O70" s="50"/>
      <c r="P70" s="50" t="s">
        <v>304</v>
      </c>
      <c r="Q70" s="51" t="s">
        <v>2837</v>
      </c>
      <c r="R70" s="50"/>
      <c r="S70" s="50"/>
      <c r="T70" s="51"/>
      <c r="U70" s="50"/>
    </row>
    <row r="71" spans="1:21" x14ac:dyDescent="0.25">
      <c r="A71" s="45" t="s">
        <v>20</v>
      </c>
      <c r="B71" s="46">
        <v>45765</v>
      </c>
      <c r="C71" s="45" t="s">
        <v>175</v>
      </c>
      <c r="D71" s="47" t="s">
        <v>168</v>
      </c>
      <c r="E71" s="45" t="s">
        <v>208</v>
      </c>
      <c r="F71" s="45" t="s">
        <v>209</v>
      </c>
      <c r="G71" s="45" t="s">
        <v>1339</v>
      </c>
      <c r="H71" s="45" t="s">
        <v>2836</v>
      </c>
      <c r="I71" s="45" t="s">
        <v>1167</v>
      </c>
      <c r="J71" s="45">
        <v>556470359</v>
      </c>
      <c r="K71" s="45" t="s">
        <v>106</v>
      </c>
      <c r="L71" s="48">
        <v>12.04</v>
      </c>
      <c r="M71" s="49">
        <v>20241216263</v>
      </c>
      <c r="N71" s="50" t="s">
        <v>28</v>
      </c>
      <c r="O71" s="50"/>
      <c r="P71" s="50"/>
      <c r="Q71" s="51"/>
      <c r="R71" s="50"/>
      <c r="S71" s="50"/>
      <c r="T71" s="51"/>
      <c r="U71" s="50"/>
    </row>
    <row r="72" spans="1:21" x14ac:dyDescent="0.25">
      <c r="A72" s="45" t="s">
        <v>20</v>
      </c>
      <c r="B72" s="46">
        <v>45765</v>
      </c>
      <c r="C72" s="45" t="s">
        <v>175</v>
      </c>
      <c r="D72" s="47" t="s">
        <v>168</v>
      </c>
      <c r="E72" s="45" t="s">
        <v>208</v>
      </c>
      <c r="F72" s="45" t="s">
        <v>209</v>
      </c>
      <c r="G72" s="45" t="s">
        <v>1339</v>
      </c>
      <c r="H72" s="45" t="s">
        <v>2836</v>
      </c>
      <c r="I72" s="45" t="s">
        <v>1167</v>
      </c>
      <c r="J72" s="45">
        <v>556470359</v>
      </c>
      <c r="K72" s="45" t="s">
        <v>2735</v>
      </c>
      <c r="L72" s="48">
        <v>14</v>
      </c>
      <c r="M72" s="49">
        <v>20241216375</v>
      </c>
      <c r="N72" s="50" t="s">
        <v>28</v>
      </c>
      <c r="O72" s="50"/>
      <c r="P72" s="50"/>
      <c r="Q72" s="51"/>
      <c r="R72" s="50"/>
      <c r="S72" s="50"/>
      <c r="T72" s="51"/>
      <c r="U72" s="50"/>
    </row>
    <row r="73" spans="1:21" x14ac:dyDescent="0.25">
      <c r="A73" s="45" t="s">
        <v>20</v>
      </c>
      <c r="B73" s="46">
        <v>45765</v>
      </c>
      <c r="C73" s="45" t="s">
        <v>175</v>
      </c>
      <c r="D73" s="47" t="s">
        <v>168</v>
      </c>
      <c r="E73" s="45" t="s">
        <v>208</v>
      </c>
      <c r="F73" s="45" t="s">
        <v>209</v>
      </c>
      <c r="G73" s="45" t="s">
        <v>2622</v>
      </c>
      <c r="H73" s="45" t="s">
        <v>84</v>
      </c>
      <c r="I73" s="45" t="s">
        <v>2318</v>
      </c>
      <c r="J73" s="45">
        <v>557914843</v>
      </c>
      <c r="K73" s="45" t="s">
        <v>2838</v>
      </c>
      <c r="L73" s="48">
        <v>55.71</v>
      </c>
      <c r="M73" s="49">
        <v>20241217808</v>
      </c>
      <c r="N73" s="50" t="s">
        <v>28</v>
      </c>
      <c r="O73" s="50"/>
      <c r="P73" s="50"/>
      <c r="Q73" s="51"/>
      <c r="R73" s="50"/>
      <c r="S73" s="50"/>
      <c r="T73" s="51"/>
      <c r="U73" s="50"/>
    </row>
    <row r="74" spans="1:21" x14ac:dyDescent="0.25">
      <c r="A74" s="45" t="s">
        <v>20</v>
      </c>
      <c r="B74" s="46">
        <v>45765</v>
      </c>
      <c r="C74" s="45" t="s">
        <v>352</v>
      </c>
      <c r="D74" s="47" t="s">
        <v>168</v>
      </c>
      <c r="E74" s="45" t="s">
        <v>208</v>
      </c>
      <c r="F74" s="45" t="s">
        <v>209</v>
      </c>
      <c r="G74" s="45" t="s">
        <v>2622</v>
      </c>
      <c r="H74" s="45" t="s">
        <v>84</v>
      </c>
      <c r="I74" s="45" t="s">
        <v>2318</v>
      </c>
      <c r="J74" s="45">
        <v>557914843</v>
      </c>
      <c r="K74" s="45" t="s">
        <v>2720</v>
      </c>
      <c r="L74" s="48">
        <v>22.24</v>
      </c>
      <c r="M74" s="49">
        <v>20241217805</v>
      </c>
      <c r="N74" s="50" t="s">
        <v>28</v>
      </c>
      <c r="O74" s="50"/>
      <c r="P74" s="50"/>
      <c r="Q74" s="51"/>
      <c r="R74" s="50"/>
      <c r="S74" s="50"/>
      <c r="T74" s="51"/>
      <c r="U74" s="50"/>
    </row>
    <row r="75" spans="1:21" x14ac:dyDescent="0.25">
      <c r="A75" s="45" t="s">
        <v>29</v>
      </c>
      <c r="B75" s="46">
        <v>45765</v>
      </c>
      <c r="C75" s="45" t="s">
        <v>352</v>
      </c>
      <c r="D75" s="47" t="s">
        <v>168</v>
      </c>
      <c r="E75" s="45" t="s">
        <v>208</v>
      </c>
      <c r="F75" s="45" t="s">
        <v>209</v>
      </c>
      <c r="G75" s="45" t="s">
        <v>109</v>
      </c>
      <c r="H75" s="45" t="s">
        <v>2318</v>
      </c>
      <c r="I75" s="45" t="s">
        <v>2839</v>
      </c>
      <c r="J75" s="45">
        <v>558973932</v>
      </c>
      <c r="K75" s="45" t="s">
        <v>2418</v>
      </c>
      <c r="L75" s="48">
        <v>175</v>
      </c>
      <c r="M75" s="49">
        <v>20241216602</v>
      </c>
      <c r="N75" s="50" t="s">
        <v>28</v>
      </c>
      <c r="O75" s="50"/>
      <c r="P75" s="50"/>
      <c r="Q75" s="51"/>
      <c r="R75" s="50"/>
      <c r="S75" s="50"/>
      <c r="T75" s="51"/>
      <c r="U75" s="50"/>
    </row>
    <row r="76" spans="1:21" x14ac:dyDescent="0.25">
      <c r="A76" s="45" t="s">
        <v>70</v>
      </c>
      <c r="B76" s="46">
        <v>45765</v>
      </c>
      <c r="C76" s="45" t="s">
        <v>352</v>
      </c>
      <c r="D76" s="47" t="s">
        <v>168</v>
      </c>
      <c r="E76" s="45" t="s">
        <v>208</v>
      </c>
      <c r="F76" s="45" t="s">
        <v>209</v>
      </c>
      <c r="G76" s="45" t="s">
        <v>274</v>
      </c>
      <c r="H76" s="45" t="s">
        <v>377</v>
      </c>
      <c r="I76" s="45" t="s">
        <v>2840</v>
      </c>
      <c r="J76" s="45">
        <v>559590177</v>
      </c>
      <c r="K76" s="45" t="s">
        <v>160</v>
      </c>
      <c r="L76" s="48">
        <v>105</v>
      </c>
      <c r="M76" s="49">
        <v>20241216884</v>
      </c>
      <c r="N76" s="50" t="s">
        <v>28</v>
      </c>
      <c r="O76" s="50"/>
      <c r="P76" s="50"/>
      <c r="Q76" s="51"/>
      <c r="R76" s="50"/>
      <c r="S76" s="50"/>
      <c r="T76" s="51"/>
      <c r="U76" s="50"/>
    </row>
    <row r="77" spans="1:21" x14ac:dyDescent="0.25">
      <c r="A77" s="45" t="s">
        <v>70</v>
      </c>
      <c r="B77" s="46">
        <v>45765</v>
      </c>
      <c r="C77" s="45" t="s">
        <v>352</v>
      </c>
      <c r="D77" s="47" t="s">
        <v>168</v>
      </c>
      <c r="E77" s="45" t="s">
        <v>208</v>
      </c>
      <c r="F77" s="45" t="s">
        <v>209</v>
      </c>
      <c r="G77" s="45" t="s">
        <v>274</v>
      </c>
      <c r="H77" s="45" t="s">
        <v>377</v>
      </c>
      <c r="I77" s="45" t="s">
        <v>2840</v>
      </c>
      <c r="J77" s="45">
        <v>559590177</v>
      </c>
      <c r="K77" s="45" t="s">
        <v>48</v>
      </c>
      <c r="L77" s="48">
        <v>105</v>
      </c>
      <c r="M77" s="49">
        <v>202412161023</v>
      </c>
      <c r="N77" s="50" t="s">
        <v>28</v>
      </c>
      <c r="O77" s="50"/>
      <c r="P77" s="50"/>
      <c r="Q77" s="51"/>
      <c r="R77" s="50"/>
      <c r="S77" s="50"/>
      <c r="T77" s="51"/>
      <c r="U77" s="50"/>
    </row>
    <row r="78" spans="1:21" x14ac:dyDescent="0.25">
      <c r="A78" s="45" t="s">
        <v>70</v>
      </c>
      <c r="B78" s="46">
        <v>45765</v>
      </c>
      <c r="C78" s="45" t="s">
        <v>352</v>
      </c>
      <c r="D78" s="47" t="s">
        <v>168</v>
      </c>
      <c r="E78" s="45" t="s">
        <v>208</v>
      </c>
      <c r="F78" s="45" t="s">
        <v>209</v>
      </c>
      <c r="G78" s="45" t="s">
        <v>274</v>
      </c>
      <c r="H78" s="45" t="s">
        <v>377</v>
      </c>
      <c r="I78" s="45" t="s">
        <v>2840</v>
      </c>
      <c r="J78" s="45">
        <v>559590177</v>
      </c>
      <c r="K78" s="45" t="s">
        <v>1358</v>
      </c>
      <c r="L78" s="48">
        <v>105</v>
      </c>
      <c r="M78" s="49">
        <v>20241216766</v>
      </c>
      <c r="N78" s="50" t="s">
        <v>28</v>
      </c>
      <c r="O78" s="50"/>
      <c r="P78" s="50"/>
      <c r="Q78" s="51"/>
      <c r="R78" s="50"/>
      <c r="S78" s="50"/>
      <c r="T78" s="51"/>
      <c r="U78" s="50"/>
    </row>
    <row r="79" spans="1:21" x14ac:dyDescent="0.25">
      <c r="A79" s="45" t="s">
        <v>70</v>
      </c>
      <c r="B79" s="46">
        <v>45765</v>
      </c>
      <c r="C79" s="45" t="s">
        <v>352</v>
      </c>
      <c r="D79" s="47" t="s">
        <v>168</v>
      </c>
      <c r="E79" s="45" t="s">
        <v>208</v>
      </c>
      <c r="F79" s="45" t="s">
        <v>209</v>
      </c>
      <c r="G79" s="45" t="s">
        <v>274</v>
      </c>
      <c r="H79" s="45" t="s">
        <v>377</v>
      </c>
      <c r="I79" s="45" t="s">
        <v>2840</v>
      </c>
      <c r="J79" s="45">
        <v>559590177</v>
      </c>
      <c r="K79" s="45" t="s">
        <v>56</v>
      </c>
      <c r="L79" s="48">
        <v>105</v>
      </c>
      <c r="M79" s="49">
        <v>20241216723</v>
      </c>
      <c r="N79" s="50" t="s">
        <v>28</v>
      </c>
      <c r="O79" s="50"/>
      <c r="P79" s="50"/>
      <c r="Q79" s="51"/>
      <c r="R79" s="50"/>
      <c r="S79" s="50"/>
      <c r="T79" s="51"/>
      <c r="U79" s="50"/>
    </row>
    <row r="80" spans="1:21" x14ac:dyDescent="0.25">
      <c r="A80" s="45" t="s">
        <v>70</v>
      </c>
      <c r="B80" s="46">
        <v>45765</v>
      </c>
      <c r="C80" s="45" t="s">
        <v>352</v>
      </c>
      <c r="D80" s="47" t="s">
        <v>168</v>
      </c>
      <c r="E80" s="45" t="s">
        <v>208</v>
      </c>
      <c r="F80" s="45" t="s">
        <v>209</v>
      </c>
      <c r="G80" s="45" t="s">
        <v>274</v>
      </c>
      <c r="H80" s="45" t="s">
        <v>377</v>
      </c>
      <c r="I80" s="45" t="s">
        <v>2840</v>
      </c>
      <c r="J80" s="45">
        <v>559590177</v>
      </c>
      <c r="K80" s="45" t="s">
        <v>2418</v>
      </c>
      <c r="L80" s="48">
        <v>105</v>
      </c>
      <c r="M80" s="49">
        <v>202412161022</v>
      </c>
      <c r="N80" s="50" t="s">
        <v>28</v>
      </c>
      <c r="O80" s="50"/>
      <c r="P80" s="50"/>
      <c r="Q80" s="51"/>
      <c r="R80" s="50"/>
      <c r="S80" s="50"/>
      <c r="T80" s="51"/>
      <c r="U80" s="50"/>
    </row>
    <row r="81" spans="1:21" x14ac:dyDescent="0.25">
      <c r="A81" s="45" t="s">
        <v>29</v>
      </c>
      <c r="B81" s="46">
        <v>45765</v>
      </c>
      <c r="C81" s="45" t="s">
        <v>352</v>
      </c>
      <c r="D81" s="47" t="s">
        <v>168</v>
      </c>
      <c r="E81" s="45" t="s">
        <v>208</v>
      </c>
      <c r="F81" s="45" t="s">
        <v>209</v>
      </c>
      <c r="G81" s="45" t="s">
        <v>2547</v>
      </c>
      <c r="H81" s="45" t="s">
        <v>2841</v>
      </c>
      <c r="I81" s="45" t="s">
        <v>2842</v>
      </c>
      <c r="J81" s="45">
        <v>563877318</v>
      </c>
      <c r="K81" s="45" t="s">
        <v>2372</v>
      </c>
      <c r="L81" s="48">
        <v>329</v>
      </c>
      <c r="M81" s="49">
        <v>20241216210</v>
      </c>
      <c r="N81" s="50" t="s">
        <v>28</v>
      </c>
      <c r="O81" s="50"/>
      <c r="P81" s="50"/>
      <c r="Q81" s="51"/>
      <c r="R81" s="50"/>
      <c r="S81" s="50"/>
      <c r="T81" s="51"/>
      <c r="U81" s="50"/>
    </row>
    <row r="82" spans="1:21" x14ac:dyDescent="0.25">
      <c r="A82" s="45" t="s">
        <v>29</v>
      </c>
      <c r="B82" s="46">
        <v>45765</v>
      </c>
      <c r="C82" s="45" t="s">
        <v>352</v>
      </c>
      <c r="D82" s="47" t="s">
        <v>168</v>
      </c>
      <c r="E82" s="45" t="s">
        <v>208</v>
      </c>
      <c r="F82" s="45" t="s">
        <v>209</v>
      </c>
      <c r="G82" s="45" t="s">
        <v>2547</v>
      </c>
      <c r="H82" s="45" t="s">
        <v>2841</v>
      </c>
      <c r="I82" s="45" t="s">
        <v>2842</v>
      </c>
      <c r="J82" s="45">
        <v>563877318</v>
      </c>
      <c r="K82" s="45" t="s">
        <v>2372</v>
      </c>
      <c r="L82" s="48">
        <v>313.95</v>
      </c>
      <c r="M82" s="49">
        <v>20241216216</v>
      </c>
      <c r="N82" s="50" t="s">
        <v>28</v>
      </c>
      <c r="O82" s="50"/>
      <c r="P82" s="50"/>
      <c r="Q82" s="51"/>
      <c r="R82" s="50"/>
      <c r="S82" s="50"/>
      <c r="T82" s="51"/>
      <c r="U82" s="50"/>
    </row>
    <row r="83" spans="1:21" x14ac:dyDescent="0.25">
      <c r="A83" s="45" t="s">
        <v>324</v>
      </c>
      <c r="B83" s="46">
        <v>45775</v>
      </c>
      <c r="C83" s="45" t="s">
        <v>175</v>
      </c>
      <c r="D83" s="47" t="s">
        <v>244</v>
      </c>
      <c r="E83" s="45" t="s">
        <v>208</v>
      </c>
      <c r="F83" s="45" t="s">
        <v>209</v>
      </c>
      <c r="G83" s="45" t="s">
        <v>274</v>
      </c>
      <c r="H83" s="45" t="s">
        <v>938</v>
      </c>
      <c r="I83" s="45" t="s">
        <v>2843</v>
      </c>
      <c r="J83" s="45">
        <v>566753621</v>
      </c>
      <c r="K83" s="45" t="s">
        <v>2664</v>
      </c>
      <c r="L83" s="48">
        <v>74.98</v>
      </c>
      <c r="M83" s="49">
        <v>20241216957</v>
      </c>
      <c r="N83" s="50" t="s">
        <v>28</v>
      </c>
      <c r="O83" s="50"/>
      <c r="P83" s="50"/>
      <c r="Q83" s="51"/>
      <c r="R83" s="50"/>
      <c r="S83" s="50"/>
      <c r="T83" s="51"/>
      <c r="U83" s="50"/>
    </row>
    <row r="84" spans="1:21" x14ac:dyDescent="0.25">
      <c r="A84" s="45" t="s">
        <v>324</v>
      </c>
      <c r="B84" s="77">
        <v>45775</v>
      </c>
      <c r="C84" s="45" t="s">
        <v>175</v>
      </c>
      <c r="D84" s="47" t="s">
        <v>244</v>
      </c>
      <c r="E84" s="45" t="s">
        <v>208</v>
      </c>
      <c r="F84" s="45" t="s">
        <v>209</v>
      </c>
      <c r="G84" s="45" t="s">
        <v>274</v>
      </c>
      <c r="H84" s="45" t="s">
        <v>938</v>
      </c>
      <c r="I84" s="45" t="s">
        <v>2843</v>
      </c>
      <c r="J84" s="45">
        <v>566753621</v>
      </c>
      <c r="K84" s="45" t="s">
        <v>2618</v>
      </c>
      <c r="L84" s="48">
        <v>43.29</v>
      </c>
      <c r="M84" s="49">
        <v>202412161041</v>
      </c>
      <c r="N84" s="50" t="s">
        <v>28</v>
      </c>
      <c r="O84" s="50"/>
      <c r="P84" s="50"/>
      <c r="Q84" s="51"/>
      <c r="R84" s="50"/>
      <c r="S84" s="50"/>
      <c r="T84" s="51"/>
      <c r="U84" s="50"/>
    </row>
    <row r="85" spans="1:21" x14ac:dyDescent="0.25">
      <c r="A85" s="45" t="s">
        <v>1283</v>
      </c>
      <c r="B85" s="77">
        <v>45775</v>
      </c>
      <c r="C85" s="45" t="s">
        <v>352</v>
      </c>
      <c r="D85" s="76" t="s">
        <v>244</v>
      </c>
      <c r="E85" s="45" t="s">
        <v>245</v>
      </c>
      <c r="F85" s="45" t="s">
        <v>246</v>
      </c>
      <c r="G85" s="45" t="s">
        <v>1284</v>
      </c>
      <c r="H85" s="45" t="s">
        <v>2844</v>
      </c>
      <c r="I85" s="45" t="s">
        <v>2845</v>
      </c>
      <c r="J85" s="45">
        <v>519234763</v>
      </c>
      <c r="K85" s="45" t="s">
        <v>2846</v>
      </c>
      <c r="L85" s="48">
        <v>180</v>
      </c>
      <c r="M85" s="49">
        <v>20241220799</v>
      </c>
      <c r="N85" s="50" t="s">
        <v>28</v>
      </c>
      <c r="O85" s="50"/>
      <c r="P85" s="50"/>
      <c r="Q85" s="51"/>
      <c r="R85" s="50"/>
      <c r="S85" s="50"/>
      <c r="T85" s="51"/>
      <c r="U85" s="50"/>
    </row>
    <row r="86" spans="1:21" x14ac:dyDescent="0.25">
      <c r="A86" s="45" t="s">
        <v>1283</v>
      </c>
      <c r="B86" s="77">
        <v>45775</v>
      </c>
      <c r="C86" s="45" t="s">
        <v>352</v>
      </c>
      <c r="D86" s="76" t="s">
        <v>244</v>
      </c>
      <c r="E86" s="45" t="s">
        <v>245</v>
      </c>
      <c r="F86" s="45" t="s">
        <v>246</v>
      </c>
      <c r="G86" s="45" t="s">
        <v>1284</v>
      </c>
      <c r="H86" s="45" t="s">
        <v>2844</v>
      </c>
      <c r="I86" s="45" t="s">
        <v>2845</v>
      </c>
      <c r="J86" s="45">
        <v>519234763</v>
      </c>
      <c r="K86" s="45" t="s">
        <v>33</v>
      </c>
      <c r="L86" s="48">
        <v>948.93</v>
      </c>
      <c r="M86" s="49">
        <v>20241220765</v>
      </c>
      <c r="N86" s="50" t="s">
        <v>28</v>
      </c>
      <c r="O86" s="50"/>
      <c r="P86" s="50"/>
      <c r="Q86" s="51"/>
      <c r="R86" s="50"/>
      <c r="S86" s="50"/>
      <c r="T86" s="51"/>
      <c r="U86" s="50"/>
    </row>
    <row r="87" spans="1:21" x14ac:dyDescent="0.25">
      <c r="A87" s="45" t="s">
        <v>1283</v>
      </c>
      <c r="B87" s="77">
        <v>45775</v>
      </c>
      <c r="C87" s="45" t="s">
        <v>352</v>
      </c>
      <c r="D87" s="76" t="s">
        <v>244</v>
      </c>
      <c r="E87" s="45" t="s">
        <v>245</v>
      </c>
      <c r="F87" s="45" t="s">
        <v>246</v>
      </c>
      <c r="G87" s="45" t="s">
        <v>1284</v>
      </c>
      <c r="H87" s="45" t="s">
        <v>2844</v>
      </c>
      <c r="I87" s="45" t="s">
        <v>2845</v>
      </c>
      <c r="J87" s="45">
        <v>519234763</v>
      </c>
      <c r="K87" s="45" t="s">
        <v>2079</v>
      </c>
      <c r="L87" s="48">
        <v>50</v>
      </c>
      <c r="M87" s="49">
        <v>20241220910</v>
      </c>
      <c r="N87" s="50" t="s">
        <v>28</v>
      </c>
      <c r="O87" s="50"/>
      <c r="P87" s="50"/>
      <c r="Q87" s="51"/>
      <c r="R87" s="50"/>
      <c r="S87" s="50"/>
      <c r="T87" s="51"/>
      <c r="U87" s="50"/>
    </row>
    <row r="88" spans="1:21" x14ac:dyDescent="0.25">
      <c r="A88" s="45" t="s">
        <v>1283</v>
      </c>
      <c r="B88" s="77">
        <v>45775</v>
      </c>
      <c r="C88" s="45" t="s">
        <v>352</v>
      </c>
      <c r="D88" s="76" t="s">
        <v>244</v>
      </c>
      <c r="E88" s="45" t="s">
        <v>245</v>
      </c>
      <c r="F88" s="45" t="s">
        <v>246</v>
      </c>
      <c r="G88" s="45" t="s">
        <v>1284</v>
      </c>
      <c r="H88" s="45" t="s">
        <v>2844</v>
      </c>
      <c r="I88" s="45" t="s">
        <v>2845</v>
      </c>
      <c r="J88" s="45">
        <v>519234763</v>
      </c>
      <c r="K88" s="45" t="s">
        <v>33</v>
      </c>
      <c r="L88" s="48">
        <v>110.32</v>
      </c>
      <c r="M88" s="49">
        <v>20241220925</v>
      </c>
      <c r="N88" s="50" t="s">
        <v>28</v>
      </c>
      <c r="O88" s="50"/>
      <c r="P88" s="50"/>
      <c r="Q88" s="51"/>
      <c r="R88" s="50"/>
      <c r="S88" s="50"/>
      <c r="T88" s="51"/>
      <c r="U88" s="50"/>
    </row>
    <row r="89" spans="1:21" x14ac:dyDescent="0.25">
      <c r="A89" s="45" t="s">
        <v>1283</v>
      </c>
      <c r="B89" s="77">
        <v>45775</v>
      </c>
      <c r="C89" s="45" t="s">
        <v>352</v>
      </c>
      <c r="D89" s="76" t="s">
        <v>244</v>
      </c>
      <c r="E89" s="45" t="s">
        <v>245</v>
      </c>
      <c r="F89" s="45" t="s">
        <v>246</v>
      </c>
      <c r="G89" s="45" t="s">
        <v>1284</v>
      </c>
      <c r="H89" s="45" t="s">
        <v>2844</v>
      </c>
      <c r="I89" s="45" t="s">
        <v>2845</v>
      </c>
      <c r="J89" s="45">
        <v>519234763</v>
      </c>
      <c r="K89" s="45" t="s">
        <v>1930</v>
      </c>
      <c r="L89" s="48">
        <v>843.74</v>
      </c>
      <c r="M89" s="49">
        <v>20241220760</v>
      </c>
      <c r="N89" s="50" t="s">
        <v>28</v>
      </c>
      <c r="O89" s="50"/>
      <c r="P89" s="50"/>
      <c r="Q89" s="51"/>
      <c r="R89" s="50"/>
      <c r="S89" s="50"/>
      <c r="T89" s="51"/>
      <c r="U89" s="50"/>
    </row>
    <row r="90" spans="1:21" x14ac:dyDescent="0.25">
      <c r="A90" s="45" t="s">
        <v>1765</v>
      </c>
      <c r="B90" s="77">
        <v>45775</v>
      </c>
      <c r="C90" s="45" t="s">
        <v>352</v>
      </c>
      <c r="D90" s="76" t="s">
        <v>244</v>
      </c>
      <c r="E90" s="45" t="s">
        <v>245</v>
      </c>
      <c r="F90" s="45" t="s">
        <v>246</v>
      </c>
      <c r="G90" s="45" t="s">
        <v>1284</v>
      </c>
      <c r="H90" s="45" t="s">
        <v>2844</v>
      </c>
      <c r="I90" s="45" t="s">
        <v>2845</v>
      </c>
      <c r="J90" s="45">
        <v>519234763</v>
      </c>
      <c r="K90" s="45" t="s">
        <v>33</v>
      </c>
      <c r="L90" s="48">
        <v>290.94</v>
      </c>
      <c r="M90" s="49">
        <v>20241220759</v>
      </c>
      <c r="N90" s="50" t="s">
        <v>28</v>
      </c>
      <c r="O90" s="50"/>
      <c r="P90" s="50"/>
      <c r="Q90" s="51"/>
      <c r="R90" s="50"/>
      <c r="S90" s="50"/>
      <c r="T90" s="51"/>
      <c r="U90" s="50"/>
    </row>
    <row r="91" spans="1:21" x14ac:dyDescent="0.25">
      <c r="A91" s="45" t="s">
        <v>1765</v>
      </c>
      <c r="B91" s="77">
        <v>45775</v>
      </c>
      <c r="C91" s="45" t="s">
        <v>352</v>
      </c>
      <c r="D91" s="76" t="s">
        <v>244</v>
      </c>
      <c r="E91" s="45" t="s">
        <v>245</v>
      </c>
      <c r="F91" s="45" t="s">
        <v>246</v>
      </c>
      <c r="G91" s="45" t="s">
        <v>1284</v>
      </c>
      <c r="H91" s="45" t="s">
        <v>2844</v>
      </c>
      <c r="I91" s="45" t="s">
        <v>2845</v>
      </c>
      <c r="J91" s="45">
        <v>519234763</v>
      </c>
      <c r="K91" s="45" t="s">
        <v>1930</v>
      </c>
      <c r="L91" s="48">
        <v>296.10000000000002</v>
      </c>
      <c r="M91" s="49">
        <v>20241220761</v>
      </c>
      <c r="N91" s="50" t="s">
        <v>28</v>
      </c>
      <c r="O91" s="50"/>
      <c r="P91" s="50"/>
      <c r="Q91" s="51"/>
      <c r="R91" s="50"/>
      <c r="S91" s="50"/>
      <c r="T91" s="51"/>
      <c r="U91" s="50"/>
    </row>
    <row r="92" spans="1:21" x14ac:dyDescent="0.25">
      <c r="A92" s="45" t="s">
        <v>1765</v>
      </c>
      <c r="B92" s="77">
        <v>45775</v>
      </c>
      <c r="C92" s="45" t="s">
        <v>352</v>
      </c>
      <c r="D92" s="76" t="s">
        <v>244</v>
      </c>
      <c r="E92" s="45" t="s">
        <v>245</v>
      </c>
      <c r="F92" s="45" t="s">
        <v>246</v>
      </c>
      <c r="G92" s="45" t="s">
        <v>1284</v>
      </c>
      <c r="H92" s="45" t="s">
        <v>2844</v>
      </c>
      <c r="I92" s="45" t="s">
        <v>2845</v>
      </c>
      <c r="J92" s="45">
        <v>519234763</v>
      </c>
      <c r="K92" s="45" t="s">
        <v>1930</v>
      </c>
      <c r="L92" s="48">
        <v>250.85</v>
      </c>
      <c r="M92" s="49">
        <v>20241220767</v>
      </c>
      <c r="N92" s="50" t="s">
        <v>28</v>
      </c>
      <c r="O92" s="50"/>
      <c r="P92" s="50"/>
      <c r="Q92" s="51"/>
      <c r="R92" s="50"/>
      <c r="S92" s="50"/>
      <c r="T92" s="51"/>
      <c r="U92" s="50"/>
    </row>
    <row r="93" spans="1:21" x14ac:dyDescent="0.25">
      <c r="A93" s="45" t="s">
        <v>1765</v>
      </c>
      <c r="B93" s="77">
        <v>45775</v>
      </c>
      <c r="C93" s="45" t="s">
        <v>352</v>
      </c>
      <c r="D93" s="76" t="s">
        <v>244</v>
      </c>
      <c r="E93" s="45" t="s">
        <v>245</v>
      </c>
      <c r="F93" s="45" t="s">
        <v>246</v>
      </c>
      <c r="G93" s="45" t="s">
        <v>1284</v>
      </c>
      <c r="H93" s="45" t="s">
        <v>2844</v>
      </c>
      <c r="I93" s="45" t="s">
        <v>2845</v>
      </c>
      <c r="J93" s="45">
        <v>519234763</v>
      </c>
      <c r="K93" s="45" t="s">
        <v>1370</v>
      </c>
      <c r="L93" s="48">
        <v>165</v>
      </c>
      <c r="M93" s="49">
        <v>20241220716</v>
      </c>
      <c r="N93" s="50" t="s">
        <v>28</v>
      </c>
      <c r="O93" s="50"/>
      <c r="P93" s="50"/>
      <c r="Q93" s="51"/>
      <c r="R93" s="50"/>
      <c r="S93" s="50"/>
      <c r="T93" s="51"/>
      <c r="U93" s="50"/>
    </row>
    <row r="94" spans="1:21" x14ac:dyDescent="0.25">
      <c r="A94" s="45" t="s">
        <v>1765</v>
      </c>
      <c r="B94" s="77">
        <v>45775</v>
      </c>
      <c r="C94" s="45" t="s">
        <v>352</v>
      </c>
      <c r="D94" s="76" t="s">
        <v>244</v>
      </c>
      <c r="E94" s="45" t="s">
        <v>245</v>
      </c>
      <c r="F94" s="45" t="s">
        <v>246</v>
      </c>
      <c r="G94" s="45" t="s">
        <v>1284</v>
      </c>
      <c r="H94" s="45" t="s">
        <v>2844</v>
      </c>
      <c r="I94" s="45" t="s">
        <v>2845</v>
      </c>
      <c r="J94" s="45">
        <v>519234763</v>
      </c>
      <c r="K94" s="45" t="s">
        <v>2847</v>
      </c>
      <c r="L94" s="48">
        <v>50</v>
      </c>
      <c r="M94" s="49">
        <v>20241220709</v>
      </c>
      <c r="N94" s="50" t="s">
        <v>28</v>
      </c>
      <c r="O94" s="50"/>
      <c r="P94" s="50"/>
      <c r="Q94" s="51"/>
      <c r="R94" s="50"/>
      <c r="S94" s="50"/>
      <c r="T94" s="51"/>
      <c r="U94" s="50"/>
    </row>
    <row r="95" spans="1:21" x14ac:dyDescent="0.25">
      <c r="A95" s="45" t="s">
        <v>1765</v>
      </c>
      <c r="B95" s="77">
        <v>45775</v>
      </c>
      <c r="C95" s="45" t="s">
        <v>352</v>
      </c>
      <c r="D95" s="76" t="s">
        <v>244</v>
      </c>
      <c r="E95" s="45" t="s">
        <v>245</v>
      </c>
      <c r="F95" s="45" t="s">
        <v>246</v>
      </c>
      <c r="G95" s="45" t="s">
        <v>1284</v>
      </c>
      <c r="H95" s="45" t="s">
        <v>2844</v>
      </c>
      <c r="I95" s="45" t="s">
        <v>2845</v>
      </c>
      <c r="J95" s="45">
        <v>519234763</v>
      </c>
      <c r="K95" s="45" t="s">
        <v>891</v>
      </c>
      <c r="L95" s="48">
        <v>80</v>
      </c>
      <c r="M95" s="49">
        <v>20241220731</v>
      </c>
      <c r="N95" s="50" t="s">
        <v>28</v>
      </c>
      <c r="O95" s="50"/>
      <c r="P95" s="50"/>
      <c r="Q95" s="51"/>
      <c r="R95" s="50"/>
      <c r="S95" s="50"/>
      <c r="T95" s="51"/>
      <c r="U95" s="50"/>
    </row>
    <row r="96" spans="1:21" x14ac:dyDescent="0.25">
      <c r="A96" s="45" t="s">
        <v>1765</v>
      </c>
      <c r="B96" s="77">
        <v>45775</v>
      </c>
      <c r="C96" s="45" t="s">
        <v>352</v>
      </c>
      <c r="D96" s="76" t="s">
        <v>244</v>
      </c>
      <c r="E96" s="45" t="s">
        <v>245</v>
      </c>
      <c r="F96" s="45" t="s">
        <v>246</v>
      </c>
      <c r="G96" s="45" t="s">
        <v>1284</v>
      </c>
      <c r="H96" s="45" t="s">
        <v>2844</v>
      </c>
      <c r="I96" s="45" t="s">
        <v>2845</v>
      </c>
      <c r="J96" s="45">
        <v>519234763</v>
      </c>
      <c r="K96" s="45" t="s">
        <v>2015</v>
      </c>
      <c r="L96" s="48">
        <v>50</v>
      </c>
      <c r="M96" s="49">
        <v>20241220720</v>
      </c>
      <c r="N96" s="50" t="s">
        <v>28</v>
      </c>
      <c r="O96" s="50"/>
      <c r="P96" s="50"/>
      <c r="Q96" s="51"/>
      <c r="R96" s="50"/>
      <c r="S96" s="50"/>
      <c r="T96" s="51"/>
      <c r="U96" s="50"/>
    </row>
    <row r="97" spans="1:21" x14ac:dyDescent="0.25">
      <c r="A97" s="45" t="s">
        <v>1765</v>
      </c>
      <c r="B97" s="77">
        <v>45775</v>
      </c>
      <c r="C97" s="45" t="s">
        <v>352</v>
      </c>
      <c r="D97" s="76" t="s">
        <v>244</v>
      </c>
      <c r="E97" s="45" t="s">
        <v>245</v>
      </c>
      <c r="F97" s="45" t="s">
        <v>246</v>
      </c>
      <c r="G97" s="45" t="s">
        <v>1284</v>
      </c>
      <c r="H97" s="45" t="s">
        <v>2844</v>
      </c>
      <c r="I97" s="45" t="s">
        <v>2845</v>
      </c>
      <c r="J97" s="45">
        <v>519234763</v>
      </c>
      <c r="K97" s="45" t="s">
        <v>1750</v>
      </c>
      <c r="L97" s="48">
        <v>50</v>
      </c>
      <c r="M97" s="49">
        <v>20241220700</v>
      </c>
      <c r="N97" s="50" t="s">
        <v>28</v>
      </c>
      <c r="O97" s="50"/>
      <c r="P97" s="50"/>
      <c r="Q97" s="51"/>
      <c r="R97" s="50"/>
      <c r="S97" s="50"/>
      <c r="T97" s="51"/>
      <c r="U97" s="50"/>
    </row>
    <row r="98" spans="1:21" x14ac:dyDescent="0.25">
      <c r="A98" s="45" t="s">
        <v>1283</v>
      </c>
      <c r="B98" s="77">
        <v>45775</v>
      </c>
      <c r="C98" s="45" t="s">
        <v>352</v>
      </c>
      <c r="D98" s="76" t="s">
        <v>244</v>
      </c>
      <c r="E98" s="45" t="s">
        <v>245</v>
      </c>
      <c r="F98" s="45" t="s">
        <v>246</v>
      </c>
      <c r="G98" s="45" t="s">
        <v>1284</v>
      </c>
      <c r="H98" s="45" t="s">
        <v>2844</v>
      </c>
      <c r="I98" s="45" t="s">
        <v>2845</v>
      </c>
      <c r="J98" s="45">
        <v>519234763</v>
      </c>
      <c r="K98" s="45" t="s">
        <v>1371</v>
      </c>
      <c r="L98" s="48">
        <v>85</v>
      </c>
      <c r="M98" s="49">
        <v>20241220853</v>
      </c>
      <c r="N98" s="50" t="s">
        <v>28</v>
      </c>
      <c r="O98" s="50"/>
      <c r="P98" s="50"/>
      <c r="Q98" s="51"/>
      <c r="R98" s="50"/>
      <c r="S98" s="50"/>
      <c r="T98" s="51"/>
      <c r="U98" s="50"/>
    </row>
    <row r="99" spans="1:21" x14ac:dyDescent="0.25">
      <c r="A99" s="45" t="s">
        <v>1283</v>
      </c>
      <c r="B99" s="77">
        <v>45775</v>
      </c>
      <c r="C99" s="45" t="s">
        <v>352</v>
      </c>
      <c r="D99" s="76" t="s">
        <v>244</v>
      </c>
      <c r="E99" s="45" t="s">
        <v>245</v>
      </c>
      <c r="F99" s="45" t="s">
        <v>246</v>
      </c>
      <c r="G99" s="45" t="s">
        <v>1284</v>
      </c>
      <c r="H99" s="45" t="s">
        <v>2844</v>
      </c>
      <c r="I99" s="45" t="s">
        <v>2845</v>
      </c>
      <c r="J99" s="45">
        <v>519234763</v>
      </c>
      <c r="K99" s="45" t="s">
        <v>1371</v>
      </c>
      <c r="L99" s="48">
        <v>165</v>
      </c>
      <c r="M99" s="49">
        <v>20241220751</v>
      </c>
      <c r="N99" s="50" t="s">
        <v>28</v>
      </c>
      <c r="O99" s="50"/>
      <c r="P99" s="50"/>
      <c r="Q99" s="51"/>
      <c r="R99" s="50"/>
      <c r="S99" s="50"/>
      <c r="T99" s="51"/>
      <c r="U99" s="50"/>
    </row>
    <row r="100" spans="1:21" x14ac:dyDescent="0.25">
      <c r="A100" s="45" t="s">
        <v>20</v>
      </c>
      <c r="B100" s="77">
        <v>45775</v>
      </c>
      <c r="C100" s="45" t="s">
        <v>352</v>
      </c>
      <c r="D100" s="76" t="s">
        <v>244</v>
      </c>
      <c r="E100" s="45" t="s">
        <v>569</v>
      </c>
      <c r="F100" s="45" t="s">
        <v>570</v>
      </c>
      <c r="G100" s="45" t="s">
        <v>2848</v>
      </c>
      <c r="H100" s="45" t="s">
        <v>84</v>
      </c>
      <c r="I100" s="45" t="s">
        <v>1673</v>
      </c>
      <c r="J100" s="45">
        <v>388804841</v>
      </c>
      <c r="K100" s="45" t="s">
        <v>2849</v>
      </c>
      <c r="L100" s="48">
        <v>132.52000000000001</v>
      </c>
      <c r="M100" s="49">
        <v>202412181386</v>
      </c>
      <c r="N100" s="50" t="s">
        <v>28</v>
      </c>
      <c r="O100" s="50"/>
      <c r="P100" s="50"/>
      <c r="Q100" s="51"/>
      <c r="R100" s="50"/>
      <c r="S100" s="50"/>
      <c r="T100" s="51"/>
      <c r="U100" s="50"/>
    </row>
    <row r="101" spans="1:21" x14ac:dyDescent="0.25">
      <c r="A101" s="45" t="s">
        <v>20</v>
      </c>
      <c r="B101" s="77">
        <v>45775</v>
      </c>
      <c r="C101" s="45" t="s">
        <v>352</v>
      </c>
      <c r="D101" s="76" t="s">
        <v>244</v>
      </c>
      <c r="E101" s="45" t="s">
        <v>569</v>
      </c>
      <c r="F101" s="45" t="s">
        <v>570</v>
      </c>
      <c r="G101" s="45" t="s">
        <v>2848</v>
      </c>
      <c r="H101" s="45" t="s">
        <v>84</v>
      </c>
      <c r="I101" s="45" t="s">
        <v>1673</v>
      </c>
      <c r="J101" s="45">
        <v>388804841</v>
      </c>
      <c r="K101" s="45" t="s">
        <v>2767</v>
      </c>
      <c r="L101" s="48">
        <v>196.5</v>
      </c>
      <c r="M101" s="49">
        <v>202412181387</v>
      </c>
      <c r="N101" s="50" t="s">
        <v>28</v>
      </c>
      <c r="O101" s="50"/>
      <c r="P101" s="50"/>
      <c r="Q101" s="51"/>
      <c r="R101" s="50"/>
      <c r="S101" s="50"/>
      <c r="T101" s="51"/>
      <c r="U101" s="50"/>
    </row>
    <row r="102" spans="1:21" ht="25.5" x14ac:dyDescent="0.25">
      <c r="A102" s="45" t="s">
        <v>20</v>
      </c>
      <c r="B102" s="77">
        <v>45775</v>
      </c>
      <c r="C102" s="45" t="s">
        <v>352</v>
      </c>
      <c r="D102" s="76" t="s">
        <v>244</v>
      </c>
      <c r="E102" s="45" t="s">
        <v>569</v>
      </c>
      <c r="F102" s="45" t="s">
        <v>570</v>
      </c>
      <c r="G102" s="45" t="s">
        <v>2108</v>
      </c>
      <c r="H102" s="45" t="s">
        <v>214</v>
      </c>
      <c r="I102" s="45" t="s">
        <v>303</v>
      </c>
      <c r="J102" s="45">
        <v>608104753</v>
      </c>
      <c r="K102" s="45" t="s">
        <v>2244</v>
      </c>
      <c r="L102" s="48">
        <v>36.31</v>
      </c>
      <c r="M102" s="49">
        <v>202412181388</v>
      </c>
      <c r="N102" s="50" t="s">
        <v>28</v>
      </c>
      <c r="O102" s="50"/>
      <c r="P102" s="50"/>
      <c r="Q102" s="51"/>
      <c r="R102" s="50"/>
      <c r="S102" s="50"/>
      <c r="T102" s="51"/>
      <c r="U102" s="50"/>
    </row>
    <row r="103" spans="1:21" x14ac:dyDescent="0.25">
      <c r="A103" s="45" t="s">
        <v>29</v>
      </c>
      <c r="B103" s="77">
        <v>45775</v>
      </c>
      <c r="C103" s="45" t="s">
        <v>352</v>
      </c>
      <c r="D103" s="76" t="s">
        <v>244</v>
      </c>
      <c r="E103" s="45" t="s">
        <v>277</v>
      </c>
      <c r="F103" s="45" t="s">
        <v>278</v>
      </c>
      <c r="G103" s="45" t="s">
        <v>995</v>
      </c>
      <c r="H103" s="45" t="s">
        <v>2850</v>
      </c>
      <c r="I103" s="45" t="s">
        <v>2851</v>
      </c>
      <c r="J103" s="45">
        <v>149863335</v>
      </c>
      <c r="K103" s="45" t="s">
        <v>287</v>
      </c>
      <c r="L103" s="48">
        <v>170.25</v>
      </c>
      <c r="M103" s="49">
        <v>20241219553</v>
      </c>
      <c r="N103" s="50" t="s">
        <v>28</v>
      </c>
      <c r="O103" s="50"/>
      <c r="P103" s="50"/>
      <c r="Q103" s="51"/>
      <c r="R103" s="50"/>
      <c r="S103" s="50"/>
      <c r="T103" s="51"/>
      <c r="U103" s="50"/>
    </row>
    <row r="104" spans="1:21" x14ac:dyDescent="0.25">
      <c r="A104" s="45" t="s">
        <v>29</v>
      </c>
      <c r="B104" s="77">
        <v>45775</v>
      </c>
      <c r="C104" s="45" t="s">
        <v>352</v>
      </c>
      <c r="D104" s="76" t="s">
        <v>244</v>
      </c>
      <c r="E104" s="45" t="s">
        <v>277</v>
      </c>
      <c r="F104" s="45" t="s">
        <v>278</v>
      </c>
      <c r="G104" s="45" t="s">
        <v>995</v>
      </c>
      <c r="H104" s="45" t="s">
        <v>2850</v>
      </c>
      <c r="I104" s="45" t="s">
        <v>2851</v>
      </c>
      <c r="J104" s="45">
        <v>149863335</v>
      </c>
      <c r="K104" s="45" t="s">
        <v>123</v>
      </c>
      <c r="L104" s="48">
        <v>60</v>
      </c>
      <c r="M104" s="49">
        <v>20241220623</v>
      </c>
      <c r="N104" s="50" t="s">
        <v>28</v>
      </c>
      <c r="O104" s="50"/>
      <c r="P104" s="50"/>
      <c r="Q104" s="51"/>
      <c r="R104" s="50"/>
      <c r="S104" s="50"/>
      <c r="T104" s="51"/>
      <c r="U104" s="50"/>
    </row>
    <row r="105" spans="1:21" x14ac:dyDescent="0.25">
      <c r="A105" s="45" t="s">
        <v>29</v>
      </c>
      <c r="B105" s="77">
        <v>45775</v>
      </c>
      <c r="C105" s="45" t="s">
        <v>352</v>
      </c>
      <c r="D105" s="76" t="s">
        <v>244</v>
      </c>
      <c r="E105" s="45" t="s">
        <v>277</v>
      </c>
      <c r="F105" s="45" t="s">
        <v>278</v>
      </c>
      <c r="G105" s="45" t="s">
        <v>995</v>
      </c>
      <c r="H105" s="45" t="s">
        <v>2850</v>
      </c>
      <c r="I105" s="45" t="s">
        <v>2851</v>
      </c>
      <c r="J105" s="45">
        <v>149863335</v>
      </c>
      <c r="K105" s="45" t="s">
        <v>2735</v>
      </c>
      <c r="L105" s="48">
        <v>133.25</v>
      </c>
      <c r="M105" s="49">
        <v>20241219548</v>
      </c>
      <c r="N105" s="50" t="s">
        <v>28</v>
      </c>
      <c r="O105" s="50"/>
      <c r="P105" s="50"/>
      <c r="Q105" s="51"/>
      <c r="R105" s="50"/>
      <c r="S105" s="50"/>
      <c r="T105" s="51"/>
      <c r="U105" s="50"/>
    </row>
    <row r="106" spans="1:21" x14ac:dyDescent="0.25">
      <c r="A106" s="45" t="s">
        <v>29</v>
      </c>
      <c r="B106" s="77">
        <v>45775</v>
      </c>
      <c r="C106" s="45" t="s">
        <v>352</v>
      </c>
      <c r="D106" s="76" t="s">
        <v>244</v>
      </c>
      <c r="E106" s="45" t="s">
        <v>277</v>
      </c>
      <c r="F106" s="45" t="s">
        <v>278</v>
      </c>
      <c r="G106" s="45" t="s">
        <v>995</v>
      </c>
      <c r="H106" s="45" t="s">
        <v>2850</v>
      </c>
      <c r="I106" s="45" t="s">
        <v>2851</v>
      </c>
      <c r="J106" s="45">
        <v>149863335</v>
      </c>
      <c r="K106" s="45" t="s">
        <v>422</v>
      </c>
      <c r="L106" s="48">
        <v>46.25</v>
      </c>
      <c r="M106" s="49">
        <v>20241219565</v>
      </c>
      <c r="N106" s="50" t="s">
        <v>28</v>
      </c>
      <c r="O106" s="50"/>
      <c r="P106" s="50"/>
      <c r="Q106" s="51"/>
      <c r="R106" s="50"/>
      <c r="S106" s="50"/>
      <c r="T106" s="51"/>
      <c r="U106" s="50"/>
    </row>
    <row r="107" spans="1:21" x14ac:dyDescent="0.25">
      <c r="A107" s="45" t="s">
        <v>29</v>
      </c>
      <c r="B107" s="77">
        <v>45775</v>
      </c>
      <c r="C107" s="45" t="s">
        <v>352</v>
      </c>
      <c r="D107" s="76" t="s">
        <v>244</v>
      </c>
      <c r="E107" s="45" t="s">
        <v>277</v>
      </c>
      <c r="F107" s="45" t="s">
        <v>278</v>
      </c>
      <c r="G107" s="45" t="s">
        <v>995</v>
      </c>
      <c r="H107" s="45" t="s">
        <v>2850</v>
      </c>
      <c r="I107" s="45" t="s">
        <v>2851</v>
      </c>
      <c r="J107" s="45">
        <v>149863335</v>
      </c>
      <c r="K107" s="45" t="s">
        <v>288</v>
      </c>
      <c r="L107" s="48">
        <v>185</v>
      </c>
      <c r="M107" s="49">
        <v>20241219552</v>
      </c>
      <c r="N107" s="50" t="s">
        <v>28</v>
      </c>
      <c r="O107" s="50"/>
      <c r="P107" s="50"/>
      <c r="Q107" s="51"/>
      <c r="R107" s="50"/>
      <c r="S107" s="50"/>
      <c r="T107" s="51"/>
      <c r="U107" s="50"/>
    </row>
    <row r="108" spans="1:21" x14ac:dyDescent="0.25">
      <c r="A108" s="45" t="s">
        <v>29</v>
      </c>
      <c r="B108" s="77">
        <v>45775</v>
      </c>
      <c r="C108" s="45" t="s">
        <v>352</v>
      </c>
      <c r="D108" s="76" t="s">
        <v>244</v>
      </c>
      <c r="E108" s="45" t="s">
        <v>277</v>
      </c>
      <c r="F108" s="45" t="s">
        <v>278</v>
      </c>
      <c r="G108" s="45" t="s">
        <v>995</v>
      </c>
      <c r="H108" s="45" t="s">
        <v>2850</v>
      </c>
      <c r="I108" s="45" t="s">
        <v>2851</v>
      </c>
      <c r="J108" s="45">
        <v>149863335</v>
      </c>
      <c r="K108" s="45" t="s">
        <v>1907</v>
      </c>
      <c r="L108" s="48">
        <v>174.25</v>
      </c>
      <c r="M108" s="49">
        <v>20241219549</v>
      </c>
      <c r="N108" s="50" t="s">
        <v>28</v>
      </c>
      <c r="O108" s="50"/>
      <c r="P108" s="50"/>
      <c r="Q108" s="51"/>
      <c r="R108" s="50"/>
      <c r="S108" s="50"/>
      <c r="T108" s="51"/>
      <c r="U108" s="50"/>
    </row>
    <row r="109" spans="1:21" x14ac:dyDescent="0.25">
      <c r="A109" s="45" t="s">
        <v>29</v>
      </c>
      <c r="B109" s="77">
        <v>45775</v>
      </c>
      <c r="C109" s="45" t="s">
        <v>114</v>
      </c>
      <c r="D109" s="76" t="s">
        <v>244</v>
      </c>
      <c r="E109" s="45" t="s">
        <v>277</v>
      </c>
      <c r="F109" s="45" t="s">
        <v>278</v>
      </c>
      <c r="G109" s="45" t="s">
        <v>995</v>
      </c>
      <c r="H109" s="45" t="s">
        <v>2850</v>
      </c>
      <c r="I109" s="45" t="s">
        <v>2851</v>
      </c>
      <c r="J109" s="45">
        <v>149863335</v>
      </c>
      <c r="K109" s="45" t="s">
        <v>1005</v>
      </c>
      <c r="L109" s="48">
        <v>184.5</v>
      </c>
      <c r="M109" s="49">
        <v>20241219550</v>
      </c>
      <c r="N109" s="50" t="s">
        <v>28</v>
      </c>
      <c r="O109" s="50"/>
      <c r="P109" s="50"/>
      <c r="Q109" s="51"/>
      <c r="R109" s="50"/>
      <c r="S109" s="50"/>
      <c r="T109" s="51"/>
      <c r="U109" s="50"/>
    </row>
    <row r="110" spans="1:21" x14ac:dyDescent="0.25">
      <c r="A110" s="45" t="s">
        <v>29</v>
      </c>
      <c r="B110" s="77">
        <v>45775</v>
      </c>
      <c r="C110" s="45" t="s">
        <v>114</v>
      </c>
      <c r="D110" s="76" t="s">
        <v>244</v>
      </c>
      <c r="E110" s="45" t="s">
        <v>277</v>
      </c>
      <c r="F110" s="45" t="s">
        <v>278</v>
      </c>
      <c r="G110" s="45" t="s">
        <v>995</v>
      </c>
      <c r="H110" s="45" t="s">
        <v>2850</v>
      </c>
      <c r="I110" s="45" t="s">
        <v>2851</v>
      </c>
      <c r="J110" s="45">
        <v>149863335</v>
      </c>
      <c r="K110" s="45" t="s">
        <v>889</v>
      </c>
      <c r="L110" s="48">
        <v>188.75</v>
      </c>
      <c r="M110" s="49">
        <v>20241219551</v>
      </c>
      <c r="N110" s="50" t="s">
        <v>28</v>
      </c>
      <c r="O110" s="50"/>
      <c r="P110" s="50"/>
      <c r="Q110" s="51"/>
      <c r="R110" s="50"/>
      <c r="S110" s="50"/>
      <c r="T110" s="51"/>
      <c r="U110" s="50"/>
    </row>
    <row r="111" spans="1:21" x14ac:dyDescent="0.25">
      <c r="A111" s="45" t="s">
        <v>29</v>
      </c>
      <c r="B111" s="77">
        <v>45775</v>
      </c>
      <c r="C111" s="45" t="s">
        <v>114</v>
      </c>
      <c r="D111" s="76" t="s">
        <v>244</v>
      </c>
      <c r="E111" s="45" t="s">
        <v>277</v>
      </c>
      <c r="F111" s="45" t="s">
        <v>278</v>
      </c>
      <c r="G111" s="45" t="s">
        <v>995</v>
      </c>
      <c r="H111" s="45" t="s">
        <v>2850</v>
      </c>
      <c r="I111" s="45" t="s">
        <v>2851</v>
      </c>
      <c r="J111" s="45">
        <v>149863335</v>
      </c>
      <c r="K111" s="45" t="s">
        <v>221</v>
      </c>
      <c r="L111" s="48">
        <v>37</v>
      </c>
      <c r="M111" s="49">
        <v>20241219563</v>
      </c>
      <c r="N111" s="50" t="s">
        <v>28</v>
      </c>
      <c r="O111" s="50"/>
      <c r="P111" s="50"/>
      <c r="Q111" s="51"/>
      <c r="R111" s="50"/>
      <c r="S111" s="50"/>
      <c r="T111" s="51"/>
      <c r="U111" s="50"/>
    </row>
    <row r="112" spans="1:21" x14ac:dyDescent="0.25">
      <c r="A112" s="45" t="s">
        <v>29</v>
      </c>
      <c r="B112" s="77">
        <v>45775</v>
      </c>
      <c r="C112" s="45" t="s">
        <v>114</v>
      </c>
      <c r="D112" s="76" t="s">
        <v>244</v>
      </c>
      <c r="E112" s="45" t="s">
        <v>277</v>
      </c>
      <c r="F112" s="45" t="s">
        <v>278</v>
      </c>
      <c r="G112" s="45" t="s">
        <v>995</v>
      </c>
      <c r="H112" s="45" t="s">
        <v>2850</v>
      </c>
      <c r="I112" s="45" t="s">
        <v>2851</v>
      </c>
      <c r="J112" s="45">
        <v>149863335</v>
      </c>
      <c r="K112" s="45" t="s">
        <v>2803</v>
      </c>
      <c r="L112" s="48">
        <v>37</v>
      </c>
      <c r="M112" s="49">
        <v>20241219564</v>
      </c>
      <c r="N112" s="50" t="s">
        <v>28</v>
      </c>
      <c r="O112" s="50"/>
      <c r="P112" s="50"/>
      <c r="Q112" s="51"/>
      <c r="R112" s="50"/>
      <c r="S112" s="50"/>
      <c r="T112" s="51"/>
      <c r="U112" s="50"/>
    </row>
    <row r="113" spans="1:21" x14ac:dyDescent="0.25">
      <c r="A113" s="45" t="s">
        <v>20</v>
      </c>
      <c r="B113" s="77">
        <v>45775</v>
      </c>
      <c r="C113" s="45" t="s">
        <v>114</v>
      </c>
      <c r="D113" s="76" t="s">
        <v>244</v>
      </c>
      <c r="E113" s="45" t="s">
        <v>277</v>
      </c>
      <c r="F113" s="45" t="s">
        <v>278</v>
      </c>
      <c r="G113" s="45" t="s">
        <v>1171</v>
      </c>
      <c r="H113" s="45" t="s">
        <v>1487</v>
      </c>
      <c r="I113" s="45" t="s">
        <v>2852</v>
      </c>
      <c r="J113" s="45">
        <v>190682817</v>
      </c>
      <c r="K113" s="45" t="s">
        <v>2154</v>
      </c>
      <c r="L113" s="48">
        <v>158.83000000000001</v>
      </c>
      <c r="M113" s="49">
        <v>20241125266</v>
      </c>
      <c r="N113" s="50" t="s">
        <v>28</v>
      </c>
      <c r="O113" s="50"/>
      <c r="P113" s="50"/>
      <c r="Q113" s="51"/>
      <c r="R113" s="50"/>
      <c r="S113" s="50"/>
      <c r="T113" s="51"/>
      <c r="U113" s="50"/>
    </row>
    <row r="114" spans="1:21" x14ac:dyDescent="0.25">
      <c r="A114" s="45" t="s">
        <v>20</v>
      </c>
      <c r="B114" s="77">
        <v>45775</v>
      </c>
      <c r="C114" s="45" t="s">
        <v>114</v>
      </c>
      <c r="D114" s="76" t="s">
        <v>244</v>
      </c>
      <c r="E114" s="45" t="s">
        <v>277</v>
      </c>
      <c r="F114" s="45" t="s">
        <v>278</v>
      </c>
      <c r="G114" s="45" t="s">
        <v>1719</v>
      </c>
      <c r="H114" s="45" t="s">
        <v>2853</v>
      </c>
      <c r="I114" s="45" t="s">
        <v>2854</v>
      </c>
      <c r="J114" s="45">
        <v>301782476</v>
      </c>
      <c r="K114" s="45" t="s">
        <v>2720</v>
      </c>
      <c r="L114" s="48">
        <v>125</v>
      </c>
      <c r="M114" s="49">
        <v>20241216719</v>
      </c>
      <c r="N114" s="50" t="s">
        <v>28</v>
      </c>
      <c r="O114" s="50"/>
      <c r="P114" s="50"/>
      <c r="Q114" s="51"/>
      <c r="R114" s="50"/>
      <c r="S114" s="50"/>
      <c r="T114" s="51"/>
      <c r="U114" s="50"/>
    </row>
    <row r="115" spans="1:21" ht="75" x14ac:dyDescent="0.25">
      <c r="A115" s="45" t="s">
        <v>324</v>
      </c>
      <c r="B115" s="46">
        <v>45775</v>
      </c>
      <c r="C115" s="45" t="s">
        <v>244</v>
      </c>
      <c r="D115" s="47"/>
      <c r="E115" s="45" t="s">
        <v>277</v>
      </c>
      <c r="F115" s="45" t="s">
        <v>278</v>
      </c>
      <c r="G115" s="45" t="s">
        <v>2855</v>
      </c>
      <c r="H115" s="45" t="s">
        <v>2693</v>
      </c>
      <c r="I115" s="45" t="s">
        <v>2856</v>
      </c>
      <c r="J115" s="45">
        <v>316258157</v>
      </c>
      <c r="K115" s="45" t="s">
        <v>2857</v>
      </c>
      <c r="L115" s="48">
        <v>96</v>
      </c>
      <c r="M115" s="49">
        <v>202412161493</v>
      </c>
      <c r="N115" s="50" t="s">
        <v>28</v>
      </c>
      <c r="O115" s="50"/>
      <c r="P115" s="50"/>
      <c r="Q115" s="51" t="s">
        <v>2858</v>
      </c>
      <c r="R115" s="50"/>
      <c r="S115" s="50"/>
      <c r="T115" s="51"/>
      <c r="U115" s="50"/>
    </row>
    <row r="116" spans="1:21" x14ac:dyDescent="0.25">
      <c r="A116" s="45" t="s">
        <v>20</v>
      </c>
      <c r="B116" s="77">
        <v>45775</v>
      </c>
      <c r="C116" s="45" t="s">
        <v>114</v>
      </c>
      <c r="D116" s="76" t="s">
        <v>244</v>
      </c>
      <c r="E116" s="45" t="s">
        <v>277</v>
      </c>
      <c r="F116" s="45" t="s">
        <v>278</v>
      </c>
      <c r="G116" s="45" t="s">
        <v>171</v>
      </c>
      <c r="H116" s="45" t="s">
        <v>1082</v>
      </c>
      <c r="I116" s="45" t="s">
        <v>2859</v>
      </c>
      <c r="J116" s="45">
        <v>336746238</v>
      </c>
      <c r="K116" s="45" t="s">
        <v>105</v>
      </c>
      <c r="L116" s="48">
        <v>1008</v>
      </c>
      <c r="M116" s="49">
        <v>20240827474</v>
      </c>
      <c r="N116" s="50" t="s">
        <v>28</v>
      </c>
      <c r="O116" s="50"/>
      <c r="P116" s="50"/>
      <c r="Q116" s="51"/>
      <c r="R116" s="50"/>
      <c r="S116" s="50"/>
      <c r="T116" s="51"/>
      <c r="U116" s="50"/>
    </row>
    <row r="117" spans="1:21" x14ac:dyDescent="0.25">
      <c r="A117" s="45" t="s">
        <v>20</v>
      </c>
      <c r="B117" s="77">
        <v>45775</v>
      </c>
      <c r="C117" s="45" t="s">
        <v>114</v>
      </c>
      <c r="D117" s="76" t="s">
        <v>244</v>
      </c>
      <c r="E117" s="45" t="s">
        <v>277</v>
      </c>
      <c r="F117" s="45" t="s">
        <v>278</v>
      </c>
      <c r="G117" s="45" t="s">
        <v>210</v>
      </c>
      <c r="H117" s="45" t="s">
        <v>2399</v>
      </c>
      <c r="I117" s="45" t="s">
        <v>2860</v>
      </c>
      <c r="J117" s="45">
        <v>353562347</v>
      </c>
      <c r="K117" s="45" t="s">
        <v>2601</v>
      </c>
      <c r="L117" s="48">
        <v>751.07</v>
      </c>
      <c r="M117" s="49">
        <v>20241118553</v>
      </c>
      <c r="N117" s="50" t="s">
        <v>28</v>
      </c>
      <c r="O117" s="50"/>
      <c r="P117" s="50"/>
      <c r="Q117" s="51"/>
      <c r="R117" s="50"/>
      <c r="S117" s="50"/>
      <c r="T117" s="51"/>
      <c r="U117" s="50"/>
    </row>
    <row r="118" spans="1:21" x14ac:dyDescent="0.25">
      <c r="A118" s="45" t="s">
        <v>20</v>
      </c>
      <c r="B118" s="77">
        <v>45775</v>
      </c>
      <c r="C118" s="45" t="s">
        <v>114</v>
      </c>
      <c r="D118" s="76" t="s">
        <v>244</v>
      </c>
      <c r="E118" s="45" t="s">
        <v>616</v>
      </c>
      <c r="F118" s="45" t="s">
        <v>617</v>
      </c>
      <c r="G118" s="45" t="s">
        <v>2861</v>
      </c>
      <c r="H118" s="45" t="s">
        <v>1055</v>
      </c>
      <c r="I118" s="45" t="s">
        <v>2852</v>
      </c>
      <c r="J118" s="45">
        <v>556700672</v>
      </c>
      <c r="K118" s="45" t="s">
        <v>889</v>
      </c>
      <c r="L118" s="48">
        <v>194.98</v>
      </c>
      <c r="M118" s="49">
        <v>20241107295</v>
      </c>
      <c r="N118" s="50" t="s">
        <v>28</v>
      </c>
      <c r="O118" s="50"/>
      <c r="P118" s="50"/>
      <c r="Q118" s="51"/>
      <c r="R118" s="50"/>
      <c r="S118" s="50"/>
      <c r="T118" s="51"/>
      <c r="U118" s="50"/>
    </row>
    <row r="119" spans="1:21" x14ac:dyDescent="0.25">
      <c r="A119" s="45" t="s">
        <v>70</v>
      </c>
      <c r="B119" s="46">
        <v>45765</v>
      </c>
      <c r="C119" s="45" t="s">
        <v>114</v>
      </c>
      <c r="D119" s="47" t="s">
        <v>168</v>
      </c>
      <c r="E119" s="45" t="s">
        <v>296</v>
      </c>
      <c r="F119" s="45" t="s">
        <v>297</v>
      </c>
      <c r="G119" s="45" t="s">
        <v>298</v>
      </c>
      <c r="H119" s="45" t="s">
        <v>307</v>
      </c>
      <c r="I119" s="45" t="s">
        <v>308</v>
      </c>
      <c r="J119" s="45">
        <v>73791</v>
      </c>
      <c r="K119" s="45" t="s">
        <v>2618</v>
      </c>
      <c r="L119" s="48">
        <v>21</v>
      </c>
      <c r="M119" s="49">
        <v>20241220544</v>
      </c>
      <c r="N119" s="50" t="s">
        <v>28</v>
      </c>
      <c r="O119" s="50"/>
      <c r="P119" s="50"/>
      <c r="Q119" s="51"/>
      <c r="R119" s="50"/>
      <c r="S119" s="50"/>
      <c r="T119" s="51"/>
      <c r="U119" s="50"/>
    </row>
    <row r="120" spans="1:21" x14ac:dyDescent="0.25">
      <c r="A120" s="45" t="s">
        <v>70</v>
      </c>
      <c r="B120" s="46">
        <v>45765</v>
      </c>
      <c r="C120" s="45" t="s">
        <v>114</v>
      </c>
      <c r="D120" s="47" t="s">
        <v>168</v>
      </c>
      <c r="E120" s="45" t="s">
        <v>296</v>
      </c>
      <c r="F120" s="45" t="s">
        <v>297</v>
      </c>
      <c r="G120" s="45" t="s">
        <v>298</v>
      </c>
      <c r="H120" s="45" t="s">
        <v>307</v>
      </c>
      <c r="I120" s="45" t="s">
        <v>308</v>
      </c>
      <c r="J120" s="45">
        <v>73791</v>
      </c>
      <c r="K120" s="45" t="s">
        <v>2816</v>
      </c>
      <c r="L120" s="48">
        <v>21</v>
      </c>
      <c r="M120" s="49">
        <v>20241220553</v>
      </c>
      <c r="N120" s="50" t="s">
        <v>28</v>
      </c>
      <c r="O120" s="50"/>
      <c r="P120" s="50"/>
      <c r="Q120" s="51"/>
      <c r="R120" s="50"/>
      <c r="S120" s="50"/>
      <c r="T120" s="51"/>
      <c r="U120" s="50"/>
    </row>
    <row r="121" spans="1:21" x14ac:dyDescent="0.25">
      <c r="A121" s="45" t="s">
        <v>29</v>
      </c>
      <c r="B121" s="46">
        <v>45765</v>
      </c>
      <c r="C121" s="45" t="s">
        <v>114</v>
      </c>
      <c r="D121" s="47" t="s">
        <v>168</v>
      </c>
      <c r="E121" s="45" t="s">
        <v>296</v>
      </c>
      <c r="F121" s="45" t="s">
        <v>297</v>
      </c>
      <c r="G121" s="45" t="s">
        <v>298</v>
      </c>
      <c r="H121" s="45" t="s">
        <v>1612</v>
      </c>
      <c r="I121" s="45" t="s">
        <v>1549</v>
      </c>
      <c r="J121" s="45">
        <v>73808</v>
      </c>
      <c r="K121" s="45" t="s">
        <v>978</v>
      </c>
      <c r="L121" s="48">
        <v>780</v>
      </c>
      <c r="M121" s="49">
        <v>20241220550</v>
      </c>
      <c r="N121" s="50" t="s">
        <v>28</v>
      </c>
      <c r="O121" s="50"/>
      <c r="P121" s="50"/>
      <c r="Q121" s="51"/>
      <c r="R121" s="50"/>
      <c r="S121" s="50"/>
      <c r="T121" s="51"/>
      <c r="U121" s="50"/>
    </row>
    <row r="122" spans="1:21" x14ac:dyDescent="0.25">
      <c r="A122" s="45" t="s">
        <v>29</v>
      </c>
      <c r="B122" s="46">
        <v>45765</v>
      </c>
      <c r="C122" s="45" t="s">
        <v>114</v>
      </c>
      <c r="D122" s="47" t="s">
        <v>168</v>
      </c>
      <c r="E122" s="45" t="s">
        <v>296</v>
      </c>
      <c r="F122" s="45" t="s">
        <v>297</v>
      </c>
      <c r="G122" s="45" t="s">
        <v>298</v>
      </c>
      <c r="H122" s="45" t="s">
        <v>2862</v>
      </c>
      <c r="I122" s="45" t="s">
        <v>2863</v>
      </c>
      <c r="J122" s="45">
        <v>73898</v>
      </c>
      <c r="K122" s="45" t="s">
        <v>237</v>
      </c>
      <c r="L122" s="48">
        <v>1431</v>
      </c>
      <c r="M122" s="49">
        <v>20241219463</v>
      </c>
      <c r="N122" s="50" t="s">
        <v>28</v>
      </c>
      <c r="O122" s="50"/>
      <c r="P122" s="50"/>
      <c r="Q122" s="51"/>
      <c r="R122" s="50"/>
      <c r="S122" s="50"/>
      <c r="T122" s="51"/>
      <c r="U122" s="50"/>
    </row>
    <row r="123" spans="1:21" x14ac:dyDescent="0.25">
      <c r="A123" s="45" t="s">
        <v>20</v>
      </c>
      <c r="B123" s="46">
        <v>45765</v>
      </c>
      <c r="C123" s="45" t="s">
        <v>114</v>
      </c>
      <c r="D123" s="47" t="s">
        <v>168</v>
      </c>
      <c r="E123" s="45" t="s">
        <v>296</v>
      </c>
      <c r="F123" s="45" t="s">
        <v>297</v>
      </c>
      <c r="G123" s="45" t="s">
        <v>298</v>
      </c>
      <c r="H123" s="45" t="s">
        <v>1878</v>
      </c>
      <c r="I123" s="45" t="s">
        <v>1604</v>
      </c>
      <c r="J123" s="45">
        <v>74820</v>
      </c>
      <c r="K123" s="45" t="s">
        <v>2864</v>
      </c>
      <c r="L123" s="48">
        <v>12</v>
      </c>
      <c r="M123" s="49">
        <v>20241220558</v>
      </c>
      <c r="N123" s="50" t="s">
        <v>28</v>
      </c>
      <c r="O123" s="50"/>
      <c r="P123" s="50"/>
      <c r="Q123" s="51"/>
      <c r="R123" s="50"/>
      <c r="S123" s="50"/>
      <c r="T123" s="51"/>
      <c r="U123" s="50"/>
    </row>
    <row r="124" spans="1:21" x14ac:dyDescent="0.25">
      <c r="A124" s="45" t="s">
        <v>70</v>
      </c>
      <c r="B124" s="46">
        <v>45765</v>
      </c>
      <c r="C124" s="45" t="s">
        <v>114</v>
      </c>
      <c r="D124" s="47" t="s">
        <v>168</v>
      </c>
      <c r="E124" s="45" t="s">
        <v>296</v>
      </c>
      <c r="F124" s="45" t="s">
        <v>297</v>
      </c>
      <c r="G124" s="45" t="s">
        <v>298</v>
      </c>
      <c r="H124" s="45" t="s">
        <v>2865</v>
      </c>
      <c r="I124" s="45" t="s">
        <v>2866</v>
      </c>
      <c r="J124" s="45">
        <v>75091</v>
      </c>
      <c r="K124" s="45" t="s">
        <v>926</v>
      </c>
      <c r="L124" s="48">
        <v>17.14</v>
      </c>
      <c r="M124" s="49">
        <v>20241218258</v>
      </c>
      <c r="N124" s="50" t="s">
        <v>28</v>
      </c>
      <c r="O124" s="50"/>
      <c r="P124" s="50"/>
      <c r="Q124" s="51"/>
      <c r="R124" s="50"/>
      <c r="S124" s="50"/>
      <c r="T124" s="51"/>
      <c r="U124" s="50"/>
    </row>
    <row r="125" spans="1:21" x14ac:dyDescent="0.25">
      <c r="A125" s="45" t="s">
        <v>70</v>
      </c>
      <c r="B125" s="46">
        <v>45764</v>
      </c>
      <c r="C125" s="45" t="s">
        <v>168</v>
      </c>
      <c r="D125" s="47"/>
      <c r="E125" s="45" t="s">
        <v>296</v>
      </c>
      <c r="F125" s="45" t="s">
        <v>297</v>
      </c>
      <c r="G125" s="45" t="s">
        <v>298</v>
      </c>
      <c r="H125" s="45" t="s">
        <v>2865</v>
      </c>
      <c r="I125" s="45" t="s">
        <v>2866</v>
      </c>
      <c r="J125" s="45">
        <v>75091</v>
      </c>
      <c r="K125" s="45" t="s">
        <v>301</v>
      </c>
      <c r="L125" s="48">
        <v>58.9</v>
      </c>
      <c r="M125" s="49">
        <v>20241218259</v>
      </c>
      <c r="N125" s="50" t="s">
        <v>28</v>
      </c>
      <c r="O125" s="50"/>
      <c r="P125" s="50"/>
      <c r="Q125" s="51"/>
      <c r="R125" s="50"/>
      <c r="S125" s="50"/>
      <c r="T125" s="51"/>
      <c r="U125" s="50"/>
    </row>
    <row r="126" spans="1:21" x14ac:dyDescent="0.25">
      <c r="A126" s="45" t="s">
        <v>70</v>
      </c>
      <c r="B126" s="46">
        <v>45764</v>
      </c>
      <c r="C126" s="45" t="s">
        <v>168</v>
      </c>
      <c r="D126" s="47"/>
      <c r="E126" s="45" t="s">
        <v>296</v>
      </c>
      <c r="F126" s="45" t="s">
        <v>297</v>
      </c>
      <c r="G126" s="45" t="s">
        <v>298</v>
      </c>
      <c r="H126" s="45" t="s">
        <v>2865</v>
      </c>
      <c r="I126" s="45" t="s">
        <v>2866</v>
      </c>
      <c r="J126" s="45">
        <v>75091</v>
      </c>
      <c r="K126" s="45" t="s">
        <v>48</v>
      </c>
      <c r="L126" s="48">
        <v>3.96</v>
      </c>
      <c r="M126" s="49">
        <v>20241218260</v>
      </c>
      <c r="N126" s="50" t="s">
        <v>28</v>
      </c>
      <c r="O126" s="50"/>
      <c r="P126" s="50"/>
      <c r="Q126" s="51"/>
      <c r="R126" s="50"/>
      <c r="S126" s="50"/>
      <c r="T126" s="51"/>
      <c r="U126" s="50"/>
    </row>
    <row r="127" spans="1:21" x14ac:dyDescent="0.25">
      <c r="A127" s="45" t="s">
        <v>20</v>
      </c>
      <c r="B127" s="46">
        <v>45764</v>
      </c>
      <c r="C127" s="45" t="s">
        <v>168</v>
      </c>
      <c r="D127" s="47"/>
      <c r="E127" s="45" t="s">
        <v>296</v>
      </c>
      <c r="F127" s="45" t="s">
        <v>297</v>
      </c>
      <c r="G127" s="45" t="s">
        <v>298</v>
      </c>
      <c r="H127" s="45" t="s">
        <v>1008</v>
      </c>
      <c r="I127" s="45" t="s">
        <v>1114</v>
      </c>
      <c r="J127" s="45">
        <v>75132</v>
      </c>
      <c r="K127" s="45" t="s">
        <v>2849</v>
      </c>
      <c r="L127" s="48">
        <v>11</v>
      </c>
      <c r="M127" s="49">
        <v>20241219437</v>
      </c>
      <c r="N127" s="50" t="s">
        <v>28</v>
      </c>
      <c r="O127" s="50"/>
      <c r="P127" s="50"/>
      <c r="Q127" s="51"/>
      <c r="R127" s="50"/>
      <c r="S127" s="50"/>
      <c r="T127" s="51"/>
      <c r="U127" s="50"/>
    </row>
    <row r="128" spans="1:21" x14ac:dyDescent="0.25">
      <c r="A128" s="45" t="s">
        <v>20</v>
      </c>
      <c r="B128" s="46">
        <v>45764</v>
      </c>
      <c r="C128" s="45" t="s">
        <v>168</v>
      </c>
      <c r="D128" s="47"/>
      <c r="E128" s="45" t="s">
        <v>296</v>
      </c>
      <c r="F128" s="45" t="s">
        <v>297</v>
      </c>
      <c r="G128" s="45" t="s">
        <v>164</v>
      </c>
      <c r="H128" s="45" t="s">
        <v>2867</v>
      </c>
      <c r="I128" s="45" t="s">
        <v>435</v>
      </c>
      <c r="J128" s="45">
        <v>75516</v>
      </c>
      <c r="K128" s="45" t="s">
        <v>2868</v>
      </c>
      <c r="L128" s="48">
        <v>174</v>
      </c>
      <c r="M128" s="49">
        <v>202412161454</v>
      </c>
      <c r="N128" s="50" t="s">
        <v>28</v>
      </c>
      <c r="O128" s="50"/>
      <c r="P128" s="50"/>
      <c r="Q128" s="51"/>
      <c r="R128" s="50"/>
      <c r="S128" s="50"/>
      <c r="T128" s="51"/>
      <c r="U128" s="50"/>
    </row>
    <row r="129" spans="1:21" x14ac:dyDescent="0.25">
      <c r="A129" s="45" t="s">
        <v>20</v>
      </c>
      <c r="B129" s="46">
        <v>45764</v>
      </c>
      <c r="C129" s="45" t="s">
        <v>168</v>
      </c>
      <c r="D129" s="47"/>
      <c r="E129" s="45" t="s">
        <v>296</v>
      </c>
      <c r="F129" s="45" t="s">
        <v>297</v>
      </c>
      <c r="G129" s="45" t="s">
        <v>164</v>
      </c>
      <c r="H129" s="45" t="s">
        <v>2867</v>
      </c>
      <c r="I129" s="45" t="s">
        <v>435</v>
      </c>
      <c r="J129" s="45">
        <v>75516</v>
      </c>
      <c r="K129" s="45" t="s">
        <v>2561</v>
      </c>
      <c r="L129" s="48">
        <v>60</v>
      </c>
      <c r="M129" s="49">
        <v>20241219761</v>
      </c>
      <c r="N129" s="50" t="s">
        <v>28</v>
      </c>
      <c r="O129" s="50"/>
      <c r="P129" s="50"/>
      <c r="Q129" s="51"/>
      <c r="R129" s="50"/>
      <c r="S129" s="50"/>
      <c r="T129" s="51"/>
      <c r="U129" s="50"/>
    </row>
    <row r="130" spans="1:21" x14ac:dyDescent="0.25">
      <c r="A130" s="45" t="s">
        <v>20</v>
      </c>
      <c r="B130" s="46">
        <v>45764</v>
      </c>
      <c r="C130" s="45" t="s">
        <v>168</v>
      </c>
      <c r="D130" s="47"/>
      <c r="E130" s="45" t="s">
        <v>296</v>
      </c>
      <c r="F130" s="45" t="s">
        <v>297</v>
      </c>
      <c r="G130" s="45" t="s">
        <v>164</v>
      </c>
      <c r="H130" s="45" t="s">
        <v>2867</v>
      </c>
      <c r="I130" s="45" t="s">
        <v>435</v>
      </c>
      <c r="J130" s="45">
        <v>75516</v>
      </c>
      <c r="K130" s="45" t="s">
        <v>2869</v>
      </c>
      <c r="L130" s="48">
        <v>60</v>
      </c>
      <c r="M130" s="49">
        <v>20241219742</v>
      </c>
      <c r="N130" s="50" t="s">
        <v>28</v>
      </c>
      <c r="O130" s="50"/>
      <c r="P130" s="50"/>
      <c r="Q130" s="51"/>
      <c r="R130" s="50"/>
      <c r="S130" s="50"/>
      <c r="T130" s="51"/>
      <c r="U130" s="50"/>
    </row>
    <row r="131" spans="1:21" x14ac:dyDescent="0.25">
      <c r="A131" s="45" t="s">
        <v>70</v>
      </c>
      <c r="B131" s="46">
        <v>45764</v>
      </c>
      <c r="C131" s="45" t="s">
        <v>168</v>
      </c>
      <c r="D131" s="47"/>
      <c r="E131" s="45" t="s">
        <v>296</v>
      </c>
      <c r="F131" s="45" t="s">
        <v>297</v>
      </c>
      <c r="G131" s="45" t="s">
        <v>298</v>
      </c>
      <c r="H131" s="45" t="s">
        <v>821</v>
      </c>
      <c r="I131" s="45" t="s">
        <v>2870</v>
      </c>
      <c r="J131" s="45">
        <v>75853</v>
      </c>
      <c r="K131" s="45" t="s">
        <v>2830</v>
      </c>
      <c r="L131" s="48">
        <v>7.2</v>
      </c>
      <c r="M131" s="49">
        <v>20241217526</v>
      </c>
      <c r="N131" s="50" t="s">
        <v>28</v>
      </c>
      <c r="O131" s="50"/>
      <c r="P131" s="50"/>
      <c r="Q131" s="51"/>
      <c r="R131" s="50"/>
      <c r="S131" s="50"/>
      <c r="T131" s="51"/>
      <c r="U131" s="50"/>
    </row>
    <row r="132" spans="1:21" x14ac:dyDescent="0.25">
      <c r="A132" s="45" t="s">
        <v>20</v>
      </c>
      <c r="B132" s="46">
        <v>45764</v>
      </c>
      <c r="C132" s="45" t="s">
        <v>168</v>
      </c>
      <c r="D132" s="47"/>
      <c r="E132" s="45" t="s">
        <v>296</v>
      </c>
      <c r="F132" s="45" t="s">
        <v>297</v>
      </c>
      <c r="G132" s="45" t="s">
        <v>2871</v>
      </c>
      <c r="H132" s="45" t="s">
        <v>245</v>
      </c>
      <c r="I132" s="45" t="s">
        <v>2872</v>
      </c>
      <c r="J132" s="45">
        <v>2688845</v>
      </c>
      <c r="K132" s="45" t="s">
        <v>2830</v>
      </c>
      <c r="L132" s="48">
        <v>16.079999999999998</v>
      </c>
      <c r="M132" s="49">
        <v>20241217475</v>
      </c>
      <c r="N132" s="50" t="s">
        <v>28</v>
      </c>
      <c r="O132" s="50"/>
      <c r="P132" s="50"/>
      <c r="Q132" s="51"/>
      <c r="R132" s="50"/>
      <c r="S132" s="50"/>
      <c r="T132" s="51"/>
      <c r="U132" s="50"/>
    </row>
    <row r="133" spans="1:21" x14ac:dyDescent="0.25">
      <c r="A133" s="45" t="s">
        <v>29</v>
      </c>
      <c r="B133" s="46">
        <v>45764</v>
      </c>
      <c r="C133" s="45" t="s">
        <v>168</v>
      </c>
      <c r="D133" s="47"/>
      <c r="E133" s="45" t="s">
        <v>296</v>
      </c>
      <c r="F133" s="45" t="s">
        <v>297</v>
      </c>
      <c r="G133" s="45" t="s">
        <v>315</v>
      </c>
      <c r="H133" s="45" t="s">
        <v>316</v>
      </c>
      <c r="I133" s="45" t="s">
        <v>317</v>
      </c>
      <c r="J133" s="45">
        <v>13660346</v>
      </c>
      <c r="K133" s="45" t="s">
        <v>2372</v>
      </c>
      <c r="L133" s="48">
        <v>367.5</v>
      </c>
      <c r="M133" s="49">
        <v>20241220484</v>
      </c>
      <c r="N133" s="50" t="s">
        <v>28</v>
      </c>
      <c r="O133" s="50"/>
      <c r="P133" s="50"/>
      <c r="Q133" s="51"/>
      <c r="R133" s="50"/>
      <c r="S133" s="50"/>
      <c r="T133" s="51"/>
      <c r="U133" s="50"/>
    </row>
    <row r="134" spans="1:21" x14ac:dyDescent="0.25">
      <c r="A134" s="45" t="s">
        <v>20</v>
      </c>
      <c r="B134" s="46">
        <v>45764</v>
      </c>
      <c r="C134" s="45" t="s">
        <v>168</v>
      </c>
      <c r="D134" s="47"/>
      <c r="E134" s="45" t="s">
        <v>669</v>
      </c>
      <c r="F134" s="45" t="s">
        <v>670</v>
      </c>
      <c r="G134" s="45" t="s">
        <v>2700</v>
      </c>
      <c r="H134" s="45" t="s">
        <v>2873</v>
      </c>
      <c r="I134" s="45" t="s">
        <v>2874</v>
      </c>
      <c r="J134" s="45">
        <v>213721714</v>
      </c>
      <c r="K134" s="45" t="s">
        <v>1779</v>
      </c>
      <c r="L134" s="48">
        <v>1002.83</v>
      </c>
      <c r="M134" s="49">
        <v>202412161120</v>
      </c>
      <c r="N134" s="50" t="s">
        <v>28</v>
      </c>
      <c r="O134" s="50"/>
      <c r="P134" s="50"/>
      <c r="Q134" s="51"/>
      <c r="R134" s="50"/>
      <c r="S134" s="50"/>
      <c r="T134" s="51"/>
      <c r="U134" s="50"/>
    </row>
    <row r="135" spans="1:21" x14ac:dyDescent="0.25">
      <c r="A135" s="45" t="s">
        <v>324</v>
      </c>
      <c r="B135" s="46">
        <v>45775</v>
      </c>
      <c r="C135" s="45" t="s">
        <v>21</v>
      </c>
      <c r="D135" s="47"/>
      <c r="E135" s="45" t="s">
        <v>325</v>
      </c>
      <c r="F135" s="45" t="s">
        <v>278</v>
      </c>
      <c r="G135" s="45" t="s">
        <v>2875</v>
      </c>
      <c r="H135" s="45" t="s">
        <v>1008</v>
      </c>
      <c r="I135" s="45" t="s">
        <v>2876</v>
      </c>
      <c r="J135" s="45">
        <v>531568094</v>
      </c>
      <c r="K135" s="45" t="s">
        <v>1907</v>
      </c>
      <c r="L135" s="48">
        <v>4</v>
      </c>
      <c r="M135" s="49">
        <v>202412161449</v>
      </c>
      <c r="N135" s="50" t="s">
        <v>28</v>
      </c>
      <c r="O135" s="50"/>
      <c r="P135" s="50"/>
      <c r="Q135" s="51"/>
      <c r="R135" s="50"/>
      <c r="S135" s="50"/>
      <c r="T135" s="51"/>
      <c r="U135" s="50"/>
    </row>
    <row r="136" spans="1:21" x14ac:dyDescent="0.25">
      <c r="A136" s="45" t="s">
        <v>324</v>
      </c>
      <c r="B136" s="46">
        <v>45775</v>
      </c>
      <c r="C136" s="45" t="s">
        <v>21</v>
      </c>
      <c r="D136" s="47"/>
      <c r="E136" s="45" t="s">
        <v>325</v>
      </c>
      <c r="F136" s="45" t="s">
        <v>278</v>
      </c>
      <c r="G136" s="45" t="s">
        <v>2875</v>
      </c>
      <c r="H136" s="45" t="s">
        <v>1008</v>
      </c>
      <c r="I136" s="45" t="s">
        <v>2876</v>
      </c>
      <c r="J136" s="45">
        <v>531568094</v>
      </c>
      <c r="K136" s="45" t="s">
        <v>2309</v>
      </c>
      <c r="L136" s="48">
        <v>14.99</v>
      </c>
      <c r="M136" s="49">
        <v>202412161450</v>
      </c>
      <c r="N136" s="50" t="s">
        <v>28</v>
      </c>
      <c r="O136" s="50"/>
      <c r="P136" s="50"/>
      <c r="Q136" s="51"/>
      <c r="R136" s="50"/>
      <c r="S136" s="50"/>
      <c r="T136" s="51"/>
      <c r="U136" s="50"/>
    </row>
    <row r="137" spans="1:21" x14ac:dyDescent="0.25">
      <c r="A137" s="45" t="s">
        <v>324</v>
      </c>
      <c r="B137" s="46">
        <v>45775</v>
      </c>
      <c r="C137" s="45" t="s">
        <v>21</v>
      </c>
      <c r="D137" s="47"/>
      <c r="E137" s="45" t="s">
        <v>325</v>
      </c>
      <c r="F137" s="45" t="s">
        <v>278</v>
      </c>
      <c r="G137" s="45" t="s">
        <v>2875</v>
      </c>
      <c r="H137" s="45" t="s">
        <v>1008</v>
      </c>
      <c r="I137" s="45" t="s">
        <v>2876</v>
      </c>
      <c r="J137" s="45">
        <v>531568094</v>
      </c>
      <c r="K137" s="45" t="s">
        <v>1907</v>
      </c>
      <c r="L137" s="48">
        <v>4</v>
      </c>
      <c r="M137" s="49">
        <v>202412161451</v>
      </c>
      <c r="N137" s="50" t="s">
        <v>28</v>
      </c>
      <c r="O137" s="50"/>
      <c r="P137" s="50"/>
      <c r="Q137" s="51"/>
      <c r="R137" s="50"/>
      <c r="S137" s="50"/>
      <c r="T137" s="51"/>
      <c r="U137" s="50"/>
    </row>
    <row r="138" spans="1:21" x14ac:dyDescent="0.25">
      <c r="A138" s="45" t="s">
        <v>324</v>
      </c>
      <c r="B138" s="46">
        <v>45775</v>
      </c>
      <c r="C138" s="45" t="s">
        <v>21</v>
      </c>
      <c r="D138" s="47"/>
      <c r="E138" s="45" t="s">
        <v>325</v>
      </c>
      <c r="F138" s="45" t="s">
        <v>278</v>
      </c>
      <c r="G138" s="45" t="s">
        <v>2875</v>
      </c>
      <c r="H138" s="45" t="s">
        <v>1008</v>
      </c>
      <c r="I138" s="45" t="s">
        <v>2876</v>
      </c>
      <c r="J138" s="45">
        <v>531568094</v>
      </c>
      <c r="K138" s="45" t="s">
        <v>1853</v>
      </c>
      <c r="L138" s="48">
        <v>8</v>
      </c>
      <c r="M138" s="49">
        <v>202412161452</v>
      </c>
      <c r="N138" s="50" t="s">
        <v>28</v>
      </c>
      <c r="O138" s="50"/>
      <c r="P138" s="50"/>
      <c r="Q138" s="51"/>
      <c r="R138" s="50"/>
      <c r="S138" s="50"/>
      <c r="T138" s="51"/>
      <c r="U138" s="50"/>
    </row>
    <row r="139" spans="1:21" x14ac:dyDescent="0.25">
      <c r="A139" s="45" t="s">
        <v>324</v>
      </c>
      <c r="B139" s="46">
        <v>45775</v>
      </c>
      <c r="C139" s="45" t="s">
        <v>21</v>
      </c>
      <c r="D139" s="47"/>
      <c r="E139" s="45" t="s">
        <v>325</v>
      </c>
      <c r="F139" s="45" t="s">
        <v>278</v>
      </c>
      <c r="G139" s="45" t="s">
        <v>2875</v>
      </c>
      <c r="H139" s="45" t="s">
        <v>1008</v>
      </c>
      <c r="I139" s="45" t="s">
        <v>2876</v>
      </c>
      <c r="J139" s="45">
        <v>531568094</v>
      </c>
      <c r="K139" s="45" t="s">
        <v>358</v>
      </c>
      <c r="L139" s="48">
        <v>8</v>
      </c>
      <c r="M139" s="49">
        <v>202412161453</v>
      </c>
      <c r="N139" s="50" t="s">
        <v>28</v>
      </c>
      <c r="O139" s="50"/>
      <c r="P139" s="50"/>
      <c r="Q139" s="51"/>
      <c r="R139" s="50"/>
      <c r="S139" s="50"/>
      <c r="T139" s="51"/>
      <c r="U139" s="50"/>
    </row>
    <row r="140" spans="1:21" x14ac:dyDescent="0.25">
      <c r="A140" s="45" t="s">
        <v>233</v>
      </c>
      <c r="B140" s="46">
        <v>45775</v>
      </c>
      <c r="C140" s="45" t="s">
        <v>21</v>
      </c>
      <c r="D140" s="47"/>
      <c r="E140" s="45" t="s">
        <v>325</v>
      </c>
      <c r="F140" s="45" t="s">
        <v>278</v>
      </c>
      <c r="G140" s="45" t="s">
        <v>347</v>
      </c>
      <c r="H140" s="45" t="s">
        <v>57</v>
      </c>
      <c r="I140" s="45" t="s">
        <v>2877</v>
      </c>
      <c r="J140" s="45">
        <v>548938385</v>
      </c>
      <c r="K140" s="45" t="s">
        <v>894</v>
      </c>
      <c r="L140" s="48">
        <v>48.06</v>
      </c>
      <c r="M140" s="49">
        <v>20241219793</v>
      </c>
      <c r="N140" s="50" t="s">
        <v>28</v>
      </c>
      <c r="O140" s="50"/>
      <c r="P140" s="50"/>
      <c r="Q140" s="51"/>
      <c r="R140" s="50"/>
      <c r="S140" s="50"/>
      <c r="T140" s="51"/>
      <c r="U140" s="50"/>
    </row>
    <row r="141" spans="1:21" x14ac:dyDescent="0.25">
      <c r="A141" s="45" t="s">
        <v>233</v>
      </c>
      <c r="B141" s="46">
        <v>45775</v>
      </c>
      <c r="C141" s="45" t="s">
        <v>21</v>
      </c>
      <c r="D141" s="47"/>
      <c r="E141" s="45" t="s">
        <v>325</v>
      </c>
      <c r="F141" s="45" t="s">
        <v>278</v>
      </c>
      <c r="G141" s="45" t="s">
        <v>347</v>
      </c>
      <c r="H141" s="45" t="s">
        <v>57</v>
      </c>
      <c r="I141" s="45" t="s">
        <v>2877</v>
      </c>
      <c r="J141" s="45">
        <v>548938385</v>
      </c>
      <c r="K141" s="45" t="s">
        <v>2507</v>
      </c>
      <c r="L141" s="48">
        <v>581.66</v>
      </c>
      <c r="M141" s="49">
        <v>20241219792</v>
      </c>
      <c r="N141" s="50" t="s">
        <v>28</v>
      </c>
      <c r="O141" s="50"/>
      <c r="P141" s="50"/>
      <c r="Q141" s="51"/>
      <c r="R141" s="50"/>
      <c r="S141" s="50"/>
      <c r="T141" s="51"/>
      <c r="U141" s="50"/>
    </row>
    <row r="142" spans="1:21" x14ac:dyDescent="0.25">
      <c r="A142" s="45" t="s">
        <v>233</v>
      </c>
      <c r="B142" s="46">
        <v>45775</v>
      </c>
      <c r="C142" s="45" t="s">
        <v>21</v>
      </c>
      <c r="D142" s="47"/>
      <c r="E142" s="45" t="s">
        <v>325</v>
      </c>
      <c r="F142" s="45" t="s">
        <v>278</v>
      </c>
      <c r="G142" s="45" t="s">
        <v>347</v>
      </c>
      <c r="H142" s="45" t="s">
        <v>57</v>
      </c>
      <c r="I142" s="45" t="s">
        <v>2877</v>
      </c>
      <c r="J142" s="45">
        <v>548938385</v>
      </c>
      <c r="K142" s="45" t="s">
        <v>97</v>
      </c>
      <c r="L142" s="48">
        <v>62.89</v>
      </c>
      <c r="M142" s="49">
        <v>20241219802</v>
      </c>
      <c r="N142" s="50" t="s">
        <v>28</v>
      </c>
      <c r="O142" s="50"/>
      <c r="P142" s="50"/>
      <c r="Q142" s="51"/>
      <c r="R142" s="50"/>
      <c r="S142" s="50"/>
      <c r="T142" s="51"/>
      <c r="U142" s="50"/>
    </row>
    <row r="143" spans="1:21" x14ac:dyDescent="0.25">
      <c r="A143" s="45" t="s">
        <v>233</v>
      </c>
      <c r="B143" s="46">
        <v>45775</v>
      </c>
      <c r="C143" s="45" t="s">
        <v>21</v>
      </c>
      <c r="D143" s="47"/>
      <c r="E143" s="45" t="s">
        <v>325</v>
      </c>
      <c r="F143" s="45" t="s">
        <v>278</v>
      </c>
      <c r="G143" s="45" t="s">
        <v>347</v>
      </c>
      <c r="H143" s="45" t="s">
        <v>57</v>
      </c>
      <c r="I143" s="45" t="s">
        <v>2877</v>
      </c>
      <c r="J143" s="45">
        <v>548938385</v>
      </c>
      <c r="K143" s="45" t="s">
        <v>1839</v>
      </c>
      <c r="L143" s="48">
        <v>16.02</v>
      </c>
      <c r="M143" s="49">
        <v>20241219803</v>
      </c>
      <c r="N143" s="50" t="s">
        <v>28</v>
      </c>
      <c r="O143" s="50"/>
      <c r="P143" s="50"/>
      <c r="Q143" s="51"/>
      <c r="R143" s="50"/>
      <c r="S143" s="50"/>
      <c r="T143" s="51"/>
      <c r="U143" s="50"/>
    </row>
    <row r="144" spans="1:21" x14ac:dyDescent="0.25">
      <c r="A144" s="45" t="s">
        <v>233</v>
      </c>
      <c r="B144" s="46">
        <v>45775</v>
      </c>
      <c r="C144" s="45" t="s">
        <v>21</v>
      </c>
      <c r="D144" s="47"/>
      <c r="E144" s="45" t="s">
        <v>325</v>
      </c>
      <c r="F144" s="45" t="s">
        <v>278</v>
      </c>
      <c r="G144" s="45" t="s">
        <v>347</v>
      </c>
      <c r="H144" s="45" t="s">
        <v>57</v>
      </c>
      <c r="I144" s="45" t="s">
        <v>2877</v>
      </c>
      <c r="J144" s="45">
        <v>548938385</v>
      </c>
      <c r="K144" s="45" t="s">
        <v>2507</v>
      </c>
      <c r="L144" s="48">
        <v>44.95</v>
      </c>
      <c r="M144" s="49">
        <v>20241219804</v>
      </c>
      <c r="N144" s="50" t="s">
        <v>28</v>
      </c>
      <c r="O144" s="50"/>
      <c r="P144" s="50"/>
      <c r="Q144" s="51"/>
      <c r="R144" s="50"/>
      <c r="S144" s="50"/>
      <c r="T144" s="51"/>
      <c r="U144" s="50"/>
    </row>
    <row r="145" spans="1:21" x14ac:dyDescent="0.25">
      <c r="A145" s="45" t="s">
        <v>233</v>
      </c>
      <c r="B145" s="46">
        <v>45775</v>
      </c>
      <c r="C145" s="45" t="s">
        <v>21</v>
      </c>
      <c r="D145" s="47"/>
      <c r="E145" s="45" t="s">
        <v>325</v>
      </c>
      <c r="F145" s="45" t="s">
        <v>278</v>
      </c>
      <c r="G145" s="45" t="s">
        <v>347</v>
      </c>
      <c r="H145" s="45" t="s">
        <v>57</v>
      </c>
      <c r="I145" s="45" t="s">
        <v>2877</v>
      </c>
      <c r="J145" s="45">
        <v>548938385</v>
      </c>
      <c r="K145" s="45" t="s">
        <v>2073</v>
      </c>
      <c r="L145" s="48">
        <v>48.06</v>
      </c>
      <c r="M145" s="49">
        <v>20241219794</v>
      </c>
      <c r="N145" s="50" t="s">
        <v>28</v>
      </c>
      <c r="O145" s="50"/>
      <c r="P145" s="50"/>
      <c r="Q145" s="51"/>
      <c r="R145" s="50"/>
      <c r="S145" s="50"/>
      <c r="T145" s="51"/>
      <c r="U145" s="50"/>
    </row>
    <row r="146" spans="1:21" x14ac:dyDescent="0.25">
      <c r="A146" s="45" t="s">
        <v>20</v>
      </c>
      <c r="B146" s="46">
        <v>45765</v>
      </c>
      <c r="C146" s="45" t="s">
        <v>168</v>
      </c>
      <c r="D146" s="47"/>
      <c r="E146" s="45" t="s">
        <v>325</v>
      </c>
      <c r="F146" s="45" t="s">
        <v>278</v>
      </c>
      <c r="G146" s="45" t="s">
        <v>2878</v>
      </c>
      <c r="H146" s="45" t="s">
        <v>2711</v>
      </c>
      <c r="I146" s="45" t="s">
        <v>2879</v>
      </c>
      <c r="J146" s="45">
        <v>553559774</v>
      </c>
      <c r="K146" s="45" t="s">
        <v>2597</v>
      </c>
      <c r="L146" s="48">
        <v>350</v>
      </c>
      <c r="M146" s="49">
        <v>20241209613</v>
      </c>
      <c r="N146" s="50" t="s">
        <v>28</v>
      </c>
      <c r="O146" s="50"/>
      <c r="P146" s="50"/>
      <c r="Q146" s="51"/>
      <c r="R146" s="50"/>
      <c r="S146" s="50"/>
      <c r="T146" s="51"/>
      <c r="U146" s="50"/>
    </row>
    <row r="147" spans="1:21" x14ac:dyDescent="0.25">
      <c r="A147" s="45" t="s">
        <v>233</v>
      </c>
      <c r="B147" s="46">
        <v>45775</v>
      </c>
      <c r="C147" s="45" t="s">
        <v>21</v>
      </c>
      <c r="D147" s="47"/>
      <c r="E147" s="45" t="s">
        <v>325</v>
      </c>
      <c r="F147" s="45" t="s">
        <v>278</v>
      </c>
      <c r="G147" s="45" t="s">
        <v>1171</v>
      </c>
      <c r="H147" s="45" t="s">
        <v>2880</v>
      </c>
      <c r="I147" s="45" t="s">
        <v>2881</v>
      </c>
      <c r="J147" s="45">
        <v>555601541</v>
      </c>
      <c r="K147" s="45" t="s">
        <v>999</v>
      </c>
      <c r="L147" s="48">
        <v>10</v>
      </c>
      <c r="M147" s="49">
        <v>202412161457</v>
      </c>
      <c r="N147" s="50" t="s">
        <v>28</v>
      </c>
      <c r="O147" s="50"/>
      <c r="P147" s="50"/>
      <c r="Q147" s="51"/>
      <c r="R147" s="50"/>
      <c r="S147" s="50"/>
      <c r="T147" s="51"/>
      <c r="U147" s="50"/>
    </row>
    <row r="148" spans="1:21" x14ac:dyDescent="0.25">
      <c r="A148" s="45" t="s">
        <v>233</v>
      </c>
      <c r="B148" s="46">
        <v>45775</v>
      </c>
      <c r="C148" s="45" t="s">
        <v>21</v>
      </c>
      <c r="D148" s="47"/>
      <c r="E148" s="45" t="s">
        <v>325</v>
      </c>
      <c r="F148" s="45" t="s">
        <v>278</v>
      </c>
      <c r="G148" s="45" t="s">
        <v>1171</v>
      </c>
      <c r="H148" s="45" t="s">
        <v>2880</v>
      </c>
      <c r="I148" s="45" t="s">
        <v>2881</v>
      </c>
      <c r="J148" s="45">
        <v>555601541</v>
      </c>
      <c r="K148" s="45" t="s">
        <v>999</v>
      </c>
      <c r="L148" s="48">
        <v>32.99</v>
      </c>
      <c r="M148" s="49">
        <v>202412161458</v>
      </c>
      <c r="N148" s="50" t="s">
        <v>28</v>
      </c>
      <c r="O148" s="50"/>
      <c r="P148" s="50"/>
      <c r="Q148" s="51"/>
      <c r="R148" s="50"/>
      <c r="S148" s="50"/>
      <c r="T148" s="51"/>
      <c r="U148" s="50"/>
    </row>
    <row r="149" spans="1:21" x14ac:dyDescent="0.25">
      <c r="A149" s="45" t="s">
        <v>233</v>
      </c>
      <c r="B149" s="46">
        <v>45775</v>
      </c>
      <c r="C149" s="45" t="s">
        <v>21</v>
      </c>
      <c r="D149" s="47"/>
      <c r="E149" s="45" t="s">
        <v>325</v>
      </c>
      <c r="F149" s="45" t="s">
        <v>278</v>
      </c>
      <c r="G149" s="45" t="s">
        <v>1171</v>
      </c>
      <c r="H149" s="45" t="s">
        <v>2880</v>
      </c>
      <c r="I149" s="45" t="s">
        <v>2881</v>
      </c>
      <c r="J149" s="45">
        <v>555601541</v>
      </c>
      <c r="K149" s="45" t="s">
        <v>999</v>
      </c>
      <c r="L149" s="48">
        <v>180</v>
      </c>
      <c r="M149" s="49">
        <v>202412161459</v>
      </c>
      <c r="N149" s="50" t="s">
        <v>28</v>
      </c>
      <c r="O149" s="50"/>
      <c r="P149" s="50"/>
      <c r="Q149" s="51"/>
      <c r="R149" s="50"/>
      <c r="S149" s="50"/>
      <c r="T149" s="51"/>
      <c r="U149" s="50"/>
    </row>
    <row r="150" spans="1:21" x14ac:dyDescent="0.25">
      <c r="A150" s="45" t="s">
        <v>20</v>
      </c>
      <c r="B150" s="46">
        <v>45765</v>
      </c>
      <c r="C150" s="45" t="s">
        <v>168</v>
      </c>
      <c r="D150" s="47"/>
      <c r="E150" s="45" t="s">
        <v>345</v>
      </c>
      <c r="F150" s="45" t="s">
        <v>1642</v>
      </c>
      <c r="G150" s="45" t="s">
        <v>885</v>
      </c>
      <c r="H150" s="45" t="s">
        <v>2882</v>
      </c>
      <c r="I150" s="45" t="s">
        <v>2843</v>
      </c>
      <c r="J150" s="45">
        <v>565690657</v>
      </c>
      <c r="K150" s="45" t="s">
        <v>1702</v>
      </c>
      <c r="L150" s="48">
        <v>1210</v>
      </c>
      <c r="M150" s="49">
        <v>20241111784</v>
      </c>
      <c r="N150" s="50" t="s">
        <v>28</v>
      </c>
      <c r="O150" s="50"/>
      <c r="P150" s="50"/>
      <c r="Q150" s="51"/>
      <c r="R150" s="50"/>
      <c r="S150" s="50"/>
      <c r="T150" s="51"/>
      <c r="U150" s="50"/>
    </row>
    <row r="151" spans="1:21" x14ac:dyDescent="0.25">
      <c r="A151" s="45" t="s">
        <v>375</v>
      </c>
      <c r="B151" s="46">
        <v>45775</v>
      </c>
      <c r="C151" s="45" t="s">
        <v>21</v>
      </c>
      <c r="D151" s="47"/>
      <c r="E151" s="45" t="s">
        <v>371</v>
      </c>
      <c r="F151" s="45" t="s">
        <v>372</v>
      </c>
      <c r="G151" s="45" t="s">
        <v>376</v>
      </c>
      <c r="H151" s="45" t="s">
        <v>110</v>
      </c>
      <c r="I151" s="45" t="s">
        <v>826</v>
      </c>
      <c r="J151" s="45">
        <v>529597701</v>
      </c>
      <c r="K151" s="45" t="s">
        <v>1338</v>
      </c>
      <c r="L151" s="48">
        <v>20</v>
      </c>
      <c r="M151" s="49">
        <v>20241220355</v>
      </c>
      <c r="N151" s="50" t="s">
        <v>28</v>
      </c>
      <c r="O151" s="50"/>
      <c r="P151" s="50"/>
      <c r="Q151" s="51"/>
      <c r="R151" s="50"/>
      <c r="S151" s="50"/>
      <c r="T151" s="51"/>
      <c r="U151" s="50"/>
    </row>
    <row r="152" spans="1:21" x14ac:dyDescent="0.25">
      <c r="A152" s="45" t="s">
        <v>375</v>
      </c>
      <c r="B152" s="46">
        <v>45775</v>
      </c>
      <c r="C152" s="45" t="s">
        <v>21</v>
      </c>
      <c r="D152" s="47"/>
      <c r="E152" s="45" t="s">
        <v>371</v>
      </c>
      <c r="F152" s="45" t="s">
        <v>372</v>
      </c>
      <c r="G152" s="45" t="s">
        <v>376</v>
      </c>
      <c r="H152" s="45" t="s">
        <v>110</v>
      </c>
      <c r="I152" s="45" t="s">
        <v>826</v>
      </c>
      <c r="J152" s="45">
        <v>529597701</v>
      </c>
      <c r="K152" s="45" t="s">
        <v>999</v>
      </c>
      <c r="L152" s="48">
        <v>20</v>
      </c>
      <c r="M152" s="49">
        <v>20241220354</v>
      </c>
      <c r="N152" s="50" t="s">
        <v>28</v>
      </c>
      <c r="O152" s="50"/>
      <c r="P152" s="50"/>
      <c r="Q152" s="51"/>
      <c r="R152" s="50"/>
      <c r="S152" s="50"/>
      <c r="T152" s="51"/>
      <c r="U152" s="50"/>
    </row>
    <row r="153" spans="1:21" x14ac:dyDescent="0.25">
      <c r="A153" s="45" t="s">
        <v>375</v>
      </c>
      <c r="B153" s="46">
        <v>45775</v>
      </c>
      <c r="C153" s="45" t="s">
        <v>21</v>
      </c>
      <c r="D153" s="47"/>
      <c r="E153" s="45" t="s">
        <v>371</v>
      </c>
      <c r="F153" s="45" t="s">
        <v>372</v>
      </c>
      <c r="G153" s="45" t="s">
        <v>376</v>
      </c>
      <c r="H153" s="45" t="s">
        <v>110</v>
      </c>
      <c r="I153" s="45" t="s">
        <v>826</v>
      </c>
      <c r="J153" s="45">
        <v>529597701</v>
      </c>
      <c r="K153" s="45" t="s">
        <v>790</v>
      </c>
      <c r="L153" s="48">
        <v>20</v>
      </c>
      <c r="M153" s="49">
        <v>20241220352</v>
      </c>
      <c r="N153" s="50" t="s">
        <v>28</v>
      </c>
      <c r="O153" s="50"/>
      <c r="P153" s="50"/>
      <c r="Q153" s="51"/>
      <c r="R153" s="50"/>
      <c r="S153" s="50"/>
      <c r="T153" s="51"/>
      <c r="U153" s="50"/>
    </row>
    <row r="154" spans="1:21" x14ac:dyDescent="0.25">
      <c r="A154" s="45" t="s">
        <v>375</v>
      </c>
      <c r="B154" s="46">
        <v>45775</v>
      </c>
      <c r="C154" s="45" t="s">
        <v>21</v>
      </c>
      <c r="D154" s="47"/>
      <c r="E154" s="45" t="s">
        <v>371</v>
      </c>
      <c r="F154" s="45" t="s">
        <v>372</v>
      </c>
      <c r="G154" s="45" t="s">
        <v>376</v>
      </c>
      <c r="H154" s="45" t="s">
        <v>110</v>
      </c>
      <c r="I154" s="45" t="s">
        <v>826</v>
      </c>
      <c r="J154" s="45">
        <v>529597701</v>
      </c>
      <c r="K154" s="45" t="s">
        <v>2087</v>
      </c>
      <c r="L154" s="48">
        <v>20</v>
      </c>
      <c r="M154" s="49">
        <v>20241220356</v>
      </c>
      <c r="N154" s="50" t="s">
        <v>28</v>
      </c>
      <c r="O154" s="50"/>
      <c r="P154" s="50"/>
      <c r="Q154" s="51"/>
      <c r="R154" s="50"/>
      <c r="S154" s="50"/>
      <c r="T154" s="51"/>
      <c r="U154" s="50"/>
    </row>
    <row r="155" spans="1:21" x14ac:dyDescent="0.25">
      <c r="A155" s="45" t="s">
        <v>375</v>
      </c>
      <c r="B155" s="46">
        <v>45775</v>
      </c>
      <c r="C155" s="45" t="s">
        <v>21</v>
      </c>
      <c r="D155" s="47"/>
      <c r="E155" s="45" t="s">
        <v>371</v>
      </c>
      <c r="F155" s="45" t="s">
        <v>372</v>
      </c>
      <c r="G155" s="45" t="s">
        <v>376</v>
      </c>
      <c r="H155" s="45" t="s">
        <v>1052</v>
      </c>
      <c r="I155" s="45" t="s">
        <v>2883</v>
      </c>
      <c r="J155" s="45">
        <v>529710800</v>
      </c>
      <c r="K155" s="45" t="s">
        <v>2830</v>
      </c>
      <c r="L155" s="48">
        <v>7.33</v>
      </c>
      <c r="M155" s="49">
        <v>20241219117</v>
      </c>
      <c r="N155" s="50" t="s">
        <v>28</v>
      </c>
      <c r="O155" s="50"/>
      <c r="P155" s="50"/>
      <c r="Q155" s="51"/>
      <c r="R155" s="50"/>
      <c r="S155" s="50"/>
      <c r="T155" s="51"/>
      <c r="U155" s="50"/>
    </row>
    <row r="156" spans="1:21" x14ac:dyDescent="0.25">
      <c r="A156" s="45" t="s">
        <v>375</v>
      </c>
      <c r="B156" s="46">
        <v>45775</v>
      </c>
      <c r="C156" s="45" t="s">
        <v>21</v>
      </c>
      <c r="D156" s="47"/>
      <c r="E156" s="45" t="s">
        <v>371</v>
      </c>
      <c r="F156" s="45" t="s">
        <v>372</v>
      </c>
      <c r="G156" s="45" t="s">
        <v>376</v>
      </c>
      <c r="H156" s="45" t="s">
        <v>1052</v>
      </c>
      <c r="I156" s="45" t="s">
        <v>2883</v>
      </c>
      <c r="J156" s="45">
        <v>529710800</v>
      </c>
      <c r="K156" s="45" t="s">
        <v>2244</v>
      </c>
      <c r="L156" s="48">
        <v>13.8</v>
      </c>
      <c r="M156" s="49">
        <v>20241219119</v>
      </c>
      <c r="N156" s="50" t="s">
        <v>28</v>
      </c>
      <c r="O156" s="50"/>
      <c r="P156" s="50"/>
      <c r="Q156" s="51"/>
      <c r="R156" s="50"/>
      <c r="S156" s="50"/>
      <c r="T156" s="51"/>
      <c r="U156" s="50"/>
    </row>
    <row r="157" spans="1:21" x14ac:dyDescent="0.25">
      <c r="A157" s="45" t="s">
        <v>375</v>
      </c>
      <c r="B157" s="46">
        <v>45775</v>
      </c>
      <c r="C157" s="45" t="s">
        <v>21</v>
      </c>
      <c r="D157" s="47"/>
      <c r="E157" s="45" t="s">
        <v>371</v>
      </c>
      <c r="F157" s="45" t="s">
        <v>372</v>
      </c>
      <c r="G157" s="45" t="s">
        <v>376</v>
      </c>
      <c r="H157" s="45" t="s">
        <v>1052</v>
      </c>
      <c r="I157" s="45" t="s">
        <v>2883</v>
      </c>
      <c r="J157" s="45">
        <v>529710800</v>
      </c>
      <c r="K157" s="45" t="s">
        <v>2244</v>
      </c>
      <c r="L157" s="48">
        <v>5.92</v>
      </c>
      <c r="M157" s="49">
        <v>20241219122</v>
      </c>
      <c r="N157" s="50" t="s">
        <v>28</v>
      </c>
      <c r="O157" s="50"/>
      <c r="P157" s="50"/>
      <c r="Q157" s="51"/>
      <c r="R157" s="50"/>
      <c r="S157" s="50"/>
      <c r="T157" s="51"/>
      <c r="U157" s="50"/>
    </row>
    <row r="158" spans="1:21" x14ac:dyDescent="0.25">
      <c r="A158" s="45" t="s">
        <v>375</v>
      </c>
      <c r="B158" s="46">
        <v>45775</v>
      </c>
      <c r="C158" s="45" t="s">
        <v>21</v>
      </c>
      <c r="D158" s="47"/>
      <c r="E158" s="45" t="s">
        <v>371</v>
      </c>
      <c r="F158" s="45" t="s">
        <v>372</v>
      </c>
      <c r="G158" s="45" t="s">
        <v>376</v>
      </c>
      <c r="H158" s="45" t="s">
        <v>1052</v>
      </c>
      <c r="I158" s="45" t="s">
        <v>2883</v>
      </c>
      <c r="J158" s="45">
        <v>529710800</v>
      </c>
      <c r="K158" s="45" t="s">
        <v>2244</v>
      </c>
      <c r="L158" s="48">
        <v>7.18</v>
      </c>
      <c r="M158" s="49">
        <v>20241219124</v>
      </c>
      <c r="N158" s="50" t="s">
        <v>28</v>
      </c>
      <c r="O158" s="50"/>
      <c r="P158" s="50"/>
      <c r="Q158" s="51"/>
      <c r="R158" s="50"/>
      <c r="S158" s="50"/>
      <c r="T158" s="51"/>
      <c r="U158" s="50"/>
    </row>
    <row r="159" spans="1:21" x14ac:dyDescent="0.25">
      <c r="A159" s="45" t="s">
        <v>375</v>
      </c>
      <c r="B159" s="46">
        <v>45775</v>
      </c>
      <c r="C159" s="45" t="s">
        <v>21</v>
      </c>
      <c r="D159" s="47"/>
      <c r="E159" s="45" t="s">
        <v>371</v>
      </c>
      <c r="F159" s="45" t="s">
        <v>372</v>
      </c>
      <c r="G159" s="45" t="s">
        <v>376</v>
      </c>
      <c r="H159" s="45" t="s">
        <v>1052</v>
      </c>
      <c r="I159" s="45" t="s">
        <v>2883</v>
      </c>
      <c r="J159" s="45">
        <v>529710800</v>
      </c>
      <c r="K159" s="45" t="s">
        <v>2244</v>
      </c>
      <c r="L159" s="48">
        <v>9.89</v>
      </c>
      <c r="M159" s="49">
        <v>20241219123</v>
      </c>
      <c r="N159" s="50" t="s">
        <v>28</v>
      </c>
      <c r="O159" s="50"/>
      <c r="P159" s="50"/>
      <c r="Q159" s="51"/>
      <c r="R159" s="50"/>
      <c r="S159" s="50"/>
      <c r="T159" s="51"/>
      <c r="U159" s="50"/>
    </row>
    <row r="160" spans="1:21" x14ac:dyDescent="0.25">
      <c r="A160" s="45" t="s">
        <v>375</v>
      </c>
      <c r="B160" s="46">
        <v>45775</v>
      </c>
      <c r="C160" s="45" t="s">
        <v>21</v>
      </c>
      <c r="D160" s="47"/>
      <c r="E160" s="45" t="s">
        <v>371</v>
      </c>
      <c r="F160" s="45" t="s">
        <v>372</v>
      </c>
      <c r="G160" s="45" t="s">
        <v>376</v>
      </c>
      <c r="H160" s="45" t="s">
        <v>1052</v>
      </c>
      <c r="I160" s="45" t="s">
        <v>2883</v>
      </c>
      <c r="J160" s="45">
        <v>529710800</v>
      </c>
      <c r="K160" s="45" t="s">
        <v>2244</v>
      </c>
      <c r="L160" s="48">
        <v>13.29</v>
      </c>
      <c r="M160" s="49">
        <v>20241219118</v>
      </c>
      <c r="N160" s="50" t="s">
        <v>28</v>
      </c>
      <c r="O160" s="50"/>
      <c r="P160" s="50"/>
      <c r="Q160" s="51"/>
      <c r="R160" s="50"/>
      <c r="S160" s="50"/>
      <c r="T160" s="51"/>
      <c r="U160" s="50"/>
    </row>
    <row r="161" spans="1:21" x14ac:dyDescent="0.25">
      <c r="A161" s="45" t="s">
        <v>375</v>
      </c>
      <c r="B161" s="46">
        <v>45775</v>
      </c>
      <c r="C161" s="45" t="s">
        <v>21</v>
      </c>
      <c r="D161" s="47"/>
      <c r="E161" s="45" t="s">
        <v>371</v>
      </c>
      <c r="F161" s="45" t="s">
        <v>372</v>
      </c>
      <c r="G161" s="45" t="s">
        <v>376</v>
      </c>
      <c r="H161" s="45" t="s">
        <v>1052</v>
      </c>
      <c r="I161" s="45" t="s">
        <v>2883</v>
      </c>
      <c r="J161" s="45">
        <v>529710800</v>
      </c>
      <c r="K161" s="45" t="s">
        <v>2830</v>
      </c>
      <c r="L161" s="48">
        <v>2.23</v>
      </c>
      <c r="M161" s="49">
        <v>20241219116</v>
      </c>
      <c r="N161" s="50" t="s">
        <v>28</v>
      </c>
      <c r="O161" s="50"/>
      <c r="P161" s="50"/>
      <c r="Q161" s="51"/>
      <c r="R161" s="50"/>
      <c r="S161" s="50"/>
      <c r="T161" s="51"/>
      <c r="U161" s="50"/>
    </row>
    <row r="162" spans="1:21" x14ac:dyDescent="0.25">
      <c r="A162" s="45" t="s">
        <v>375</v>
      </c>
      <c r="B162" s="46">
        <v>45775</v>
      </c>
      <c r="C162" s="45" t="s">
        <v>21</v>
      </c>
      <c r="D162" s="47"/>
      <c r="E162" s="45" t="s">
        <v>371</v>
      </c>
      <c r="F162" s="45" t="s">
        <v>372</v>
      </c>
      <c r="G162" s="45" t="s">
        <v>376</v>
      </c>
      <c r="H162" s="45" t="s">
        <v>2190</v>
      </c>
      <c r="I162" s="45" t="s">
        <v>1067</v>
      </c>
      <c r="J162" s="45">
        <v>529714427</v>
      </c>
      <c r="K162" s="45" t="s">
        <v>2884</v>
      </c>
      <c r="L162" s="48">
        <v>1585.2</v>
      </c>
      <c r="M162" s="49">
        <v>20241216176</v>
      </c>
      <c r="N162" s="50" t="s">
        <v>28</v>
      </c>
      <c r="O162" s="50"/>
      <c r="P162" s="50"/>
      <c r="Q162" s="51"/>
      <c r="R162" s="50"/>
      <c r="S162" s="50"/>
      <c r="T162" s="51"/>
      <c r="U162" s="50"/>
    </row>
    <row r="163" spans="1:21" x14ac:dyDescent="0.25">
      <c r="A163" s="45" t="s">
        <v>375</v>
      </c>
      <c r="B163" s="46">
        <v>45775</v>
      </c>
      <c r="C163" s="45" t="s">
        <v>21</v>
      </c>
      <c r="D163" s="47"/>
      <c r="E163" s="45" t="s">
        <v>371</v>
      </c>
      <c r="F163" s="45" t="s">
        <v>372</v>
      </c>
      <c r="G163" s="45" t="s">
        <v>376</v>
      </c>
      <c r="H163" s="45" t="s">
        <v>322</v>
      </c>
      <c r="I163" s="45" t="s">
        <v>2885</v>
      </c>
      <c r="J163" s="45">
        <v>529715707</v>
      </c>
      <c r="K163" s="45" t="s">
        <v>2838</v>
      </c>
      <c r="L163" s="48">
        <v>16.77</v>
      </c>
      <c r="M163" s="49">
        <v>20241217233</v>
      </c>
      <c r="N163" s="50" t="s">
        <v>28</v>
      </c>
      <c r="O163" s="50"/>
      <c r="P163" s="50"/>
      <c r="Q163" s="51"/>
      <c r="R163" s="50"/>
      <c r="S163" s="50"/>
      <c r="T163" s="51"/>
      <c r="U163" s="50"/>
    </row>
    <row r="164" spans="1:21" x14ac:dyDescent="0.25">
      <c r="A164" s="45" t="s">
        <v>375</v>
      </c>
      <c r="B164" s="46">
        <v>45775</v>
      </c>
      <c r="C164" s="45" t="s">
        <v>21</v>
      </c>
      <c r="D164" s="47"/>
      <c r="E164" s="45" t="s">
        <v>371</v>
      </c>
      <c r="F164" s="45" t="s">
        <v>372</v>
      </c>
      <c r="G164" s="45" t="s">
        <v>376</v>
      </c>
      <c r="H164" s="45" t="s">
        <v>1426</v>
      </c>
      <c r="I164" s="45" t="s">
        <v>2886</v>
      </c>
      <c r="J164" s="45">
        <v>529739669</v>
      </c>
      <c r="K164" s="45" t="s">
        <v>2720</v>
      </c>
      <c r="L164" s="48">
        <v>40</v>
      </c>
      <c r="M164" s="49">
        <v>20241218181</v>
      </c>
      <c r="N164" s="50" t="s">
        <v>28</v>
      </c>
      <c r="O164" s="50"/>
      <c r="P164" s="50"/>
      <c r="Q164" s="51"/>
      <c r="R164" s="50"/>
      <c r="S164" s="50"/>
      <c r="T164" s="51"/>
      <c r="U164" s="50"/>
    </row>
    <row r="165" spans="1:21" x14ac:dyDescent="0.25">
      <c r="A165" s="45" t="s">
        <v>375</v>
      </c>
      <c r="B165" s="46">
        <v>45775</v>
      </c>
      <c r="C165" s="45" t="s">
        <v>21</v>
      </c>
      <c r="D165" s="47"/>
      <c r="E165" s="45" t="s">
        <v>371</v>
      </c>
      <c r="F165" s="45" t="s">
        <v>372</v>
      </c>
      <c r="G165" s="45" t="s">
        <v>376</v>
      </c>
      <c r="H165" s="45" t="s">
        <v>1426</v>
      </c>
      <c r="I165" s="45" t="s">
        <v>2886</v>
      </c>
      <c r="J165" s="45">
        <v>529739669</v>
      </c>
      <c r="K165" s="45" t="s">
        <v>2838</v>
      </c>
      <c r="L165" s="48">
        <v>5</v>
      </c>
      <c r="M165" s="49">
        <v>20241218183</v>
      </c>
      <c r="N165" s="50" t="s">
        <v>28</v>
      </c>
      <c r="O165" s="50"/>
      <c r="P165" s="50"/>
      <c r="Q165" s="51"/>
      <c r="R165" s="50"/>
      <c r="S165" s="50"/>
      <c r="T165" s="51"/>
      <c r="U165" s="50"/>
    </row>
    <row r="166" spans="1:21" x14ac:dyDescent="0.25">
      <c r="A166" s="45" t="s">
        <v>70</v>
      </c>
      <c r="B166" s="46">
        <v>45765</v>
      </c>
      <c r="C166" s="45" t="s">
        <v>168</v>
      </c>
      <c r="D166" s="47"/>
      <c r="E166" s="45" t="s">
        <v>362</v>
      </c>
      <c r="F166" s="45" t="s">
        <v>394</v>
      </c>
      <c r="G166" s="45" t="s">
        <v>24</v>
      </c>
      <c r="H166" s="45" t="s">
        <v>2887</v>
      </c>
      <c r="I166" s="45" t="s">
        <v>1009</v>
      </c>
      <c r="J166" s="45">
        <v>576669325</v>
      </c>
      <c r="K166" s="45" t="s">
        <v>2239</v>
      </c>
      <c r="L166" s="48">
        <v>21</v>
      </c>
      <c r="M166" s="49">
        <v>20241216600</v>
      </c>
      <c r="N166" s="50" t="s">
        <v>28</v>
      </c>
      <c r="O166" s="50"/>
      <c r="P166" s="50"/>
      <c r="Q166" s="51"/>
      <c r="R166" s="50"/>
      <c r="S166" s="50"/>
      <c r="T166" s="51"/>
      <c r="U166" s="50"/>
    </row>
    <row r="167" spans="1:21" x14ac:dyDescent="0.25">
      <c r="A167" s="45" t="s">
        <v>70</v>
      </c>
      <c r="B167" s="46">
        <v>45765</v>
      </c>
      <c r="C167" s="45" t="s">
        <v>168</v>
      </c>
      <c r="D167" s="47"/>
      <c r="E167" s="45" t="s">
        <v>362</v>
      </c>
      <c r="F167" s="45" t="s">
        <v>394</v>
      </c>
      <c r="G167" s="45" t="s">
        <v>24</v>
      </c>
      <c r="H167" s="45" t="s">
        <v>2887</v>
      </c>
      <c r="I167" s="45" t="s">
        <v>1009</v>
      </c>
      <c r="J167" s="45">
        <v>576669325</v>
      </c>
      <c r="K167" s="45" t="s">
        <v>2309</v>
      </c>
      <c r="L167" s="48">
        <v>21</v>
      </c>
      <c r="M167" s="49">
        <v>20241216604</v>
      </c>
      <c r="N167" s="50" t="s">
        <v>28</v>
      </c>
      <c r="O167" s="50"/>
      <c r="P167" s="50"/>
      <c r="Q167" s="51"/>
      <c r="R167" s="50"/>
      <c r="S167" s="50"/>
      <c r="T167" s="51"/>
      <c r="U167" s="50"/>
    </row>
    <row r="168" spans="1:21" x14ac:dyDescent="0.25">
      <c r="A168" s="45" t="s">
        <v>70</v>
      </c>
      <c r="B168" s="46">
        <v>45765</v>
      </c>
      <c r="C168" s="45" t="s">
        <v>168</v>
      </c>
      <c r="D168" s="47"/>
      <c r="E168" s="45" t="s">
        <v>362</v>
      </c>
      <c r="F168" s="45" t="s">
        <v>394</v>
      </c>
      <c r="G168" s="45" t="s">
        <v>24</v>
      </c>
      <c r="H168" s="45" t="s">
        <v>2887</v>
      </c>
      <c r="I168" s="45" t="s">
        <v>1009</v>
      </c>
      <c r="J168" s="45">
        <v>576669325</v>
      </c>
      <c r="K168" s="45" t="s">
        <v>2244</v>
      </c>
      <c r="L168" s="48">
        <v>16.5</v>
      </c>
      <c r="M168" s="49">
        <v>20241216606</v>
      </c>
      <c r="N168" s="50" t="s">
        <v>28</v>
      </c>
      <c r="O168" s="50"/>
      <c r="P168" s="50"/>
      <c r="Q168" s="51"/>
      <c r="R168" s="50"/>
      <c r="S168" s="50"/>
      <c r="T168" s="51"/>
      <c r="U168" s="50"/>
    </row>
    <row r="169" spans="1:21" x14ac:dyDescent="0.25">
      <c r="A169" s="45" t="s">
        <v>70</v>
      </c>
      <c r="B169" s="46">
        <v>45765</v>
      </c>
      <c r="C169" s="45" t="s">
        <v>168</v>
      </c>
      <c r="D169" s="47"/>
      <c r="E169" s="45" t="s">
        <v>362</v>
      </c>
      <c r="F169" s="45" t="s">
        <v>394</v>
      </c>
      <c r="G169" s="45" t="s">
        <v>24</v>
      </c>
      <c r="H169" s="45" t="s">
        <v>2887</v>
      </c>
      <c r="I169" s="45" t="s">
        <v>1009</v>
      </c>
      <c r="J169" s="45">
        <v>576669325</v>
      </c>
      <c r="K169" s="45" t="s">
        <v>783</v>
      </c>
      <c r="L169" s="48">
        <v>21</v>
      </c>
      <c r="M169" s="49">
        <v>20241216458</v>
      </c>
      <c r="N169" s="50" t="s">
        <v>28</v>
      </c>
      <c r="O169" s="50"/>
      <c r="P169" s="50"/>
      <c r="Q169" s="51"/>
      <c r="R169" s="50"/>
      <c r="S169" s="50"/>
      <c r="T169" s="51"/>
      <c r="U169" s="50"/>
    </row>
    <row r="170" spans="1:21" x14ac:dyDescent="0.25">
      <c r="A170" s="45" t="s">
        <v>70</v>
      </c>
      <c r="B170" s="46">
        <v>45765</v>
      </c>
      <c r="C170" s="45" t="s">
        <v>168</v>
      </c>
      <c r="D170" s="47"/>
      <c r="E170" s="45" t="s">
        <v>362</v>
      </c>
      <c r="F170" s="45" t="s">
        <v>394</v>
      </c>
      <c r="G170" s="45" t="s">
        <v>24</v>
      </c>
      <c r="H170" s="45" t="s">
        <v>2887</v>
      </c>
      <c r="I170" s="45" t="s">
        <v>1009</v>
      </c>
      <c r="J170" s="45">
        <v>576669325</v>
      </c>
      <c r="K170" s="45" t="s">
        <v>271</v>
      </c>
      <c r="L170" s="48">
        <v>16.5</v>
      </c>
      <c r="M170" s="49">
        <v>20241216460</v>
      </c>
      <c r="N170" s="50" t="s">
        <v>28</v>
      </c>
      <c r="O170" s="50"/>
      <c r="P170" s="50"/>
      <c r="Q170" s="51"/>
      <c r="R170" s="50"/>
      <c r="S170" s="50"/>
      <c r="T170" s="51"/>
      <c r="U170" s="50"/>
    </row>
    <row r="171" spans="1:21" x14ac:dyDescent="0.25">
      <c r="A171" s="45" t="s">
        <v>70</v>
      </c>
      <c r="B171" s="46">
        <v>45765</v>
      </c>
      <c r="C171" s="45" t="s">
        <v>168</v>
      </c>
      <c r="D171" s="47"/>
      <c r="E171" s="45" t="s">
        <v>362</v>
      </c>
      <c r="F171" s="45" t="s">
        <v>394</v>
      </c>
      <c r="G171" s="45" t="s">
        <v>24</v>
      </c>
      <c r="H171" s="45" t="s">
        <v>2887</v>
      </c>
      <c r="I171" s="45" t="s">
        <v>1009</v>
      </c>
      <c r="J171" s="45">
        <v>576669325</v>
      </c>
      <c r="K171" s="45" t="s">
        <v>250</v>
      </c>
      <c r="L171" s="48">
        <v>21</v>
      </c>
      <c r="M171" s="49">
        <v>20241216453</v>
      </c>
      <c r="N171" s="50" t="s">
        <v>28</v>
      </c>
      <c r="O171" s="50"/>
      <c r="P171" s="50"/>
      <c r="Q171" s="51"/>
      <c r="R171" s="50"/>
      <c r="S171" s="50"/>
      <c r="T171" s="51"/>
      <c r="U171" s="50"/>
    </row>
    <row r="172" spans="1:21" ht="25.5" x14ac:dyDescent="0.25">
      <c r="A172" s="45" t="s">
        <v>233</v>
      </c>
      <c r="B172" s="46">
        <v>45775</v>
      </c>
      <c r="C172" s="45" t="s">
        <v>21</v>
      </c>
      <c r="D172" s="47"/>
      <c r="E172" s="45" t="s">
        <v>362</v>
      </c>
      <c r="F172" s="45" t="s">
        <v>394</v>
      </c>
      <c r="G172" s="45" t="s">
        <v>934</v>
      </c>
      <c r="H172" s="45" t="s">
        <v>2788</v>
      </c>
      <c r="I172" s="45" t="s">
        <v>2888</v>
      </c>
      <c r="J172" s="45">
        <v>576727180</v>
      </c>
      <c r="K172" s="45" t="s">
        <v>2239</v>
      </c>
      <c r="L172" s="48">
        <v>95</v>
      </c>
      <c r="M172" s="49">
        <v>20241217607</v>
      </c>
      <c r="N172" s="50" t="s">
        <v>28</v>
      </c>
      <c r="O172" s="50"/>
      <c r="P172" s="50"/>
      <c r="Q172" s="51"/>
      <c r="R172" s="50"/>
      <c r="S172" s="50"/>
      <c r="T172" s="51"/>
      <c r="U172" s="50"/>
    </row>
    <row r="173" spans="1:21" ht="25.5" x14ac:dyDescent="0.25">
      <c r="A173" s="45" t="s">
        <v>233</v>
      </c>
      <c r="B173" s="46">
        <v>45775</v>
      </c>
      <c r="C173" s="45" t="s">
        <v>21</v>
      </c>
      <c r="D173" s="47"/>
      <c r="E173" s="45" t="s">
        <v>362</v>
      </c>
      <c r="F173" s="45" t="s">
        <v>394</v>
      </c>
      <c r="G173" s="45" t="s">
        <v>934</v>
      </c>
      <c r="H173" s="45" t="s">
        <v>2788</v>
      </c>
      <c r="I173" s="45" t="s">
        <v>2888</v>
      </c>
      <c r="J173" s="45">
        <v>576727180</v>
      </c>
      <c r="K173" s="45" t="s">
        <v>781</v>
      </c>
      <c r="L173" s="48">
        <v>140</v>
      </c>
      <c r="M173" s="49">
        <v>20241209340</v>
      </c>
      <c r="N173" s="50" t="s">
        <v>28</v>
      </c>
      <c r="O173" s="50"/>
      <c r="P173" s="50"/>
      <c r="Q173" s="51"/>
      <c r="R173" s="50"/>
      <c r="S173" s="50"/>
      <c r="T173" s="51"/>
      <c r="U173" s="50"/>
    </row>
    <row r="174" spans="1:21" x14ac:dyDescent="0.25">
      <c r="A174" s="45" t="s">
        <v>20</v>
      </c>
      <c r="B174" s="46">
        <v>45765</v>
      </c>
      <c r="C174" s="45" t="s">
        <v>168</v>
      </c>
      <c r="D174" s="47"/>
      <c r="E174" s="45" t="s">
        <v>362</v>
      </c>
      <c r="F174" s="45" t="s">
        <v>394</v>
      </c>
      <c r="G174" s="45" t="s">
        <v>229</v>
      </c>
      <c r="H174" s="45" t="s">
        <v>2889</v>
      </c>
      <c r="I174" s="45" t="s">
        <v>2890</v>
      </c>
      <c r="J174" s="45">
        <v>601278050</v>
      </c>
      <c r="K174" s="45" t="s">
        <v>2418</v>
      </c>
      <c r="L174" s="48">
        <v>161.94999999999999</v>
      </c>
      <c r="M174" s="49">
        <v>20241216843</v>
      </c>
      <c r="N174" s="50" t="s">
        <v>28</v>
      </c>
      <c r="O174" s="50"/>
      <c r="P174" s="50"/>
      <c r="Q174" s="51"/>
      <c r="R174" s="50"/>
      <c r="S174" s="50"/>
      <c r="T174" s="51"/>
      <c r="U174" s="50"/>
    </row>
    <row r="175" spans="1:21" x14ac:dyDescent="0.25">
      <c r="A175" s="45" t="s">
        <v>314</v>
      </c>
      <c r="B175" s="46">
        <v>45765</v>
      </c>
      <c r="C175" s="45" t="s">
        <v>168</v>
      </c>
      <c r="D175" s="47"/>
      <c r="E175" s="45" t="s">
        <v>362</v>
      </c>
      <c r="F175" s="45" t="s">
        <v>394</v>
      </c>
      <c r="G175" s="45" t="s">
        <v>229</v>
      </c>
      <c r="H175" s="45" t="s">
        <v>2891</v>
      </c>
      <c r="I175" s="45" t="s">
        <v>2892</v>
      </c>
      <c r="J175" s="45">
        <v>609705236</v>
      </c>
      <c r="K175" s="45" t="s">
        <v>1358</v>
      </c>
      <c r="L175" s="48">
        <v>57.5</v>
      </c>
      <c r="M175" s="49">
        <v>20241216859</v>
      </c>
      <c r="N175" s="50" t="s">
        <v>28</v>
      </c>
      <c r="O175" s="50"/>
      <c r="P175" s="50"/>
      <c r="Q175" s="51"/>
      <c r="R175" s="50"/>
      <c r="S175" s="50"/>
      <c r="T175" s="51"/>
      <c r="U175" s="50"/>
    </row>
    <row r="176" spans="1:21" x14ac:dyDescent="0.25">
      <c r="A176" s="45" t="s">
        <v>20</v>
      </c>
      <c r="B176" s="46">
        <v>45765</v>
      </c>
      <c r="C176" s="45" t="s">
        <v>168</v>
      </c>
      <c r="D176" s="47"/>
      <c r="E176" s="45" t="s">
        <v>362</v>
      </c>
      <c r="F176" s="45" t="s">
        <v>394</v>
      </c>
      <c r="G176" s="45" t="s">
        <v>263</v>
      </c>
      <c r="H176" s="45" t="s">
        <v>2257</v>
      </c>
      <c r="I176" s="45" t="s">
        <v>1627</v>
      </c>
      <c r="J176" s="45">
        <v>610108470</v>
      </c>
      <c r="K176" s="45" t="s">
        <v>2893</v>
      </c>
      <c r="L176" s="48">
        <v>63.54</v>
      </c>
      <c r="M176" s="49">
        <v>20241217671</v>
      </c>
      <c r="N176" s="50" t="s">
        <v>28</v>
      </c>
      <c r="O176" s="50"/>
      <c r="P176" s="50"/>
      <c r="Q176" s="51"/>
      <c r="R176" s="50"/>
      <c r="S176" s="50"/>
      <c r="T176" s="51"/>
      <c r="U176" s="50"/>
    </row>
    <row r="177" spans="1:21" x14ac:dyDescent="0.25">
      <c r="A177" s="45" t="s">
        <v>233</v>
      </c>
      <c r="B177" s="46">
        <v>45775</v>
      </c>
      <c r="C177" s="45" t="s">
        <v>21</v>
      </c>
      <c r="D177" s="47"/>
      <c r="E177" s="45" t="s">
        <v>362</v>
      </c>
      <c r="F177" s="45" t="s">
        <v>394</v>
      </c>
      <c r="G177" s="45" t="s">
        <v>263</v>
      </c>
      <c r="H177" s="45" t="s">
        <v>1891</v>
      </c>
      <c r="I177" s="45" t="s">
        <v>2894</v>
      </c>
      <c r="J177" s="45">
        <v>618398783</v>
      </c>
      <c r="K177" s="45" t="s">
        <v>2893</v>
      </c>
      <c r="L177" s="48">
        <v>10</v>
      </c>
      <c r="M177" s="49">
        <v>20241217736</v>
      </c>
      <c r="N177" s="50" t="s">
        <v>28</v>
      </c>
      <c r="O177" s="50"/>
      <c r="P177" s="50"/>
      <c r="Q177" s="51"/>
      <c r="R177" s="50"/>
      <c r="S177" s="50"/>
      <c r="T177" s="51"/>
      <c r="U177" s="50"/>
    </row>
    <row r="178" spans="1:21" x14ac:dyDescent="0.25">
      <c r="A178" s="45" t="s">
        <v>233</v>
      </c>
      <c r="B178" s="46">
        <v>45775</v>
      </c>
      <c r="C178" s="45" t="s">
        <v>21</v>
      </c>
      <c r="D178" s="47"/>
      <c r="E178" s="45" t="s">
        <v>362</v>
      </c>
      <c r="F178" s="45" t="s">
        <v>394</v>
      </c>
      <c r="G178" s="45" t="s">
        <v>2011</v>
      </c>
      <c r="H178" s="45" t="s">
        <v>2895</v>
      </c>
      <c r="I178" s="45" t="s">
        <v>2896</v>
      </c>
      <c r="J178" s="45">
        <v>621445451</v>
      </c>
      <c r="K178" s="45" t="s">
        <v>2597</v>
      </c>
      <c r="L178" s="48">
        <v>56.25</v>
      </c>
      <c r="M178" s="49">
        <v>20241218314</v>
      </c>
      <c r="N178" s="50" t="s">
        <v>28</v>
      </c>
      <c r="O178" s="50"/>
      <c r="P178" s="50"/>
      <c r="Q178" s="51"/>
      <c r="R178" s="50"/>
      <c r="S178" s="50"/>
      <c r="T178" s="51"/>
      <c r="U178" s="50"/>
    </row>
    <row r="179" spans="1:21" x14ac:dyDescent="0.25">
      <c r="A179" s="45" t="s">
        <v>20</v>
      </c>
      <c r="B179" s="46">
        <v>45765</v>
      </c>
      <c r="C179" s="45" t="s">
        <v>168</v>
      </c>
      <c r="D179" s="47"/>
      <c r="E179" s="45" t="s">
        <v>362</v>
      </c>
      <c r="F179" s="45" t="s">
        <v>394</v>
      </c>
      <c r="G179" s="45" t="s">
        <v>148</v>
      </c>
      <c r="H179" s="45" t="s">
        <v>2897</v>
      </c>
      <c r="I179" s="45" t="s">
        <v>1221</v>
      </c>
      <c r="J179" s="45">
        <v>750015099</v>
      </c>
      <c r="K179" s="45" t="s">
        <v>2830</v>
      </c>
      <c r="L179" s="48">
        <v>380.93</v>
      </c>
      <c r="M179" s="49">
        <v>202412161212</v>
      </c>
      <c r="N179" s="50" t="s">
        <v>28</v>
      </c>
      <c r="O179" s="50"/>
      <c r="P179" s="50"/>
      <c r="Q179" s="51"/>
      <c r="R179" s="50"/>
      <c r="S179" s="50"/>
      <c r="T179" s="51"/>
      <c r="U179" s="50"/>
    </row>
    <row r="180" spans="1:21" x14ac:dyDescent="0.25">
      <c r="A180" s="45" t="s">
        <v>20</v>
      </c>
      <c r="B180" s="46">
        <v>45765</v>
      </c>
      <c r="C180" s="45" t="s">
        <v>168</v>
      </c>
      <c r="D180" s="47"/>
      <c r="E180" s="45" t="s">
        <v>362</v>
      </c>
      <c r="F180" s="45" t="s">
        <v>394</v>
      </c>
      <c r="G180" s="45" t="s">
        <v>148</v>
      </c>
      <c r="H180" s="45" t="s">
        <v>1215</v>
      </c>
      <c r="I180" s="45" t="s">
        <v>2898</v>
      </c>
      <c r="J180" s="45">
        <v>857825518</v>
      </c>
      <c r="K180" s="45" t="s">
        <v>1227</v>
      </c>
      <c r="L180" s="48">
        <v>16.68</v>
      </c>
      <c r="M180" s="49">
        <v>202412161283</v>
      </c>
      <c r="N180" s="50" t="s">
        <v>28</v>
      </c>
      <c r="O180" s="50"/>
      <c r="P180" s="50"/>
      <c r="Q180" s="51"/>
      <c r="R180" s="50"/>
      <c r="S180" s="50"/>
      <c r="T180" s="51"/>
      <c r="U180" s="50"/>
    </row>
    <row r="181" spans="1:21" x14ac:dyDescent="0.25">
      <c r="A181" s="45" t="s">
        <v>20</v>
      </c>
      <c r="B181" s="46">
        <v>45765</v>
      </c>
      <c r="C181" s="45" t="s">
        <v>168</v>
      </c>
      <c r="D181" s="47"/>
      <c r="E181" s="45" t="s">
        <v>411</v>
      </c>
      <c r="F181" s="45" t="s">
        <v>412</v>
      </c>
      <c r="G181" s="45" t="s">
        <v>1359</v>
      </c>
      <c r="H181" s="45" t="s">
        <v>2347</v>
      </c>
      <c r="I181" s="45" t="s">
        <v>2899</v>
      </c>
      <c r="J181" s="45" t="s">
        <v>2900</v>
      </c>
      <c r="K181" s="45" t="s">
        <v>2893</v>
      </c>
      <c r="L181" s="48">
        <v>350</v>
      </c>
      <c r="M181" s="49">
        <v>20241217409</v>
      </c>
      <c r="N181" s="50" t="s">
        <v>28</v>
      </c>
      <c r="O181" s="50"/>
      <c r="P181" s="50"/>
      <c r="Q181" s="51"/>
      <c r="R181" s="50"/>
      <c r="S181" s="50"/>
      <c r="T181" s="51"/>
      <c r="U181" s="50"/>
    </row>
    <row r="182" spans="1:21" x14ac:dyDescent="0.25">
      <c r="A182" s="45" t="s">
        <v>756</v>
      </c>
      <c r="B182" s="46">
        <v>45765</v>
      </c>
      <c r="C182" s="45" t="s">
        <v>168</v>
      </c>
      <c r="D182" s="47"/>
      <c r="E182" s="45" t="s">
        <v>696</v>
      </c>
      <c r="F182" s="45" t="s">
        <v>697</v>
      </c>
      <c r="G182" s="45" t="s">
        <v>2700</v>
      </c>
      <c r="H182" s="45" t="s">
        <v>2901</v>
      </c>
      <c r="I182" s="45" t="s">
        <v>2902</v>
      </c>
      <c r="J182" s="45">
        <v>219578697</v>
      </c>
      <c r="K182" s="45" t="s">
        <v>2857</v>
      </c>
      <c r="L182" s="48">
        <v>51.95</v>
      </c>
      <c r="M182" s="49">
        <v>202412161442</v>
      </c>
      <c r="N182" s="50" t="s">
        <v>28</v>
      </c>
      <c r="O182" s="50"/>
      <c r="P182" s="50"/>
      <c r="Q182" s="51"/>
      <c r="R182" s="50"/>
      <c r="S182" s="50"/>
      <c r="T182" s="51"/>
      <c r="U182" s="50"/>
    </row>
    <row r="183" spans="1:21" x14ac:dyDescent="0.25">
      <c r="A183" s="45" t="s">
        <v>233</v>
      </c>
      <c r="B183" s="46">
        <v>45775</v>
      </c>
      <c r="C183" s="45" t="s">
        <v>21</v>
      </c>
      <c r="D183" s="47"/>
      <c r="E183" s="45" t="s">
        <v>708</v>
      </c>
      <c r="F183" s="45" t="s">
        <v>709</v>
      </c>
      <c r="G183" s="45" t="s">
        <v>298</v>
      </c>
      <c r="H183" s="45" t="s">
        <v>2903</v>
      </c>
      <c r="I183" s="45" t="s">
        <v>2904</v>
      </c>
      <c r="J183" s="45">
        <v>41210</v>
      </c>
      <c r="K183" s="45" t="s">
        <v>2905</v>
      </c>
      <c r="L183" s="48">
        <v>0</v>
      </c>
      <c r="M183" s="49">
        <v>202411011274</v>
      </c>
      <c r="N183" s="50" t="s">
        <v>28</v>
      </c>
      <c r="O183" s="50"/>
      <c r="P183" s="50"/>
      <c r="Q183" s="51"/>
      <c r="R183" s="50"/>
      <c r="S183" s="50"/>
      <c r="T183" s="51"/>
      <c r="U183" s="50"/>
    </row>
    <row r="184" spans="1:21" ht="30" x14ac:dyDescent="0.25">
      <c r="A184" s="45" t="s">
        <v>20</v>
      </c>
      <c r="B184" s="46">
        <v>45765</v>
      </c>
      <c r="C184" s="45" t="s">
        <v>168</v>
      </c>
      <c r="D184" s="47"/>
      <c r="E184" s="45" t="s">
        <v>556</v>
      </c>
      <c r="F184" s="45" t="s">
        <v>720</v>
      </c>
      <c r="G184" s="45" t="s">
        <v>2906</v>
      </c>
      <c r="H184" s="45" t="s">
        <v>2907</v>
      </c>
      <c r="I184" s="45" t="s">
        <v>2908</v>
      </c>
      <c r="J184" s="45">
        <v>572874831</v>
      </c>
      <c r="K184" s="45" t="s">
        <v>1358</v>
      </c>
      <c r="L184" s="48">
        <v>190.5</v>
      </c>
      <c r="M184" s="49">
        <v>2024110464</v>
      </c>
      <c r="N184" s="50"/>
      <c r="O184" s="50" t="s">
        <v>124</v>
      </c>
      <c r="P184" s="50"/>
      <c r="Q184" s="51" t="s">
        <v>2909</v>
      </c>
      <c r="R184" s="50"/>
      <c r="S184" s="50"/>
      <c r="T184" s="51"/>
      <c r="U184" s="50"/>
    </row>
    <row r="185" spans="1:21" x14ac:dyDescent="0.25">
      <c r="A185" s="45" t="s">
        <v>20</v>
      </c>
      <c r="B185" s="46">
        <v>45765</v>
      </c>
      <c r="C185" s="45" t="s">
        <v>168</v>
      </c>
      <c r="D185" s="47"/>
      <c r="E185" s="45" t="s">
        <v>556</v>
      </c>
      <c r="F185" s="45" t="s">
        <v>557</v>
      </c>
      <c r="G185" s="45" t="s">
        <v>828</v>
      </c>
      <c r="H185" s="45" t="s">
        <v>1374</v>
      </c>
      <c r="I185" s="45" t="s">
        <v>2910</v>
      </c>
      <c r="J185" s="45">
        <v>396024032</v>
      </c>
      <c r="K185" s="45" t="s">
        <v>2455</v>
      </c>
      <c r="L185" s="48">
        <v>25</v>
      </c>
      <c r="M185" s="49">
        <v>20241213780</v>
      </c>
      <c r="N185" s="50" t="s">
        <v>28</v>
      </c>
      <c r="O185" s="50"/>
      <c r="P185" s="50"/>
      <c r="Q185" s="51"/>
      <c r="R185" s="50"/>
      <c r="S185" s="50"/>
      <c r="T185" s="51"/>
      <c r="U185" s="50"/>
    </row>
    <row r="186" spans="1:21" x14ac:dyDescent="0.25">
      <c r="A186" s="45" t="s">
        <v>20</v>
      </c>
      <c r="B186" s="46">
        <v>45765</v>
      </c>
      <c r="C186" s="45" t="s">
        <v>168</v>
      </c>
      <c r="D186" s="47"/>
      <c r="E186" s="45" t="s">
        <v>556</v>
      </c>
      <c r="F186" s="45" t="s">
        <v>557</v>
      </c>
      <c r="G186" s="45" t="s">
        <v>247</v>
      </c>
      <c r="H186" s="45" t="s">
        <v>2911</v>
      </c>
      <c r="I186" s="45" t="s">
        <v>2667</v>
      </c>
      <c r="J186" s="45">
        <v>626800501</v>
      </c>
      <c r="K186" s="45" t="s">
        <v>56</v>
      </c>
      <c r="L186" s="48">
        <v>21.06</v>
      </c>
      <c r="M186" s="49">
        <v>20241024463</v>
      </c>
      <c r="N186" s="50" t="s">
        <v>28</v>
      </c>
      <c r="O186" s="50"/>
      <c r="P186" s="50"/>
      <c r="Q186" s="51"/>
      <c r="R186" s="50"/>
      <c r="S186" s="50"/>
      <c r="T186" s="51"/>
      <c r="U186" s="50"/>
    </row>
  </sheetData>
  <autoFilter ref="A1:A186" xr:uid="{CB42DD4C-B164-49A0-8797-723D2FB636D2}"/>
  <sortState xmlns:xlrd2="http://schemas.microsoft.com/office/spreadsheetml/2017/richdata2" ref="A2:U186">
    <sortCondition ref="J2:J186"/>
  </sortState>
  <conditionalFormatting sqref="N1:N1048576">
    <cfRule type="cellIs" priority="13" stopIfTrue="1" operator="equal">
      <formula>""</formula>
    </cfRule>
    <cfRule type="cellIs" priority="14" stopIfTrue="1" operator="equal">
      <formula>"Correct = C"</formula>
    </cfRule>
    <cfRule type="cellIs" dxfId="58" priority="15" operator="notEqual">
      <formula>"C"</formula>
    </cfRule>
  </conditionalFormatting>
  <conditionalFormatting sqref="O1:O1048576">
    <cfRule type="cellIs" priority="10" stopIfTrue="1" operator="equal">
      <formula>""</formula>
    </cfRule>
    <cfRule type="cellIs" priority="11" stopIfTrue="1" operator="equal">
      <formula>"Major = M"</formula>
    </cfRule>
    <cfRule type="cellIs" dxfId="57" priority="12" operator="notEqual">
      <formula>"M"</formula>
    </cfRule>
  </conditionalFormatting>
  <conditionalFormatting sqref="P1:P1048576">
    <cfRule type="cellIs" priority="7" stopIfTrue="1" operator="equal">
      <formula>""</formula>
    </cfRule>
    <cfRule type="cellIs" priority="8" stopIfTrue="1" operator="equal">
      <formula>"Minor = E"</formula>
    </cfRule>
    <cfRule type="cellIs" dxfId="56" priority="9" operator="notEqual">
      <formula>"E"</formula>
    </cfRule>
  </conditionalFormatting>
  <conditionalFormatting sqref="R1:R1048576">
    <cfRule type="cellIs" priority="4" stopIfTrue="1" operator="equal">
      <formula>""</formula>
    </cfRule>
    <cfRule type="cellIs" priority="5" stopIfTrue="1" operator="equal">
      <formula>"Inserted Major = M"</formula>
    </cfRule>
    <cfRule type="cellIs" dxfId="55" priority="6" operator="notEqual">
      <formula>"M"</formula>
    </cfRule>
  </conditionalFormatting>
  <conditionalFormatting sqref="S1:S1048576">
    <cfRule type="cellIs" priority="1" stopIfTrue="1" operator="equal">
      <formula>""</formula>
    </cfRule>
    <cfRule type="cellIs" priority="2" stopIfTrue="1" operator="equal">
      <formula>"Inserted Minor = E"</formula>
    </cfRule>
    <cfRule type="cellIs" dxfId="54" priority="3" operator="notEqual">
      <formula>"E"</formula>
    </cfRule>
  </conditionalFormatting>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46C107-A79C-423A-99C3-37F2B3843DD1}">
  <sheetPr codeName="Sheet27"/>
  <dimension ref="B2:AA50"/>
  <sheetViews>
    <sheetView workbookViewId="0"/>
  </sheetViews>
  <sheetFormatPr defaultRowHeight="15" x14ac:dyDescent="0.25"/>
  <cols>
    <col min="1" max="1" width="2.7109375" customWidth="1"/>
    <col min="2" max="2" width="28.140625" style="1" bestFit="1" customWidth="1"/>
    <col min="3" max="3" width="19.140625" style="1" hidden="1" customWidth="1"/>
    <col min="4" max="4" width="21.7109375" style="1" hidden="1" customWidth="1"/>
    <col min="5" max="5" width="11" style="1" hidden="1" customWidth="1"/>
    <col min="6" max="6" width="9.5703125" style="1" hidden="1" customWidth="1"/>
    <col min="7" max="7" width="16.140625" style="1" hidden="1" customWidth="1"/>
    <col min="8" max="8" width="17.140625" style="1" customWidth="1"/>
    <col min="9" max="9" width="33.85546875" style="1" hidden="1" customWidth="1"/>
    <col min="10" max="10" width="16.140625" style="1" customWidth="1"/>
    <col min="11" max="11" width="20.85546875" style="1" hidden="1" customWidth="1"/>
    <col min="12" max="12" width="19.85546875" style="1" hidden="1" customWidth="1"/>
    <col min="13" max="13" width="9.140625" style="1"/>
    <col min="14" max="16" width="0" style="1" hidden="1" customWidth="1"/>
    <col min="17" max="17" width="9.140625" style="1"/>
    <col min="18" max="19" width="9.140625" style="27"/>
    <col min="20" max="20" width="9.140625" style="1"/>
    <col min="21" max="22" width="9.140625" style="2"/>
    <col min="23" max="23" width="9.140625" style="1"/>
    <col min="24" max="24" width="18.85546875" style="1" bestFit="1" customWidth="1"/>
    <col min="25" max="27" width="9.140625" style="1"/>
  </cols>
  <sheetData>
    <row r="2" spans="2:24" s="1" customFormat="1" ht="52.5" x14ac:dyDescent="0.25">
      <c r="B2" s="22" t="s">
        <v>437</v>
      </c>
      <c r="C2" s="22" t="s">
        <v>438</v>
      </c>
      <c r="D2" s="22" t="s">
        <v>439</v>
      </c>
      <c r="E2" s="23" t="s">
        <v>440</v>
      </c>
      <c r="F2" s="23" t="s">
        <v>441</v>
      </c>
      <c r="G2" s="23" t="s">
        <v>442</v>
      </c>
      <c r="H2" s="23" t="s">
        <v>443</v>
      </c>
      <c r="I2" s="23" t="s">
        <v>444</v>
      </c>
      <c r="J2" s="23" t="s">
        <v>445</v>
      </c>
      <c r="K2" s="23" t="s">
        <v>446</v>
      </c>
      <c r="L2" s="23" t="s">
        <v>447</v>
      </c>
      <c r="M2" s="24" t="s">
        <v>448</v>
      </c>
      <c r="N2" s="24"/>
      <c r="O2" s="24"/>
      <c r="P2" s="24" t="s">
        <v>449</v>
      </c>
      <c r="Q2" s="24" t="s">
        <v>450</v>
      </c>
      <c r="R2" s="25" t="s">
        <v>451</v>
      </c>
      <c r="S2" s="25" t="s">
        <v>452</v>
      </c>
      <c r="T2" s="24" t="s">
        <v>453</v>
      </c>
      <c r="U2" s="26" t="s">
        <v>454</v>
      </c>
      <c r="V2" s="2"/>
    </row>
    <row r="3" spans="2:24" s="1" customFormat="1" ht="15" customHeight="1" x14ac:dyDescent="0.25">
      <c r="B3" s="1" t="s">
        <v>455</v>
      </c>
      <c r="C3" s="1" t="s">
        <v>456</v>
      </c>
      <c r="D3" s="1" t="s">
        <v>297</v>
      </c>
      <c r="E3" t="s">
        <v>457</v>
      </c>
      <c r="F3" t="s">
        <v>458</v>
      </c>
      <c r="G3" t="s">
        <v>459</v>
      </c>
      <c r="H3" t="s">
        <v>460</v>
      </c>
      <c r="I3" t="s">
        <v>461</v>
      </c>
      <c r="J3" t="s">
        <v>462</v>
      </c>
      <c r="K3"/>
      <c r="L3" t="s">
        <v>463</v>
      </c>
      <c r="M3">
        <v>0</v>
      </c>
      <c r="N3" t="s">
        <v>464</v>
      </c>
      <c r="O3"/>
      <c r="P3"/>
      <c r="Q3" s="7"/>
      <c r="R3" s="27" t="str">
        <f t="shared" ref="R3:R48" si="0">IF(Q3-SUM(S3:T3)=0,"",Q3-SUM(S3:T3))</f>
        <v/>
      </c>
      <c r="S3" s="27" t="str">
        <f>IF(SUM(COUNTIFS('12_16_12_22'!E:E,'12_16_12_22 Acc Rate'!C3,'12_16_12_22'!O:O,"*M*"),COUNTIFS('12_16_12_22'!E:E,'12_16_12_22 Acc Rate'!C3,'12_16_12_22'!R:R,"*M*"))=0,"",SUM(COUNTIFS('12_16_12_22'!E:E,'12_16_12_22 Acc Rate'!C3,'12_16_12_22'!O:O,"*M*"),COUNTIFS('12_16_12_22'!E:E,'12_16_12_22 Acc Rate'!C3,'12_16_12_22'!R:R,"*M*")))</f>
        <v/>
      </c>
      <c r="T3" s="1" t="str">
        <f>IF(SUM(COUNTIFS('12_16_12_22'!E:E,'12_16_12_22 Acc Rate'!C3,'12_16_12_22'!P:P,"*E*"),COUNTIFS('12_16_12_22'!E:E,'12_16_12_22 Acc Rate'!C3,'12_16_12_22'!S:S,"*E*"))=0,"",SUM(COUNTIFS('12_16_12_22'!E:E,'12_16_12_22 Acc Rate'!C3,'12_16_12_22'!P:P,"*E*"),COUNTIFS('12_16_12_22'!E:E,'12_16_12_22 Acc Rate'!C3,'12_16_12_22'!S:S,"*E*")))</f>
        <v/>
      </c>
      <c r="U3" s="8" t="str">
        <f>IF(ISERROR(SUM(_xlfn.NUMBERVALUE(S3)*8+_xlfn.NUMBERVALUE(T3)*2)/Q3),"",SUM(_xlfn.NUMBERVALUE(S3)*8+_xlfn.NUMBERVALUE(T3)*2)/Q3)</f>
        <v/>
      </c>
      <c r="V3" s="2"/>
      <c r="W3" s="83" t="s">
        <v>465</v>
      </c>
      <c r="X3" s="83"/>
    </row>
    <row r="4" spans="2:24" s="1" customFormat="1" ht="15" customHeight="1" x14ac:dyDescent="0.25">
      <c r="B4" s="1" t="s">
        <v>506</v>
      </c>
      <c r="C4" s="1" t="s">
        <v>208</v>
      </c>
      <c r="D4" s="1" t="s">
        <v>209</v>
      </c>
      <c r="E4" t="s">
        <v>507</v>
      </c>
      <c r="F4" t="s">
        <v>352</v>
      </c>
      <c r="G4" t="s">
        <v>508</v>
      </c>
      <c r="H4" t="s">
        <v>460</v>
      </c>
      <c r="I4" t="s">
        <v>509</v>
      </c>
      <c r="J4" t="s">
        <v>470</v>
      </c>
      <c r="K4"/>
      <c r="L4" t="s">
        <v>510</v>
      </c>
      <c r="M4">
        <v>15</v>
      </c>
      <c r="N4" t="s">
        <v>511</v>
      </c>
      <c r="O4">
        <v>32</v>
      </c>
      <c r="P4">
        <v>40</v>
      </c>
      <c r="Q4" s="7"/>
      <c r="R4" s="27">
        <f t="shared" si="0"/>
        <v>-1</v>
      </c>
      <c r="S4" s="27" t="str">
        <f>IF(SUM(COUNTIFS('12_16_12_22'!E:E,'12_16_12_22 Acc Rate'!C4,'12_16_12_22'!O:O,"*M*"),COUNTIFS('12_16_12_22'!E:E,'12_16_12_22 Acc Rate'!C4,'12_16_12_22'!R:R,"*M*"))=0,"",SUM(COUNTIFS('12_16_12_22'!E:E,'12_16_12_22 Acc Rate'!C4,'12_16_12_22'!O:O,"*M*"),COUNTIFS('12_16_12_22'!E:E,'12_16_12_22 Acc Rate'!C4,'12_16_12_22'!R:R,"*M*")))</f>
        <v/>
      </c>
      <c r="T4" s="1">
        <f>IF(SUM(COUNTIFS('12_16_12_22'!E:E,'12_16_12_22 Acc Rate'!C4,'12_16_12_22'!P:P,"*E*"),COUNTIFS('12_16_12_22'!E:E,'12_16_12_22 Acc Rate'!C4,'12_16_12_22'!S:S,"*E*"))=0,"",SUM(COUNTIFS('12_16_12_22'!E:E,'12_16_12_22 Acc Rate'!C4,'12_16_12_22'!P:P,"*E*"),COUNTIFS('12_16_12_22'!E:E,'12_16_12_22 Acc Rate'!C4,'12_16_12_22'!S:S,"*E*")))</f>
        <v>1</v>
      </c>
      <c r="U4" s="8" t="str">
        <f t="shared" ref="U4:U47" si="1">IF(ISERROR(SUM(_xlfn.NUMBERVALUE(S4)*8+_xlfn.NUMBERVALUE(T4)*2)/Q4),"",SUM(_xlfn.NUMBERVALUE(S4)*8+_xlfn.NUMBERVALUE(T4)*2)/Q4)</f>
        <v/>
      </c>
      <c r="V4" s="2"/>
      <c r="W4" s="40" t="s">
        <v>473</v>
      </c>
      <c r="X4" s="41" t="s">
        <v>474</v>
      </c>
    </row>
    <row r="5" spans="2:24" s="1" customFormat="1" ht="15" customHeight="1" x14ac:dyDescent="0.25">
      <c r="B5" s="1" t="s">
        <v>525</v>
      </c>
      <c r="C5" s="1" t="s">
        <v>277</v>
      </c>
      <c r="D5" s="1" t="s">
        <v>278</v>
      </c>
      <c r="E5" t="s">
        <v>526</v>
      </c>
      <c r="F5" t="s">
        <v>527</v>
      </c>
      <c r="G5" t="s">
        <v>528</v>
      </c>
      <c r="H5" t="s">
        <v>460</v>
      </c>
      <c r="I5" t="s">
        <v>529</v>
      </c>
      <c r="J5" t="s">
        <v>2033</v>
      </c>
      <c r="K5" t="s">
        <v>509</v>
      </c>
      <c r="L5"/>
      <c r="M5">
        <v>15</v>
      </c>
      <c r="N5" t="s">
        <v>530</v>
      </c>
      <c r="O5">
        <v>219</v>
      </c>
      <c r="P5">
        <v>25</v>
      </c>
      <c r="Q5" s="7"/>
      <c r="R5" s="27" t="str">
        <f t="shared" si="0"/>
        <v/>
      </c>
      <c r="S5" s="27" t="str">
        <f>IF(SUM(COUNTIFS('12_16_12_22'!E:E,'12_16_12_22 Acc Rate'!C5,'12_16_12_22'!O:O,"*M*"),COUNTIFS('12_16_12_22'!E:E,'12_16_12_22 Acc Rate'!C5,'12_16_12_22'!R:R,"*M*"))=0,"",SUM(COUNTIFS('12_16_12_22'!E:E,'12_16_12_22 Acc Rate'!C5,'12_16_12_22'!O:O,"*M*"),COUNTIFS('12_16_12_22'!E:E,'12_16_12_22 Acc Rate'!C5,'12_16_12_22'!R:R,"*M*")))</f>
        <v/>
      </c>
      <c r="T5" s="1" t="str">
        <f>IF(SUM(COUNTIFS('12_16_12_22'!E:E,'12_16_12_22 Acc Rate'!C5,'12_16_12_22'!P:P,"*E*"),COUNTIFS('12_16_12_22'!E:E,'12_16_12_22 Acc Rate'!C5,'12_16_12_22'!S:S,"*E*"))=0,"",SUM(COUNTIFS('12_16_12_22'!E:E,'12_16_12_22 Acc Rate'!C5,'12_16_12_22'!P:P,"*E*"),COUNTIFS('12_16_12_22'!E:E,'12_16_12_22 Acc Rate'!C5,'12_16_12_22'!S:S,"*E*")))</f>
        <v/>
      </c>
      <c r="U5" s="8" t="str">
        <f t="shared" si="1"/>
        <v/>
      </c>
      <c r="V5" s="2"/>
      <c r="W5" s="40" t="s">
        <v>482</v>
      </c>
      <c r="X5" s="41" t="s">
        <v>483</v>
      </c>
    </row>
    <row r="6" spans="2:24" s="1" customFormat="1" ht="15" customHeight="1" x14ac:dyDescent="0.25">
      <c r="B6" s="1" t="s">
        <v>475</v>
      </c>
      <c r="C6" s="1" t="s">
        <v>362</v>
      </c>
      <c r="D6" s="1" t="s">
        <v>394</v>
      </c>
      <c r="E6" t="s">
        <v>476</v>
      </c>
      <c r="F6" t="s">
        <v>175</v>
      </c>
      <c r="G6" t="s">
        <v>477</v>
      </c>
      <c r="H6" t="s">
        <v>460</v>
      </c>
      <c r="I6" t="s">
        <v>478</v>
      </c>
      <c r="J6" t="s">
        <v>2033</v>
      </c>
      <c r="K6" t="s">
        <v>509</v>
      </c>
      <c r="L6" t="s">
        <v>480</v>
      </c>
      <c r="M6">
        <v>15</v>
      </c>
      <c r="N6" t="s">
        <v>481</v>
      </c>
      <c r="O6">
        <v>67</v>
      </c>
      <c r="P6">
        <v>20</v>
      </c>
      <c r="Q6" s="7"/>
      <c r="R6" s="27" t="str">
        <f t="shared" si="0"/>
        <v/>
      </c>
      <c r="S6" s="27" t="str">
        <f>IF(SUM(COUNTIFS('12_16_12_22'!E:E,'12_16_12_22 Acc Rate'!C6,'12_16_12_22'!O:O,"*M*"),COUNTIFS('12_16_12_22'!E:E,'12_16_12_22 Acc Rate'!C6,'12_16_12_22'!R:R,"*M*"))=0,"",SUM(COUNTIFS('12_16_12_22'!E:E,'12_16_12_22 Acc Rate'!C6,'12_16_12_22'!O:O,"*M*"),COUNTIFS('12_16_12_22'!E:E,'12_16_12_22 Acc Rate'!C6,'12_16_12_22'!R:R,"*M*")))</f>
        <v/>
      </c>
      <c r="T6" s="1" t="str">
        <f>IF(SUM(COUNTIFS('12_16_12_22'!E:E,'12_16_12_22 Acc Rate'!C6,'12_16_12_22'!P:P,"*E*"),COUNTIFS('12_16_12_22'!E:E,'12_16_12_22 Acc Rate'!C6,'12_16_12_22'!S:S,"*E*"))=0,"",SUM(COUNTIFS('12_16_12_22'!E:E,'12_16_12_22 Acc Rate'!C6,'12_16_12_22'!P:P,"*E*"),COUNTIFS('12_16_12_22'!E:E,'12_16_12_22 Acc Rate'!C6,'12_16_12_22'!S:S,"*E*")))</f>
        <v/>
      </c>
      <c r="U6" s="8" t="str">
        <f t="shared" si="1"/>
        <v/>
      </c>
      <c r="V6" s="2"/>
      <c r="W6" s="40" t="s">
        <v>490</v>
      </c>
      <c r="X6" s="41" t="s">
        <v>491</v>
      </c>
    </row>
    <row r="7" spans="2:24" s="1" customFormat="1" ht="15" customHeight="1" x14ac:dyDescent="0.25">
      <c r="B7" s="1" t="s">
        <v>542</v>
      </c>
      <c r="C7" s="1" t="s">
        <v>245</v>
      </c>
      <c r="D7" s="1" t="s">
        <v>246</v>
      </c>
      <c r="E7" t="s">
        <v>543</v>
      </c>
      <c r="F7" t="s">
        <v>21</v>
      </c>
      <c r="G7" t="s">
        <v>544</v>
      </c>
      <c r="H7" t="s">
        <v>460</v>
      </c>
      <c r="I7" t="s">
        <v>545</v>
      </c>
      <c r="J7" t="s">
        <v>2033</v>
      </c>
      <c r="K7" t="s">
        <v>509</v>
      </c>
      <c r="L7" t="s">
        <v>546</v>
      </c>
      <c r="M7">
        <v>15</v>
      </c>
      <c r="N7" t="s">
        <v>547</v>
      </c>
      <c r="O7">
        <v>209</v>
      </c>
      <c r="P7">
        <v>40</v>
      </c>
      <c r="Q7" s="7"/>
      <c r="R7" s="27" t="str">
        <f t="shared" si="0"/>
        <v/>
      </c>
      <c r="S7" s="27" t="str">
        <f>IF(SUM(COUNTIFS('12_16_12_22'!E:E,'12_16_12_22 Acc Rate'!C7,'12_16_12_22'!O:O,"*M*"),COUNTIFS('12_16_12_22'!E:E,'12_16_12_22 Acc Rate'!C7,'12_16_12_22'!R:R,"*M*"))=0,"",SUM(COUNTIFS('12_16_12_22'!E:E,'12_16_12_22 Acc Rate'!C7,'12_16_12_22'!O:O,"*M*"),COUNTIFS('12_16_12_22'!E:E,'12_16_12_22 Acc Rate'!C7,'12_16_12_22'!R:R,"*M*")))</f>
        <v/>
      </c>
      <c r="T7" s="1" t="str">
        <f>IF(SUM(COUNTIFS('12_16_12_22'!E:E,'12_16_12_22 Acc Rate'!C7,'12_16_12_22'!P:P,"*E*"),COUNTIFS('12_16_12_22'!E:E,'12_16_12_22 Acc Rate'!C7,'12_16_12_22'!S:S,"*E*"))=0,"",SUM(COUNTIFS('12_16_12_22'!E:E,'12_16_12_22 Acc Rate'!C7,'12_16_12_22'!P:P,"*E*"),COUNTIFS('12_16_12_22'!E:E,'12_16_12_22 Acc Rate'!C7,'12_16_12_22'!S:S,"*E*")))</f>
        <v/>
      </c>
      <c r="U7" s="8" t="str">
        <f t="shared" si="1"/>
        <v/>
      </c>
      <c r="V7" s="2"/>
      <c r="W7" s="84" t="s">
        <v>499</v>
      </c>
      <c r="X7" s="84"/>
    </row>
    <row r="8" spans="2:24" s="1" customFormat="1" ht="15" customHeight="1" x14ac:dyDescent="0.25">
      <c r="B8" s="1" t="s">
        <v>492</v>
      </c>
      <c r="C8" s="1" t="s">
        <v>107</v>
      </c>
      <c r="D8" s="1" t="s">
        <v>108</v>
      </c>
      <c r="E8" t="s">
        <v>493</v>
      </c>
      <c r="F8" t="s">
        <v>494</v>
      </c>
      <c r="G8" t="s">
        <v>495</v>
      </c>
      <c r="H8" t="s">
        <v>460</v>
      </c>
      <c r="I8" t="s">
        <v>496</v>
      </c>
      <c r="J8" t="s">
        <v>2033</v>
      </c>
      <c r="K8" t="s">
        <v>509</v>
      </c>
      <c r="L8"/>
      <c r="M8">
        <v>15</v>
      </c>
      <c r="N8" t="s">
        <v>497</v>
      </c>
      <c r="O8" t="s">
        <v>498</v>
      </c>
      <c r="P8">
        <v>40</v>
      </c>
      <c r="Q8" s="7"/>
      <c r="R8" s="27">
        <f t="shared" si="0"/>
        <v>-1</v>
      </c>
      <c r="S8" s="27">
        <f>IF(SUM(COUNTIFS('12_16_12_22'!E:E,'12_16_12_22 Acc Rate'!C8,'12_16_12_22'!O:O,"*M*"),COUNTIFS('12_16_12_22'!E:E,'12_16_12_22 Acc Rate'!C8,'12_16_12_22'!R:R,"*M*"))=0,"",SUM(COUNTIFS('12_16_12_22'!E:E,'12_16_12_22 Acc Rate'!C8,'12_16_12_22'!O:O,"*M*"),COUNTIFS('12_16_12_22'!E:E,'12_16_12_22 Acc Rate'!C8,'12_16_12_22'!R:R,"*M*")))</f>
        <v>1</v>
      </c>
      <c r="T8" s="1" t="str">
        <f>IF(SUM(COUNTIFS('12_16_12_22'!E:E,'12_16_12_22 Acc Rate'!C8,'12_16_12_22'!P:P,"*E*"),COUNTIFS('12_16_12_22'!E:E,'12_16_12_22 Acc Rate'!C8,'12_16_12_22'!S:S,"*E*"))=0,"",SUM(COUNTIFS('12_16_12_22'!E:E,'12_16_12_22 Acc Rate'!C8,'12_16_12_22'!P:P,"*E*"),COUNTIFS('12_16_12_22'!E:E,'12_16_12_22 Acc Rate'!C8,'12_16_12_22'!S:S,"*E*")))</f>
        <v/>
      </c>
      <c r="U8" s="8" t="str">
        <f t="shared" si="1"/>
        <v/>
      </c>
      <c r="V8" s="2"/>
      <c r="W8" s="85" t="s">
        <v>505</v>
      </c>
      <c r="X8" s="85"/>
    </row>
    <row r="9" spans="2:24" s="1" customFormat="1" ht="15" customHeight="1" x14ac:dyDescent="0.25">
      <c r="B9" s="1" t="s">
        <v>512</v>
      </c>
      <c r="C9" s="1" t="s">
        <v>371</v>
      </c>
      <c r="D9" s="1" t="s">
        <v>372</v>
      </c>
      <c r="E9" t="s">
        <v>513</v>
      </c>
      <c r="F9" t="s">
        <v>34</v>
      </c>
      <c r="G9" t="s">
        <v>514</v>
      </c>
      <c r="H9" t="s">
        <v>460</v>
      </c>
      <c r="I9" t="s">
        <v>515</v>
      </c>
      <c r="J9" t="s">
        <v>470</v>
      </c>
      <c r="K9"/>
      <c r="L9" t="s">
        <v>516</v>
      </c>
      <c r="M9">
        <v>15</v>
      </c>
      <c r="N9" t="s">
        <v>517</v>
      </c>
      <c r="O9">
        <v>132</v>
      </c>
      <c r="P9">
        <v>40</v>
      </c>
      <c r="Q9" s="7"/>
      <c r="R9" s="27" t="str">
        <f t="shared" si="0"/>
        <v/>
      </c>
      <c r="S9" s="27" t="str">
        <f>IF(SUM(COUNTIFS('12_16_12_22'!E:E,'12_16_12_22 Acc Rate'!C9,'12_16_12_22'!O:O,"*M*"),COUNTIFS('12_16_12_22'!E:E,'12_16_12_22 Acc Rate'!C9,'12_16_12_22'!R:R,"*M*"))=0,"",SUM(COUNTIFS('12_16_12_22'!E:E,'12_16_12_22 Acc Rate'!C9,'12_16_12_22'!O:O,"*M*"),COUNTIFS('12_16_12_22'!E:E,'12_16_12_22 Acc Rate'!C9,'12_16_12_22'!R:R,"*M*")))</f>
        <v/>
      </c>
      <c r="T9" s="1" t="str">
        <f>IF(SUM(COUNTIFS('12_16_12_22'!E:E,'12_16_12_22 Acc Rate'!C9,'12_16_12_22'!P:P,"*E*"),COUNTIFS('12_16_12_22'!E:E,'12_16_12_22 Acc Rate'!C9,'12_16_12_22'!S:S,"*E*"))=0,"",SUM(COUNTIFS('12_16_12_22'!E:E,'12_16_12_22 Acc Rate'!C9,'12_16_12_22'!P:P,"*E*"),COUNTIFS('12_16_12_22'!E:E,'12_16_12_22 Acc Rate'!C9,'12_16_12_22'!S:S,"*E*")))</f>
        <v/>
      </c>
      <c r="U9" s="8" t="str">
        <f t="shared" si="1"/>
        <v/>
      </c>
      <c r="V9" s="2"/>
    </row>
    <row r="10" spans="2:24" s="1" customFormat="1" ht="15" customHeight="1" x14ac:dyDescent="0.25">
      <c r="B10" s="1" t="s">
        <v>518</v>
      </c>
      <c r="C10" s="1" t="s">
        <v>296</v>
      </c>
      <c r="D10" s="1" t="s">
        <v>297</v>
      </c>
      <c r="E10" t="s">
        <v>519</v>
      </c>
      <c r="F10" t="s">
        <v>520</v>
      </c>
      <c r="G10" t="s">
        <v>521</v>
      </c>
      <c r="H10" t="s">
        <v>460</v>
      </c>
      <c r="I10" t="s">
        <v>522</v>
      </c>
      <c r="J10" t="s">
        <v>523</v>
      </c>
      <c r="K10" t="s">
        <v>515</v>
      </c>
      <c r="L10"/>
      <c r="M10">
        <v>15</v>
      </c>
      <c r="N10" t="s">
        <v>524</v>
      </c>
      <c r="O10">
        <v>719</v>
      </c>
      <c r="P10">
        <v>40</v>
      </c>
      <c r="Q10" s="7"/>
      <c r="R10" s="27" t="str">
        <f t="shared" si="0"/>
        <v/>
      </c>
      <c r="S10" s="27" t="str">
        <f>IF(SUM(COUNTIFS('12_16_12_22'!E:E,'12_16_12_22 Acc Rate'!C10,'12_16_12_22'!O:O,"*M*"),COUNTIFS('12_16_12_22'!E:E,'12_16_12_22 Acc Rate'!C10,'12_16_12_22'!R:R,"*M*"))=0,"",SUM(COUNTIFS('12_16_12_22'!E:E,'12_16_12_22 Acc Rate'!C10,'12_16_12_22'!O:O,"*M*"),COUNTIFS('12_16_12_22'!E:E,'12_16_12_22 Acc Rate'!C10,'12_16_12_22'!R:R,"*M*")))</f>
        <v/>
      </c>
      <c r="T10" s="1" t="str">
        <f>IF(SUM(COUNTIFS('12_16_12_22'!E:E,'12_16_12_22 Acc Rate'!C10,'12_16_12_22'!P:P,"*E*"),COUNTIFS('12_16_12_22'!E:E,'12_16_12_22 Acc Rate'!C10,'12_16_12_22'!S:S,"*E*"))=0,"",SUM(COUNTIFS('12_16_12_22'!E:E,'12_16_12_22 Acc Rate'!C10,'12_16_12_22'!P:P,"*E*"),COUNTIFS('12_16_12_22'!E:E,'12_16_12_22 Acc Rate'!C10,'12_16_12_22'!S:S,"*E*")))</f>
        <v/>
      </c>
      <c r="U10" s="8" t="str">
        <f t="shared" si="1"/>
        <v/>
      </c>
      <c r="V10" s="2"/>
    </row>
    <row r="11" spans="2:24" s="1" customFormat="1" ht="15" customHeight="1" x14ac:dyDescent="0.25">
      <c r="B11" s="1" t="s">
        <v>531</v>
      </c>
      <c r="C11" s="1" t="s">
        <v>325</v>
      </c>
      <c r="D11" s="1" t="s">
        <v>278</v>
      </c>
      <c r="E11" t="s">
        <v>532</v>
      </c>
      <c r="F11" t="s">
        <v>244</v>
      </c>
      <c r="G11" t="s">
        <v>533</v>
      </c>
      <c r="H11" t="s">
        <v>460</v>
      </c>
      <c r="I11" t="s">
        <v>534</v>
      </c>
      <c r="J11" t="s">
        <v>523</v>
      </c>
      <c r="K11" t="s">
        <v>515</v>
      </c>
      <c r="L11" t="s">
        <v>535</v>
      </c>
      <c r="M11">
        <v>15</v>
      </c>
      <c r="N11" t="s">
        <v>536</v>
      </c>
      <c r="O11">
        <v>142</v>
      </c>
      <c r="P11">
        <v>25</v>
      </c>
      <c r="Q11" s="7"/>
      <c r="R11" s="27" t="str">
        <f t="shared" si="0"/>
        <v/>
      </c>
      <c r="S11" s="27" t="str">
        <f>IF(SUM(COUNTIFS('12_16_12_22'!E:E,'12_16_12_22 Acc Rate'!C11,'12_16_12_22'!O:O,"*M*"),COUNTIFS('12_16_12_22'!E:E,'12_16_12_22 Acc Rate'!C11,'12_16_12_22'!R:R,"*M*"))=0,"",SUM(COUNTIFS('12_16_12_22'!E:E,'12_16_12_22 Acc Rate'!C11,'12_16_12_22'!O:O,"*M*"),COUNTIFS('12_16_12_22'!E:E,'12_16_12_22 Acc Rate'!C11,'12_16_12_22'!R:R,"*M*")))</f>
        <v/>
      </c>
      <c r="T11" s="1" t="str">
        <f>IF(SUM(COUNTIFS('12_16_12_22'!E:E,'12_16_12_22 Acc Rate'!C11,'12_16_12_22'!P:P,"*E*"),COUNTIFS('12_16_12_22'!E:E,'12_16_12_22 Acc Rate'!C11,'12_16_12_22'!S:S,"*E*"))=0,"",SUM(COUNTIFS('12_16_12_22'!E:E,'12_16_12_22 Acc Rate'!C11,'12_16_12_22'!P:P,"*E*"),COUNTIFS('12_16_12_22'!E:E,'12_16_12_22 Acc Rate'!C11,'12_16_12_22'!S:S,"*E*")))</f>
        <v/>
      </c>
      <c r="U11" s="8" t="str">
        <f t="shared" si="1"/>
        <v/>
      </c>
      <c r="V11" s="2"/>
    </row>
    <row r="12" spans="2:24" s="1" customFormat="1" ht="15" customHeight="1" x14ac:dyDescent="0.25">
      <c r="B12" s="1" t="s">
        <v>537</v>
      </c>
      <c r="C12" s="1" t="s">
        <v>64</v>
      </c>
      <c r="D12" s="1" t="s">
        <v>65</v>
      </c>
      <c r="E12" t="s">
        <v>538</v>
      </c>
      <c r="F12" t="s">
        <v>114</v>
      </c>
      <c r="G12" t="s">
        <v>539</v>
      </c>
      <c r="H12" t="s">
        <v>460</v>
      </c>
      <c r="I12" t="s">
        <v>540</v>
      </c>
      <c r="J12" t="s">
        <v>523</v>
      </c>
      <c r="K12" t="s">
        <v>515</v>
      </c>
      <c r="L12"/>
      <c r="M12">
        <v>15</v>
      </c>
      <c r="N12" t="s">
        <v>541</v>
      </c>
      <c r="O12">
        <v>716</v>
      </c>
      <c r="P12">
        <v>25</v>
      </c>
      <c r="Q12" s="7"/>
      <c r="R12" s="27" t="str">
        <f t="shared" si="0"/>
        <v/>
      </c>
      <c r="S12" s="27" t="str">
        <f>IF(SUM(COUNTIFS('12_16_12_22'!E:E,'12_16_12_22 Acc Rate'!C12,'12_16_12_22'!O:O,"*M*"),COUNTIFS('12_16_12_22'!E:E,'12_16_12_22 Acc Rate'!C12,'12_16_12_22'!R:R,"*M*"))=0,"",SUM(COUNTIFS('12_16_12_22'!E:E,'12_16_12_22 Acc Rate'!C12,'12_16_12_22'!O:O,"*M*"),COUNTIFS('12_16_12_22'!E:E,'12_16_12_22 Acc Rate'!C12,'12_16_12_22'!R:R,"*M*")))</f>
        <v/>
      </c>
      <c r="T12" s="1" t="str">
        <f>IF(SUM(COUNTIFS('12_16_12_22'!E:E,'12_16_12_22 Acc Rate'!C12,'12_16_12_22'!P:P,"*E*"),COUNTIFS('12_16_12_22'!E:E,'12_16_12_22 Acc Rate'!C12,'12_16_12_22'!S:S,"*E*"))=0,"",SUM(COUNTIFS('12_16_12_22'!E:E,'12_16_12_22 Acc Rate'!C12,'12_16_12_22'!P:P,"*E*"),COUNTIFS('12_16_12_22'!E:E,'12_16_12_22 Acc Rate'!C12,'12_16_12_22'!S:S,"*E*")))</f>
        <v/>
      </c>
      <c r="U12" s="8" t="str">
        <f t="shared" si="1"/>
        <v/>
      </c>
      <c r="V12" s="2"/>
    </row>
    <row r="13" spans="2:24" s="1" customFormat="1" ht="15" customHeight="1" x14ac:dyDescent="0.25">
      <c r="B13" s="1" t="s">
        <v>484</v>
      </c>
      <c r="C13" s="1" t="s">
        <v>22</v>
      </c>
      <c r="D13" s="1" t="s">
        <v>23</v>
      </c>
      <c r="E13" t="s">
        <v>485</v>
      </c>
      <c r="F13" t="s">
        <v>486</v>
      </c>
      <c r="G13" t="s">
        <v>487</v>
      </c>
      <c r="H13" t="s">
        <v>460</v>
      </c>
      <c r="I13" t="s">
        <v>488</v>
      </c>
      <c r="J13" t="s">
        <v>523</v>
      </c>
      <c r="K13" t="s">
        <v>515</v>
      </c>
      <c r="L13"/>
      <c r="M13">
        <v>15</v>
      </c>
      <c r="N13" t="s">
        <v>489</v>
      </c>
      <c r="O13">
        <v>2117</v>
      </c>
      <c r="P13">
        <v>40</v>
      </c>
      <c r="Q13" s="7"/>
      <c r="R13" s="27">
        <f t="shared" si="0"/>
        <v>-1</v>
      </c>
      <c r="S13" s="27">
        <f>IF(SUM(COUNTIFS('12_16_12_22'!E:E,'12_16_12_22 Acc Rate'!C13,'12_16_12_22'!O:O,"*M*"),COUNTIFS('12_16_12_22'!E:E,'12_16_12_22 Acc Rate'!C13,'12_16_12_22'!R:R,"*M*"))=0,"",SUM(COUNTIFS('12_16_12_22'!E:E,'12_16_12_22 Acc Rate'!C13,'12_16_12_22'!O:O,"*M*"),COUNTIFS('12_16_12_22'!E:E,'12_16_12_22 Acc Rate'!C13,'12_16_12_22'!R:R,"*M*")))</f>
        <v>1</v>
      </c>
      <c r="T13" s="1" t="str">
        <f>IF(SUM(COUNTIFS('12_16_12_22'!E:E,'12_16_12_22 Acc Rate'!C13,'12_16_12_22'!P:P,"*E*"),COUNTIFS('12_16_12_22'!E:E,'12_16_12_22 Acc Rate'!C13,'12_16_12_22'!S:S,"*E*"))=0,"",SUM(COUNTIFS('12_16_12_22'!E:E,'12_16_12_22 Acc Rate'!C13,'12_16_12_22'!P:P,"*E*"),COUNTIFS('12_16_12_22'!E:E,'12_16_12_22 Acc Rate'!C13,'12_16_12_22'!S:S,"*E*")))</f>
        <v/>
      </c>
      <c r="U13" s="8" t="str">
        <f t="shared" si="1"/>
        <v/>
      </c>
      <c r="V13" s="2"/>
    </row>
    <row r="14" spans="2:24" s="1" customFormat="1" ht="15" customHeight="1" x14ac:dyDescent="0.25">
      <c r="B14" s="1" t="s">
        <v>500</v>
      </c>
      <c r="C14" s="1" t="s">
        <v>176</v>
      </c>
      <c r="D14" s="1" t="s">
        <v>177</v>
      </c>
      <c r="E14" t="s">
        <v>501</v>
      </c>
      <c r="F14" t="s">
        <v>168</v>
      </c>
      <c r="G14" t="s">
        <v>502</v>
      </c>
      <c r="H14" t="s">
        <v>460</v>
      </c>
      <c r="I14" t="s">
        <v>503</v>
      </c>
      <c r="J14" t="s">
        <v>523</v>
      </c>
      <c r="K14" t="s">
        <v>515</v>
      </c>
      <c r="L14"/>
      <c r="M14">
        <v>15</v>
      </c>
      <c r="N14" t="s">
        <v>504</v>
      </c>
      <c r="O14">
        <v>182</v>
      </c>
      <c r="P14">
        <v>40</v>
      </c>
      <c r="Q14" s="7"/>
      <c r="R14" s="27">
        <f t="shared" si="0"/>
        <v>-1</v>
      </c>
      <c r="S14" s="27" t="str">
        <f>IF(SUM(COUNTIFS('12_16_12_22'!E:E,'12_16_12_22 Acc Rate'!C14,'12_16_12_22'!O:O,"*M*"),COUNTIFS('12_16_12_22'!E:E,'12_16_12_22 Acc Rate'!C14,'12_16_12_22'!R:R,"*M*"))=0,"",SUM(COUNTIFS('12_16_12_22'!E:E,'12_16_12_22 Acc Rate'!C14,'12_16_12_22'!O:O,"*M*"),COUNTIFS('12_16_12_22'!E:E,'12_16_12_22 Acc Rate'!C14,'12_16_12_22'!R:R,"*M*")))</f>
        <v/>
      </c>
      <c r="T14" s="1">
        <f>IF(SUM(COUNTIFS('12_16_12_22'!E:E,'12_16_12_22 Acc Rate'!C14,'12_16_12_22'!P:P,"*E*"),COUNTIFS('12_16_12_22'!E:E,'12_16_12_22 Acc Rate'!C14,'12_16_12_22'!S:S,"*E*"))=0,"",SUM(COUNTIFS('12_16_12_22'!E:E,'12_16_12_22 Acc Rate'!C14,'12_16_12_22'!P:P,"*E*"),COUNTIFS('12_16_12_22'!E:E,'12_16_12_22 Acc Rate'!C14,'12_16_12_22'!S:S,"*E*")))</f>
        <v>1</v>
      </c>
      <c r="U14" s="8" t="str">
        <f t="shared" si="1"/>
        <v/>
      </c>
      <c r="V14" s="2"/>
    </row>
    <row r="15" spans="2:24" ht="15" customHeight="1" x14ac:dyDescent="0.25">
      <c r="B15" s="1" t="s">
        <v>548</v>
      </c>
      <c r="C15" s="1" t="s">
        <v>396</v>
      </c>
      <c r="D15" s="1" t="s">
        <v>549</v>
      </c>
      <c r="E15"/>
      <c r="F15" t="s">
        <v>550</v>
      </c>
      <c r="G15" t="s">
        <v>551</v>
      </c>
      <c r="H15" t="s">
        <v>552</v>
      </c>
      <c r="I15" t="s">
        <v>553</v>
      </c>
      <c r="J15" t="s">
        <v>554</v>
      </c>
      <c r="K15"/>
      <c r="L15"/>
      <c r="M15">
        <v>6</v>
      </c>
      <c r="N15"/>
      <c r="O15"/>
      <c r="P15"/>
      <c r="Q15" s="7"/>
      <c r="R15" s="27" t="str">
        <f t="shared" si="0"/>
        <v/>
      </c>
      <c r="S15" s="27" t="str">
        <f>IF(SUM(COUNTIFS('12_16_12_22'!E:E,'12_16_12_22 Acc Rate'!C15,'12_16_12_22'!O:O,"*M*"),COUNTIFS('12_16_12_22'!E:E,'12_16_12_22 Acc Rate'!C15,'12_16_12_22'!R:R,"*M*"))=0,"",SUM(COUNTIFS('12_16_12_22'!E:E,'12_16_12_22 Acc Rate'!C15,'12_16_12_22'!O:O,"*M*"),COUNTIFS('12_16_12_22'!E:E,'12_16_12_22 Acc Rate'!C15,'12_16_12_22'!R:R,"*M*")))</f>
        <v/>
      </c>
      <c r="T15" s="1" t="str">
        <f>IF(SUM(COUNTIFS('12_16_12_22'!E:E,'12_16_12_22 Acc Rate'!C15,'12_16_12_22'!P:P,"*E*"),COUNTIFS('12_16_12_22'!E:E,'12_16_12_22 Acc Rate'!C15,'12_16_12_22'!S:S,"*E*"))=0,"",SUM(COUNTIFS('12_16_12_22'!E:E,'12_16_12_22 Acc Rate'!C15,'12_16_12_22'!P:P,"*E*"),COUNTIFS('12_16_12_22'!E:E,'12_16_12_22 Acc Rate'!C15,'12_16_12_22'!S:S,"*E*")))</f>
        <v/>
      </c>
      <c r="U15" s="8" t="str">
        <f t="shared" si="1"/>
        <v/>
      </c>
    </row>
    <row r="16" spans="2:24" ht="15" customHeight="1" x14ac:dyDescent="0.25">
      <c r="B16" s="1" t="s">
        <v>555</v>
      </c>
      <c r="C16" s="1" t="s">
        <v>556</v>
      </c>
      <c r="D16" s="1" t="s">
        <v>557</v>
      </c>
      <c r="E16"/>
      <c r="F16" t="s">
        <v>558</v>
      </c>
      <c r="G16" t="s">
        <v>559</v>
      </c>
      <c r="H16" t="s">
        <v>552</v>
      </c>
      <c r="I16" t="s">
        <v>560</v>
      </c>
      <c r="J16" t="s">
        <v>561</v>
      </c>
      <c r="K16" t="s">
        <v>553</v>
      </c>
      <c r="L16"/>
      <c r="M16">
        <v>6</v>
      </c>
      <c r="N16"/>
      <c r="O16"/>
      <c r="P16"/>
      <c r="Q16" s="7"/>
      <c r="R16" s="27">
        <f t="shared" si="0"/>
        <v>-1</v>
      </c>
      <c r="S16" s="27">
        <f>IF(SUM(COUNTIFS('12_16_12_22'!E:E,'12_16_12_22 Acc Rate'!C16,'12_16_12_22'!O:O,"*M*"),COUNTIFS('12_16_12_22'!E:E,'12_16_12_22 Acc Rate'!C16,'12_16_12_22'!R:R,"*M*"))=0,"",SUM(COUNTIFS('12_16_12_22'!E:E,'12_16_12_22 Acc Rate'!C16,'12_16_12_22'!O:O,"*M*"),COUNTIFS('12_16_12_22'!E:E,'12_16_12_22 Acc Rate'!C16,'12_16_12_22'!R:R,"*M*")))</f>
        <v>1</v>
      </c>
      <c r="T16" s="1" t="str">
        <f>IF(SUM(COUNTIFS('12_16_12_22'!E:E,'12_16_12_22 Acc Rate'!C16,'12_16_12_22'!P:P,"*E*"),COUNTIFS('12_16_12_22'!E:E,'12_16_12_22 Acc Rate'!C16,'12_16_12_22'!S:S,"*E*"))=0,"",SUM(COUNTIFS('12_16_12_22'!E:E,'12_16_12_22 Acc Rate'!C16,'12_16_12_22'!P:P,"*E*"),COUNTIFS('12_16_12_22'!E:E,'12_16_12_22 Acc Rate'!C16,'12_16_12_22'!S:S,"*E*")))</f>
        <v/>
      </c>
      <c r="U16" s="8" t="str">
        <f t="shared" si="1"/>
        <v/>
      </c>
    </row>
    <row r="17" spans="2:21" ht="15" customHeight="1" x14ac:dyDescent="0.25">
      <c r="B17" s="1" t="s">
        <v>562</v>
      </c>
      <c r="C17" s="1" t="s">
        <v>563</v>
      </c>
      <c r="D17" s="1" t="s">
        <v>564</v>
      </c>
      <c r="E17"/>
      <c r="F17" t="s">
        <v>565</v>
      </c>
      <c r="G17" t="s">
        <v>566</v>
      </c>
      <c r="H17" t="s">
        <v>552</v>
      </c>
      <c r="I17" t="s">
        <v>567</v>
      </c>
      <c r="J17" t="s">
        <v>561</v>
      </c>
      <c r="K17" t="s">
        <v>553</v>
      </c>
      <c r="L17"/>
      <c r="M17">
        <v>6</v>
      </c>
      <c r="N17"/>
      <c r="O17"/>
      <c r="P17"/>
      <c r="Q17" s="7"/>
      <c r="R17" s="27">
        <f t="shared" si="0"/>
        <v>-2</v>
      </c>
      <c r="S17" s="27">
        <f>IF(SUM(COUNTIFS('12_16_12_22'!E:E,'12_16_12_22 Acc Rate'!C17,'12_16_12_22'!O:O,"*M*"),COUNTIFS('12_16_12_22'!E:E,'12_16_12_22 Acc Rate'!C17,'12_16_12_22'!R:R,"*M*"))=0,"",SUM(COUNTIFS('12_16_12_22'!E:E,'12_16_12_22 Acc Rate'!C17,'12_16_12_22'!O:O,"*M*"),COUNTIFS('12_16_12_22'!E:E,'12_16_12_22 Acc Rate'!C17,'12_16_12_22'!R:R,"*M*")))</f>
        <v>1</v>
      </c>
      <c r="T17" s="1">
        <f>IF(SUM(COUNTIFS('12_16_12_22'!E:E,'12_16_12_22 Acc Rate'!C17,'12_16_12_22'!P:P,"*E*"),COUNTIFS('12_16_12_22'!E:E,'12_16_12_22 Acc Rate'!C17,'12_16_12_22'!S:S,"*E*"))=0,"",SUM(COUNTIFS('12_16_12_22'!E:E,'12_16_12_22 Acc Rate'!C17,'12_16_12_22'!P:P,"*E*"),COUNTIFS('12_16_12_22'!E:E,'12_16_12_22 Acc Rate'!C17,'12_16_12_22'!S:S,"*E*")))</f>
        <v>1</v>
      </c>
      <c r="U17" s="8" t="str">
        <f t="shared" si="1"/>
        <v/>
      </c>
    </row>
    <row r="18" spans="2:21" ht="15" customHeight="1" x14ac:dyDescent="0.25">
      <c r="B18" s="1" t="s">
        <v>568</v>
      </c>
      <c r="C18" s="1" t="s">
        <v>569</v>
      </c>
      <c r="D18" s="1" t="s">
        <v>570</v>
      </c>
      <c r="E18"/>
      <c r="F18" t="s">
        <v>571</v>
      </c>
      <c r="G18" t="s">
        <v>572</v>
      </c>
      <c r="H18" t="s">
        <v>552</v>
      </c>
      <c r="I18" t="s">
        <v>573</v>
      </c>
      <c r="J18" t="s">
        <v>561</v>
      </c>
      <c r="K18" t="s">
        <v>553</v>
      </c>
      <c r="L18"/>
      <c r="M18">
        <v>6</v>
      </c>
      <c r="N18"/>
      <c r="O18"/>
      <c r="P18"/>
      <c r="Q18" s="7"/>
      <c r="R18" s="27" t="str">
        <f t="shared" si="0"/>
        <v/>
      </c>
      <c r="S18" s="27" t="str">
        <f>IF(SUM(COUNTIFS('12_16_12_22'!E:E,'12_16_12_22 Acc Rate'!C18,'12_16_12_22'!O:O,"*M*"),COUNTIFS('12_16_12_22'!E:E,'12_16_12_22 Acc Rate'!C18,'12_16_12_22'!R:R,"*M*"))=0,"",SUM(COUNTIFS('12_16_12_22'!E:E,'12_16_12_22 Acc Rate'!C18,'12_16_12_22'!O:O,"*M*"),COUNTIFS('12_16_12_22'!E:E,'12_16_12_22 Acc Rate'!C18,'12_16_12_22'!R:R,"*M*")))</f>
        <v/>
      </c>
      <c r="T18" s="1" t="str">
        <f>IF(SUM(COUNTIFS('12_16_12_22'!E:E,'12_16_12_22 Acc Rate'!C18,'12_16_12_22'!P:P,"*E*"),COUNTIFS('12_16_12_22'!E:E,'12_16_12_22 Acc Rate'!C18,'12_16_12_22'!S:S,"*E*"))=0,"",SUM(COUNTIFS('12_16_12_22'!E:E,'12_16_12_22 Acc Rate'!C18,'12_16_12_22'!P:P,"*E*"),COUNTIFS('12_16_12_22'!E:E,'12_16_12_22 Acc Rate'!C18,'12_16_12_22'!S:S,"*E*")))</f>
        <v/>
      </c>
      <c r="U18" s="8" t="str">
        <f t="shared" si="1"/>
        <v/>
      </c>
    </row>
    <row r="19" spans="2:21" ht="15" customHeight="1" x14ac:dyDescent="0.25">
      <c r="B19" s="1" t="s">
        <v>574</v>
      </c>
      <c r="C19" s="1" t="s">
        <v>575</v>
      </c>
      <c r="D19" s="1" t="s">
        <v>576</v>
      </c>
      <c r="E19"/>
      <c r="F19" t="s">
        <v>577</v>
      </c>
      <c r="G19" t="s">
        <v>578</v>
      </c>
      <c r="H19" t="s">
        <v>552</v>
      </c>
      <c r="I19" t="s">
        <v>579</v>
      </c>
      <c r="J19" t="s">
        <v>561</v>
      </c>
      <c r="K19" t="s">
        <v>553</v>
      </c>
      <c r="L19"/>
      <c r="M19">
        <v>6</v>
      </c>
      <c r="N19"/>
      <c r="O19"/>
      <c r="P19"/>
      <c r="Q19" s="7"/>
      <c r="R19" s="27" t="str">
        <f t="shared" si="0"/>
        <v/>
      </c>
      <c r="S19" s="27" t="str">
        <f>IF(SUM(COUNTIFS('12_16_12_22'!E:E,'12_16_12_22 Acc Rate'!C19,'12_16_12_22'!O:O,"*M*"),COUNTIFS('12_16_12_22'!E:E,'12_16_12_22 Acc Rate'!C19,'12_16_12_22'!R:R,"*M*"))=0,"",SUM(COUNTIFS('12_16_12_22'!E:E,'12_16_12_22 Acc Rate'!C19,'12_16_12_22'!O:O,"*M*"),COUNTIFS('12_16_12_22'!E:E,'12_16_12_22 Acc Rate'!C19,'12_16_12_22'!R:R,"*M*")))</f>
        <v/>
      </c>
      <c r="T19" s="1" t="str">
        <f>IF(SUM(COUNTIFS('12_16_12_22'!E:E,'12_16_12_22 Acc Rate'!C19,'12_16_12_22'!P:P,"*E*"),COUNTIFS('12_16_12_22'!E:E,'12_16_12_22 Acc Rate'!C19,'12_16_12_22'!S:S,"*E*"))=0,"",SUM(COUNTIFS('12_16_12_22'!E:E,'12_16_12_22 Acc Rate'!C19,'12_16_12_22'!P:P,"*E*"),COUNTIFS('12_16_12_22'!E:E,'12_16_12_22 Acc Rate'!C19,'12_16_12_22'!S:S,"*E*")))</f>
        <v/>
      </c>
      <c r="U19" s="8" t="str">
        <f t="shared" si="1"/>
        <v/>
      </c>
    </row>
    <row r="20" spans="2:21" ht="15" customHeight="1" x14ac:dyDescent="0.25">
      <c r="B20" s="1" t="s">
        <v>580</v>
      </c>
      <c r="C20" s="1" t="s">
        <v>316</v>
      </c>
      <c r="D20" s="1" t="s">
        <v>581</v>
      </c>
      <c r="E20"/>
      <c r="F20" t="s">
        <v>565</v>
      </c>
      <c r="G20" t="s">
        <v>582</v>
      </c>
      <c r="H20" t="s">
        <v>583</v>
      </c>
      <c r="I20" t="s">
        <v>584</v>
      </c>
      <c r="J20" t="s">
        <v>585</v>
      </c>
      <c r="K20"/>
      <c r="L20"/>
      <c r="M20">
        <v>1</v>
      </c>
      <c r="N20"/>
      <c r="O20"/>
      <c r="P20"/>
      <c r="Q20" s="7"/>
      <c r="R20" s="27" t="str">
        <f t="shared" si="0"/>
        <v/>
      </c>
      <c r="S20" s="27" t="str">
        <f>IF(SUM(COUNTIFS('12_16_12_22'!E:E,'12_16_12_22 Acc Rate'!C20,'12_16_12_22'!O:O,"*M*"),COUNTIFS('12_16_12_22'!E:E,'12_16_12_22 Acc Rate'!C20,'12_16_12_22'!R:R,"*M*"))=0,"",SUM(COUNTIFS('12_16_12_22'!E:E,'12_16_12_22 Acc Rate'!C20,'12_16_12_22'!O:O,"*M*"),COUNTIFS('12_16_12_22'!E:E,'12_16_12_22 Acc Rate'!C20,'12_16_12_22'!R:R,"*M*")))</f>
        <v/>
      </c>
      <c r="T20" s="1" t="str">
        <f>IF(SUM(COUNTIFS('12_16_12_22'!E:E,'12_16_12_22 Acc Rate'!C20,'12_16_12_22'!P:P,"*E*"),COUNTIFS('12_16_12_22'!E:E,'12_16_12_22 Acc Rate'!C20,'12_16_12_22'!S:S,"*E*"))=0,"",SUM(COUNTIFS('12_16_12_22'!E:E,'12_16_12_22 Acc Rate'!C20,'12_16_12_22'!P:P,"*E*"),COUNTIFS('12_16_12_22'!E:E,'12_16_12_22 Acc Rate'!C20,'12_16_12_22'!S:S,"*E*")))</f>
        <v/>
      </c>
      <c r="U20" s="8" t="str">
        <f t="shared" si="1"/>
        <v/>
      </c>
    </row>
    <row r="21" spans="2:21" ht="15" customHeight="1" x14ac:dyDescent="0.25">
      <c r="B21" s="1" t="s">
        <v>586</v>
      </c>
      <c r="C21" s="1" t="s">
        <v>587</v>
      </c>
      <c r="D21" s="1" t="s">
        <v>588</v>
      </c>
      <c r="E21"/>
      <c r="F21" t="s">
        <v>589</v>
      </c>
      <c r="G21" t="s">
        <v>590</v>
      </c>
      <c r="H21" t="s">
        <v>583</v>
      </c>
      <c r="I21" t="s">
        <v>591</v>
      </c>
      <c r="J21" t="s">
        <v>592</v>
      </c>
      <c r="K21"/>
      <c r="L21"/>
      <c r="M21">
        <v>1</v>
      </c>
      <c r="N21"/>
      <c r="O21"/>
      <c r="P21"/>
      <c r="Q21" s="7"/>
      <c r="R21" s="27" t="str">
        <f t="shared" si="0"/>
        <v/>
      </c>
      <c r="S21" s="27" t="str">
        <f>IF(SUM(COUNTIFS('12_16_12_22'!E:E,'12_16_12_22 Acc Rate'!C21,'12_16_12_22'!O:O,"*M*"),COUNTIFS('12_16_12_22'!E:E,'12_16_12_22 Acc Rate'!C21,'12_16_12_22'!R:R,"*M*"))=0,"",SUM(COUNTIFS('12_16_12_22'!E:E,'12_16_12_22 Acc Rate'!C21,'12_16_12_22'!O:O,"*M*"),COUNTIFS('12_16_12_22'!E:E,'12_16_12_22 Acc Rate'!C21,'12_16_12_22'!R:R,"*M*")))</f>
        <v/>
      </c>
      <c r="T21" s="1" t="str">
        <f>IF(SUM(COUNTIFS('12_16_12_22'!E:E,'12_16_12_22 Acc Rate'!C21,'12_16_12_22'!P:P,"*E*"),COUNTIFS('12_16_12_22'!E:E,'12_16_12_22 Acc Rate'!C21,'12_16_12_22'!S:S,"*E*"))=0,"",SUM(COUNTIFS('12_16_12_22'!E:E,'12_16_12_22 Acc Rate'!C21,'12_16_12_22'!P:P,"*E*"),COUNTIFS('12_16_12_22'!E:E,'12_16_12_22 Acc Rate'!C21,'12_16_12_22'!S:S,"*E*")))</f>
        <v/>
      </c>
      <c r="U21" s="8" t="str">
        <f t="shared" si="1"/>
        <v/>
      </c>
    </row>
    <row r="22" spans="2:21" ht="15" customHeight="1" x14ac:dyDescent="0.25">
      <c r="B22" s="1" t="s">
        <v>593</v>
      </c>
      <c r="C22" s="1" t="s">
        <v>169</v>
      </c>
      <c r="D22" s="1" t="s">
        <v>170</v>
      </c>
      <c r="E22"/>
      <c r="F22" t="s">
        <v>594</v>
      </c>
      <c r="G22" t="s">
        <v>595</v>
      </c>
      <c r="H22" t="s">
        <v>583</v>
      </c>
      <c r="I22" t="s">
        <v>596</v>
      </c>
      <c r="J22" t="s">
        <v>592</v>
      </c>
      <c r="K22"/>
      <c r="L22"/>
      <c r="M22">
        <v>1</v>
      </c>
      <c r="N22"/>
      <c r="O22"/>
      <c r="P22"/>
      <c r="Q22" s="7"/>
      <c r="R22" s="27" t="str">
        <f t="shared" si="0"/>
        <v/>
      </c>
      <c r="S22" s="27" t="str">
        <f>IF(SUM(COUNTIFS('12_16_12_22'!E:E,'12_16_12_22 Acc Rate'!C22,'12_16_12_22'!O:O,"*M*"),COUNTIFS('12_16_12_22'!E:E,'12_16_12_22 Acc Rate'!C22,'12_16_12_22'!R:R,"*M*"))=0,"",SUM(COUNTIFS('12_16_12_22'!E:E,'12_16_12_22 Acc Rate'!C22,'12_16_12_22'!O:O,"*M*"),COUNTIFS('12_16_12_22'!E:E,'12_16_12_22 Acc Rate'!C22,'12_16_12_22'!R:R,"*M*")))</f>
        <v/>
      </c>
      <c r="T22" s="1" t="str">
        <f>IF(SUM(COUNTIFS('12_16_12_22'!E:E,'12_16_12_22 Acc Rate'!C22,'12_16_12_22'!P:P,"*E*"),COUNTIFS('12_16_12_22'!E:E,'12_16_12_22 Acc Rate'!C22,'12_16_12_22'!S:S,"*E*"))=0,"",SUM(COUNTIFS('12_16_12_22'!E:E,'12_16_12_22 Acc Rate'!C22,'12_16_12_22'!P:P,"*E*"),COUNTIFS('12_16_12_22'!E:E,'12_16_12_22 Acc Rate'!C22,'12_16_12_22'!S:S,"*E*")))</f>
        <v/>
      </c>
      <c r="U22" s="8" t="str">
        <f t="shared" si="1"/>
        <v/>
      </c>
    </row>
    <row r="23" spans="2:21" s="1" customFormat="1" ht="15" customHeight="1" x14ac:dyDescent="0.25">
      <c r="B23" s="1" t="s">
        <v>602</v>
      </c>
      <c r="C23" s="1" t="s">
        <v>603</v>
      </c>
      <c r="D23" s="1" t="s">
        <v>1175</v>
      </c>
      <c r="E23"/>
      <c r="F23" t="s">
        <v>565</v>
      </c>
      <c r="G23" t="s">
        <v>1176</v>
      </c>
      <c r="H23" t="s">
        <v>583</v>
      </c>
      <c r="I23" t="s">
        <v>606</v>
      </c>
      <c r="J23" t="s">
        <v>607</v>
      </c>
      <c r="K23"/>
      <c r="L23"/>
      <c r="M23">
        <v>1</v>
      </c>
      <c r="N23"/>
      <c r="O23"/>
      <c r="P23"/>
      <c r="Q23" s="7"/>
      <c r="R23" s="27" t="str">
        <f t="shared" si="0"/>
        <v/>
      </c>
      <c r="S23" s="27" t="str">
        <f>IF(SUM(COUNTIFS('12_16_12_22'!E:E,'12_16_12_22 Acc Rate'!C23,'12_16_12_22'!O:O,"*M*"),COUNTIFS('12_16_12_22'!E:E,'12_16_12_22 Acc Rate'!C23,'12_16_12_22'!R:R,"*M*"))=0,"",SUM(COUNTIFS('12_16_12_22'!E:E,'12_16_12_22 Acc Rate'!C23,'12_16_12_22'!O:O,"*M*"),COUNTIFS('12_16_12_22'!E:E,'12_16_12_22 Acc Rate'!C23,'12_16_12_22'!R:R,"*M*")))</f>
        <v/>
      </c>
      <c r="T23" s="1" t="str">
        <f>IF(SUM(COUNTIFS('12_16_12_22'!E:E,'12_16_12_22 Acc Rate'!C23,'12_16_12_22'!P:P,"*E*"),COUNTIFS('12_16_12_22'!E:E,'12_16_12_22 Acc Rate'!C23,'12_16_12_22'!S:S,"*E*"))=0,"",SUM(COUNTIFS('12_16_12_22'!E:E,'12_16_12_22 Acc Rate'!C23,'12_16_12_22'!P:P,"*E*"),COUNTIFS('12_16_12_22'!E:E,'12_16_12_22 Acc Rate'!C23,'12_16_12_22'!S:S,"*E*")))</f>
        <v/>
      </c>
      <c r="U23" s="9" t="str">
        <f t="shared" si="1"/>
        <v/>
      </c>
    </row>
    <row r="24" spans="2:21" s="1" customFormat="1" ht="15" customHeight="1" x14ac:dyDescent="0.25">
      <c r="B24" s="1" t="s">
        <v>608</v>
      </c>
      <c r="C24" s="1" t="s">
        <v>609</v>
      </c>
      <c r="D24" s="1" t="s">
        <v>610</v>
      </c>
      <c r="E24"/>
      <c r="F24" t="s">
        <v>611</v>
      </c>
      <c r="G24" t="s">
        <v>612</v>
      </c>
      <c r="H24" t="s">
        <v>583</v>
      </c>
      <c r="I24" t="s">
        <v>613</v>
      </c>
      <c r="J24" t="s">
        <v>614</v>
      </c>
      <c r="K24" t="s">
        <v>606</v>
      </c>
      <c r="L24"/>
      <c r="M24">
        <v>1</v>
      </c>
      <c r="N24"/>
      <c r="O24"/>
      <c r="P24"/>
      <c r="Q24" s="7"/>
      <c r="R24" s="27" t="str">
        <f t="shared" si="0"/>
        <v/>
      </c>
      <c r="S24" s="27" t="str">
        <f>IF(SUM(COUNTIFS('12_16_12_22'!E:E,'12_16_12_22 Acc Rate'!C24,'12_16_12_22'!O:O,"*M*"),COUNTIFS('12_16_12_22'!E:E,'12_16_12_22 Acc Rate'!C24,'12_16_12_22'!R:R,"*M*"))=0,"",SUM(COUNTIFS('12_16_12_22'!E:E,'12_16_12_22 Acc Rate'!C24,'12_16_12_22'!O:O,"*M*"),COUNTIFS('12_16_12_22'!E:E,'12_16_12_22 Acc Rate'!C24,'12_16_12_22'!R:R,"*M*")))</f>
        <v/>
      </c>
      <c r="T24" s="1" t="str">
        <f>IF(SUM(COUNTIFS('12_16_12_22'!E:E,'12_16_12_22 Acc Rate'!C24,'12_16_12_22'!P:P,"*E*"),COUNTIFS('12_16_12_22'!E:E,'12_16_12_22 Acc Rate'!C24,'12_16_12_22'!S:S,"*E*"))=0,"",SUM(COUNTIFS('12_16_12_22'!E:E,'12_16_12_22 Acc Rate'!C24,'12_16_12_22'!P:P,"*E*"),COUNTIFS('12_16_12_22'!E:E,'12_16_12_22 Acc Rate'!C24,'12_16_12_22'!S:S,"*E*")))</f>
        <v/>
      </c>
      <c r="U24" s="9" t="str">
        <f t="shared" si="1"/>
        <v/>
      </c>
    </row>
    <row r="25" spans="2:21" s="1" customFormat="1" ht="15" customHeight="1" x14ac:dyDescent="0.25">
      <c r="B25" s="1" t="s">
        <v>615</v>
      </c>
      <c r="C25" s="1" t="s">
        <v>616</v>
      </c>
      <c r="D25" s="1" t="s">
        <v>617</v>
      </c>
      <c r="E25"/>
      <c r="F25" t="s">
        <v>618</v>
      </c>
      <c r="G25" t="s">
        <v>619</v>
      </c>
      <c r="H25" t="s">
        <v>583</v>
      </c>
      <c r="I25" t="s">
        <v>620</v>
      </c>
      <c r="J25" t="s">
        <v>614</v>
      </c>
      <c r="K25" t="s">
        <v>606</v>
      </c>
      <c r="L25"/>
      <c r="M25">
        <v>1</v>
      </c>
      <c r="N25"/>
      <c r="O25"/>
      <c r="P25"/>
      <c r="Q25" s="7"/>
      <c r="R25" s="27" t="str">
        <f t="shared" si="0"/>
        <v/>
      </c>
      <c r="S25" s="27" t="str">
        <f>IF(SUM(COUNTIFS('12_16_12_22'!E:E,'12_16_12_22 Acc Rate'!C25,'12_16_12_22'!O:O,"*M*"),COUNTIFS('12_16_12_22'!E:E,'12_16_12_22 Acc Rate'!C25,'12_16_12_22'!R:R,"*M*"))=0,"",SUM(COUNTIFS('12_16_12_22'!E:E,'12_16_12_22 Acc Rate'!C25,'12_16_12_22'!O:O,"*M*"),COUNTIFS('12_16_12_22'!E:E,'12_16_12_22 Acc Rate'!C25,'12_16_12_22'!R:R,"*M*")))</f>
        <v/>
      </c>
      <c r="T25" s="1" t="str">
        <f>IF(SUM(COUNTIFS('12_16_12_22'!E:E,'12_16_12_22 Acc Rate'!C25,'12_16_12_22'!P:P,"*E*"),COUNTIFS('12_16_12_22'!E:E,'12_16_12_22 Acc Rate'!C25,'12_16_12_22'!S:S,"*E*"))=0,"",SUM(COUNTIFS('12_16_12_22'!E:E,'12_16_12_22 Acc Rate'!C25,'12_16_12_22'!P:P,"*E*"),COUNTIFS('12_16_12_22'!E:E,'12_16_12_22 Acc Rate'!C25,'12_16_12_22'!S:S,"*E*")))</f>
        <v/>
      </c>
      <c r="U25" s="9" t="str">
        <f t="shared" si="1"/>
        <v/>
      </c>
    </row>
    <row r="26" spans="2:21" s="1" customFormat="1" ht="15" customHeight="1" x14ac:dyDescent="0.25">
      <c r="B26" s="1" t="s">
        <v>621</v>
      </c>
      <c r="C26" s="1" t="s">
        <v>622</v>
      </c>
      <c r="D26" s="1" t="s">
        <v>267</v>
      </c>
      <c r="E26"/>
      <c r="F26" t="s">
        <v>623</v>
      </c>
      <c r="G26" t="s">
        <v>624</v>
      </c>
      <c r="H26" t="s">
        <v>583</v>
      </c>
      <c r="I26" t="s">
        <v>625</v>
      </c>
      <c r="J26" t="s">
        <v>614</v>
      </c>
      <c r="K26" t="s">
        <v>606</v>
      </c>
      <c r="L26"/>
      <c r="M26">
        <v>1</v>
      </c>
      <c r="N26"/>
      <c r="O26"/>
      <c r="P26"/>
      <c r="Q26" s="7"/>
      <c r="R26" s="27" t="str">
        <f t="shared" si="0"/>
        <v/>
      </c>
      <c r="S26" s="27" t="str">
        <f>IF(SUM(COUNTIFS('12_16_12_22'!E:E,'12_16_12_22 Acc Rate'!C26,'12_16_12_22'!O:O,"*M*"),COUNTIFS('12_16_12_22'!E:E,'12_16_12_22 Acc Rate'!C26,'12_16_12_22'!R:R,"*M*"))=0,"",SUM(COUNTIFS('12_16_12_22'!E:E,'12_16_12_22 Acc Rate'!C26,'12_16_12_22'!O:O,"*M*"),COUNTIFS('12_16_12_22'!E:E,'12_16_12_22 Acc Rate'!C26,'12_16_12_22'!R:R,"*M*")))</f>
        <v/>
      </c>
      <c r="T26" s="1" t="str">
        <f>IF(SUM(COUNTIFS('12_16_12_22'!E:E,'12_16_12_22 Acc Rate'!C26,'12_16_12_22'!P:P,"*E*"),COUNTIFS('12_16_12_22'!E:E,'12_16_12_22 Acc Rate'!C26,'12_16_12_22'!S:S,"*E*"))=0,"",SUM(COUNTIFS('12_16_12_22'!E:E,'12_16_12_22 Acc Rate'!C26,'12_16_12_22'!P:P,"*E*"),COUNTIFS('12_16_12_22'!E:E,'12_16_12_22 Acc Rate'!C26,'12_16_12_22'!S:S,"*E*")))</f>
        <v/>
      </c>
      <c r="U26" s="9" t="str">
        <f t="shared" si="1"/>
        <v/>
      </c>
    </row>
    <row r="27" spans="2:21" s="1" customFormat="1" ht="15" customHeight="1" x14ac:dyDescent="0.25">
      <c r="B27" s="1" t="s">
        <v>626</v>
      </c>
      <c r="C27" s="1" t="s">
        <v>362</v>
      </c>
      <c r="D27" s="1" t="s">
        <v>409</v>
      </c>
      <c r="E27"/>
      <c r="F27" t="s">
        <v>627</v>
      </c>
      <c r="G27" t="s">
        <v>628</v>
      </c>
      <c r="H27" t="s">
        <v>583</v>
      </c>
      <c r="I27" t="s">
        <v>629</v>
      </c>
      <c r="J27" t="s">
        <v>614</v>
      </c>
      <c r="K27" t="s">
        <v>606</v>
      </c>
      <c r="L27"/>
      <c r="M27">
        <v>1</v>
      </c>
      <c r="N27"/>
      <c r="O27"/>
      <c r="P27"/>
      <c r="Q27" s="7"/>
      <c r="R27" s="27" t="str">
        <f t="shared" si="0"/>
        <v/>
      </c>
      <c r="S27" s="27" t="str">
        <f>IF(SUM(COUNTIFS('12_16_12_22'!E:E,'12_16_12_22 Acc Rate'!C27,'12_16_12_22'!O:O,"*M*"),COUNTIFS('12_16_12_22'!E:E,'12_16_12_22 Acc Rate'!C27,'12_16_12_22'!R:R,"*M*"))=0,"",SUM(COUNTIFS('12_16_12_22'!E:E,'12_16_12_22 Acc Rate'!C27,'12_16_12_22'!O:O,"*M*"),COUNTIFS('12_16_12_22'!E:E,'12_16_12_22 Acc Rate'!C27,'12_16_12_22'!R:R,"*M*")))</f>
        <v/>
      </c>
      <c r="T27" s="1" t="str">
        <f>IF(SUM(COUNTIFS('12_16_12_22'!E:E,'12_16_12_22 Acc Rate'!C27,'12_16_12_22'!P:P,"*E*"),COUNTIFS('12_16_12_22'!E:E,'12_16_12_22 Acc Rate'!C27,'12_16_12_22'!S:S,"*E*"))=0,"",SUM(COUNTIFS('12_16_12_22'!E:E,'12_16_12_22 Acc Rate'!C27,'12_16_12_22'!P:P,"*E*"),COUNTIFS('12_16_12_22'!E:E,'12_16_12_22 Acc Rate'!C27,'12_16_12_22'!S:S,"*E*")))</f>
        <v/>
      </c>
      <c r="U27" s="9" t="str">
        <f t="shared" si="1"/>
        <v/>
      </c>
    </row>
    <row r="28" spans="2:21" s="1" customFormat="1" ht="15" customHeight="1" x14ac:dyDescent="0.25">
      <c r="B28" s="1" t="s">
        <v>630</v>
      </c>
      <c r="C28" s="1" t="s">
        <v>425</v>
      </c>
      <c r="D28" s="1" t="s">
        <v>426</v>
      </c>
      <c r="E28"/>
      <c r="F28" t="s">
        <v>631</v>
      </c>
      <c r="G28" t="s">
        <v>632</v>
      </c>
      <c r="H28" t="s">
        <v>583</v>
      </c>
      <c r="I28" t="s">
        <v>633</v>
      </c>
      <c r="J28" t="s">
        <v>614</v>
      </c>
      <c r="K28" t="s">
        <v>606</v>
      </c>
      <c r="L28"/>
      <c r="M28">
        <v>15</v>
      </c>
      <c r="N28"/>
      <c r="O28"/>
      <c r="P28"/>
      <c r="Q28" s="7"/>
      <c r="R28" s="27" t="str">
        <f t="shared" si="0"/>
        <v/>
      </c>
      <c r="S28" s="27" t="str">
        <f>IF(SUM(COUNTIFS('12_16_12_22'!E:E,'12_16_12_22 Acc Rate'!C28,'12_16_12_22'!O:O,"*M*"),COUNTIFS('12_16_12_22'!E:E,'12_16_12_22 Acc Rate'!C28,'12_16_12_22'!R:R,"*M*"))=0,"",SUM(COUNTIFS('12_16_12_22'!E:E,'12_16_12_22 Acc Rate'!C28,'12_16_12_22'!O:O,"*M*"),COUNTIFS('12_16_12_22'!E:E,'12_16_12_22 Acc Rate'!C28,'12_16_12_22'!R:R,"*M*")))</f>
        <v/>
      </c>
      <c r="T28" s="1" t="str">
        <f>IF(SUM(COUNTIFS('12_16_12_22'!E:E,'12_16_12_22 Acc Rate'!C28,'12_16_12_22'!P:P,"*E*"),COUNTIFS('12_16_12_22'!E:E,'12_16_12_22 Acc Rate'!C28,'12_16_12_22'!S:S,"*E*"))=0,"",SUM(COUNTIFS('12_16_12_22'!E:E,'12_16_12_22 Acc Rate'!C28,'12_16_12_22'!P:P,"*E*"),COUNTIFS('12_16_12_22'!E:E,'12_16_12_22 Acc Rate'!C28,'12_16_12_22'!S:S,"*E*")))</f>
        <v/>
      </c>
      <c r="U28" s="8" t="str">
        <f t="shared" si="1"/>
        <v/>
      </c>
    </row>
    <row r="29" spans="2:21" s="1" customFormat="1" ht="15" customHeight="1" x14ac:dyDescent="0.25">
      <c r="B29" s="1" t="s">
        <v>634</v>
      </c>
      <c r="C29" s="1" t="s">
        <v>635</v>
      </c>
      <c r="D29" s="1" t="s">
        <v>636</v>
      </c>
      <c r="E29"/>
      <c r="F29" t="s">
        <v>21</v>
      </c>
      <c r="G29" t="s">
        <v>637</v>
      </c>
      <c r="H29" t="s">
        <v>583</v>
      </c>
      <c r="I29" t="s">
        <v>638</v>
      </c>
      <c r="J29" t="s">
        <v>607</v>
      </c>
      <c r="K29"/>
      <c r="L29"/>
      <c r="M29">
        <v>1</v>
      </c>
      <c r="N29"/>
      <c r="O29"/>
      <c r="P29"/>
      <c r="Q29" s="7"/>
      <c r="R29" s="27" t="str">
        <f t="shared" si="0"/>
        <v/>
      </c>
      <c r="S29" s="27" t="str">
        <f>IF(SUM(COUNTIFS('12_16_12_22'!E:E,'12_16_12_22 Acc Rate'!C29,'12_16_12_22'!O:O,"*M*"),COUNTIFS('12_16_12_22'!E:E,'12_16_12_22 Acc Rate'!C29,'12_16_12_22'!R:R,"*M*"))=0,"",SUM(COUNTIFS('12_16_12_22'!E:E,'12_16_12_22 Acc Rate'!C29,'12_16_12_22'!O:O,"*M*"),COUNTIFS('12_16_12_22'!E:E,'12_16_12_22 Acc Rate'!C29,'12_16_12_22'!R:R,"*M*")))</f>
        <v/>
      </c>
      <c r="T29" s="1" t="str">
        <f>IF(SUM(COUNTIFS('12_16_12_22'!E:E,'12_16_12_22 Acc Rate'!C29,'12_16_12_22'!P:P,"*E*"),COUNTIFS('12_16_12_22'!E:E,'12_16_12_22 Acc Rate'!C29,'12_16_12_22'!S:S,"*E*"))=0,"",SUM(COUNTIFS('12_16_12_22'!E:E,'12_16_12_22 Acc Rate'!C29,'12_16_12_22'!P:P,"*E*"),COUNTIFS('12_16_12_22'!E:E,'12_16_12_22 Acc Rate'!C29,'12_16_12_22'!S:S,"*E*")))</f>
        <v/>
      </c>
      <c r="U29" s="9" t="str">
        <f t="shared" si="1"/>
        <v/>
      </c>
    </row>
    <row r="30" spans="2:21" s="1" customFormat="1" ht="15" customHeight="1" x14ac:dyDescent="0.25">
      <c r="B30" s="1" t="s">
        <v>1630</v>
      </c>
      <c r="C30" s="1" t="s">
        <v>1631</v>
      </c>
      <c r="D30" s="1" t="s">
        <v>1122</v>
      </c>
      <c r="E30"/>
      <c r="F30" t="s">
        <v>21</v>
      </c>
      <c r="G30" t="s">
        <v>1632</v>
      </c>
      <c r="H30" t="s">
        <v>583</v>
      </c>
      <c r="I30" t="s">
        <v>1633</v>
      </c>
      <c r="J30" t="s">
        <v>1634</v>
      </c>
      <c r="K30" t="s">
        <v>638</v>
      </c>
      <c r="L30"/>
      <c r="M30">
        <v>15</v>
      </c>
      <c r="N30"/>
      <c r="O30"/>
      <c r="P30"/>
      <c r="Q30" s="7"/>
      <c r="R30" s="27" t="str">
        <f t="shared" si="0"/>
        <v/>
      </c>
      <c r="S30" s="27" t="str">
        <f>IF(SUM(COUNTIFS('12_16_12_22'!E:E,'12_16_12_22 Acc Rate'!C30,'12_16_12_22'!O:O,"*M*"),COUNTIFS('12_16_12_22'!E:E,'12_16_12_22 Acc Rate'!C30,'12_16_12_22'!R:R,"*M*"))=0,"",SUM(COUNTIFS('12_16_12_22'!E:E,'12_16_12_22 Acc Rate'!C30,'12_16_12_22'!O:O,"*M*"),COUNTIFS('12_16_12_22'!E:E,'12_16_12_22 Acc Rate'!C30,'12_16_12_22'!R:R,"*M*")))</f>
        <v/>
      </c>
      <c r="T30" s="1" t="str">
        <f>IF(SUM(COUNTIFS('12_16_12_22'!E:E,'12_16_12_22 Acc Rate'!C30,'12_16_12_22'!P:P,"*E*"),COUNTIFS('12_16_12_22'!E:E,'12_16_12_22 Acc Rate'!C30,'12_16_12_22'!S:S,"*E*"))=0,"",SUM(COUNTIFS('12_16_12_22'!E:E,'12_16_12_22 Acc Rate'!C30,'12_16_12_22'!P:P,"*E*"),COUNTIFS('12_16_12_22'!E:E,'12_16_12_22 Acc Rate'!C30,'12_16_12_22'!S:S,"*E*")))</f>
        <v/>
      </c>
      <c r="U30" s="9" t="str">
        <f t="shared" si="1"/>
        <v/>
      </c>
    </row>
    <row r="31" spans="2:21" s="1" customFormat="1" ht="15" customHeight="1" x14ac:dyDescent="0.25">
      <c r="B31" s="1" t="s">
        <v>639</v>
      </c>
      <c r="C31" s="1" t="s">
        <v>635</v>
      </c>
      <c r="D31" s="1" t="s">
        <v>640</v>
      </c>
      <c r="E31"/>
      <c r="F31" t="s">
        <v>641</v>
      </c>
      <c r="G31" t="s">
        <v>642</v>
      </c>
      <c r="H31" t="s">
        <v>583</v>
      </c>
      <c r="I31" t="s">
        <v>643</v>
      </c>
      <c r="J31" t="s">
        <v>607</v>
      </c>
      <c r="K31"/>
      <c r="L31"/>
      <c r="M31">
        <v>1</v>
      </c>
      <c r="N31"/>
      <c r="O31"/>
      <c r="P31"/>
      <c r="Q31" s="7"/>
      <c r="R31" s="27" t="str">
        <f t="shared" si="0"/>
        <v/>
      </c>
      <c r="S31" s="27" t="str">
        <f>IF(SUM(COUNTIFS('12_16_12_22'!E:E,'12_16_12_22 Acc Rate'!C31,'12_16_12_22'!O:O,"*M*"),COUNTIFS('12_16_12_22'!E:E,'12_16_12_22 Acc Rate'!C31,'12_16_12_22'!R:R,"*M*"))=0,"",SUM(COUNTIFS('12_16_12_22'!E:E,'12_16_12_22 Acc Rate'!C31,'12_16_12_22'!O:O,"*M*"),COUNTIFS('12_16_12_22'!E:E,'12_16_12_22 Acc Rate'!C31,'12_16_12_22'!R:R,"*M*")))</f>
        <v/>
      </c>
      <c r="T31" s="1" t="str">
        <f>IF(SUM(COUNTIFS('12_16_12_22'!E:E,'12_16_12_22 Acc Rate'!C31,'12_16_12_22'!P:P,"*E*"),COUNTIFS('12_16_12_22'!E:E,'12_16_12_22 Acc Rate'!C31,'12_16_12_22'!S:S,"*E*"))=0,"",SUM(COUNTIFS('12_16_12_22'!E:E,'12_16_12_22 Acc Rate'!C31,'12_16_12_22'!P:P,"*E*"),COUNTIFS('12_16_12_22'!E:E,'12_16_12_22 Acc Rate'!C31,'12_16_12_22'!S:S,"*E*")))</f>
        <v/>
      </c>
      <c r="U31" s="9" t="str">
        <f t="shared" si="1"/>
        <v/>
      </c>
    </row>
    <row r="32" spans="2:21" ht="15" customHeight="1" x14ac:dyDescent="0.25">
      <c r="B32" s="1" t="s">
        <v>644</v>
      </c>
      <c r="C32" s="1" t="s">
        <v>162</v>
      </c>
      <c r="D32" s="1" t="s">
        <v>163</v>
      </c>
      <c r="E32"/>
      <c r="F32" t="s">
        <v>645</v>
      </c>
      <c r="G32" t="s">
        <v>646</v>
      </c>
      <c r="H32" t="s">
        <v>583</v>
      </c>
      <c r="I32" t="s">
        <v>647</v>
      </c>
      <c r="J32" t="s">
        <v>648</v>
      </c>
      <c r="K32" t="s">
        <v>643</v>
      </c>
      <c r="L32"/>
      <c r="M32">
        <v>1</v>
      </c>
      <c r="N32"/>
      <c r="O32"/>
      <c r="P32"/>
      <c r="Q32" s="7"/>
      <c r="R32" s="27" t="str">
        <f t="shared" si="0"/>
        <v/>
      </c>
      <c r="S32" s="27" t="str">
        <f>IF(SUM(COUNTIFS('12_16_12_22'!E:E,'12_16_12_22 Acc Rate'!C32,'12_16_12_22'!O:O,"*M*"),COUNTIFS('12_16_12_22'!E:E,'12_16_12_22 Acc Rate'!C32,'12_16_12_22'!R:R,"*M*"))=0,"",SUM(COUNTIFS('12_16_12_22'!E:E,'12_16_12_22 Acc Rate'!C32,'12_16_12_22'!O:O,"*M*"),COUNTIFS('12_16_12_22'!E:E,'12_16_12_22 Acc Rate'!C32,'12_16_12_22'!R:R,"*M*")))</f>
        <v/>
      </c>
      <c r="T32" s="1" t="str">
        <f>IF(SUM(COUNTIFS('12_16_12_22'!E:E,'12_16_12_22 Acc Rate'!C32,'12_16_12_22'!P:P,"*E*"),COUNTIFS('12_16_12_22'!E:E,'12_16_12_22 Acc Rate'!C32,'12_16_12_22'!S:S,"*E*"))=0,"",SUM(COUNTIFS('12_16_12_22'!E:E,'12_16_12_22 Acc Rate'!C32,'12_16_12_22'!P:P,"*E*"),COUNTIFS('12_16_12_22'!E:E,'12_16_12_22 Acc Rate'!C32,'12_16_12_22'!S:S,"*E*")))</f>
        <v/>
      </c>
      <c r="U32" s="8" t="str">
        <f t="shared" si="1"/>
        <v/>
      </c>
    </row>
    <row r="33" spans="2:21" ht="15" customHeight="1" x14ac:dyDescent="0.25">
      <c r="B33" s="1" t="s">
        <v>649</v>
      </c>
      <c r="C33" s="1" t="s">
        <v>264</v>
      </c>
      <c r="D33" s="1" t="s">
        <v>650</v>
      </c>
      <c r="E33"/>
      <c r="F33" t="s">
        <v>651</v>
      </c>
      <c r="G33" t="s">
        <v>652</v>
      </c>
      <c r="H33" t="s">
        <v>583</v>
      </c>
      <c r="I33" t="s">
        <v>653</v>
      </c>
      <c r="J33" t="s">
        <v>648</v>
      </c>
      <c r="K33" t="s">
        <v>643</v>
      </c>
      <c r="L33"/>
      <c r="M33">
        <v>1</v>
      </c>
      <c r="N33"/>
      <c r="O33"/>
      <c r="P33"/>
      <c r="Q33" s="7"/>
      <c r="R33" s="27" t="str">
        <f t="shared" si="0"/>
        <v/>
      </c>
      <c r="S33" s="27" t="str">
        <f>IF(SUM(COUNTIFS('12_16_12_22'!E:E,'12_16_12_22 Acc Rate'!C33,'12_16_12_22'!O:O,"*M*"),COUNTIFS('12_16_12_22'!E:E,'12_16_12_22 Acc Rate'!C33,'12_16_12_22'!R:R,"*M*"))=0,"",SUM(COUNTIFS('12_16_12_22'!E:E,'12_16_12_22 Acc Rate'!C33,'12_16_12_22'!O:O,"*M*"),COUNTIFS('12_16_12_22'!E:E,'12_16_12_22 Acc Rate'!C33,'12_16_12_22'!R:R,"*M*")))</f>
        <v/>
      </c>
      <c r="T33" s="1" t="str">
        <f>IF(SUM(COUNTIFS('12_16_12_22'!E:E,'12_16_12_22 Acc Rate'!C33,'12_16_12_22'!P:P,"*E*"),COUNTIFS('12_16_12_22'!E:E,'12_16_12_22 Acc Rate'!C33,'12_16_12_22'!S:S,"*E*"))=0,"",SUM(COUNTIFS('12_16_12_22'!E:E,'12_16_12_22 Acc Rate'!C33,'12_16_12_22'!P:P,"*E*"),COUNTIFS('12_16_12_22'!E:E,'12_16_12_22 Acc Rate'!C33,'12_16_12_22'!S:S,"*E*")))</f>
        <v/>
      </c>
      <c r="U33" s="8" t="str">
        <f t="shared" si="1"/>
        <v/>
      </c>
    </row>
    <row r="34" spans="2:21" ht="15" customHeight="1" x14ac:dyDescent="0.25">
      <c r="B34" s="1" t="s">
        <v>654</v>
      </c>
      <c r="C34" s="1" t="s">
        <v>417</v>
      </c>
      <c r="D34" s="1" t="s">
        <v>418</v>
      </c>
      <c r="E34"/>
      <c r="F34" t="s">
        <v>655</v>
      </c>
      <c r="G34" t="s">
        <v>656</v>
      </c>
      <c r="H34" t="s">
        <v>583</v>
      </c>
      <c r="I34" t="s">
        <v>657</v>
      </c>
      <c r="J34" t="s">
        <v>648</v>
      </c>
      <c r="K34" t="s">
        <v>643</v>
      </c>
      <c r="L34"/>
      <c r="M34">
        <v>1</v>
      </c>
      <c r="N34"/>
      <c r="O34"/>
      <c r="P34"/>
      <c r="Q34" s="7"/>
      <c r="R34" s="27" t="str">
        <f t="shared" si="0"/>
        <v/>
      </c>
      <c r="S34" s="27" t="str">
        <f>IF(SUM(COUNTIFS('12_16_12_22'!E:E,'12_16_12_22 Acc Rate'!C34,'12_16_12_22'!O:O,"*M*"),COUNTIFS('12_16_12_22'!E:E,'12_16_12_22 Acc Rate'!C34,'12_16_12_22'!R:R,"*M*"))=0,"",SUM(COUNTIFS('12_16_12_22'!E:E,'12_16_12_22 Acc Rate'!C34,'12_16_12_22'!O:O,"*M*"),COUNTIFS('12_16_12_22'!E:E,'12_16_12_22 Acc Rate'!C34,'12_16_12_22'!R:R,"*M*")))</f>
        <v/>
      </c>
      <c r="T34" s="1" t="str">
        <f>IF(SUM(COUNTIFS('12_16_12_22'!E:E,'12_16_12_22 Acc Rate'!C34,'12_16_12_22'!P:P,"*E*"),COUNTIFS('12_16_12_22'!E:E,'12_16_12_22 Acc Rate'!C34,'12_16_12_22'!S:S,"*E*"))=0,"",SUM(COUNTIFS('12_16_12_22'!E:E,'12_16_12_22 Acc Rate'!C34,'12_16_12_22'!P:P,"*E*"),COUNTIFS('12_16_12_22'!E:E,'12_16_12_22 Acc Rate'!C34,'12_16_12_22'!S:S,"*E*")))</f>
        <v/>
      </c>
      <c r="U34" s="8" t="str">
        <f t="shared" si="1"/>
        <v/>
      </c>
    </row>
    <row r="35" spans="2:21" ht="15" customHeight="1" x14ac:dyDescent="0.25">
      <c r="B35" s="1" t="s">
        <v>1641</v>
      </c>
      <c r="C35" s="1" t="s">
        <v>345</v>
      </c>
      <c r="D35" s="1" t="s">
        <v>1642</v>
      </c>
      <c r="E35"/>
      <c r="F35" t="s">
        <v>1643</v>
      </c>
      <c r="G35" t="s">
        <v>1644</v>
      </c>
      <c r="H35" t="s">
        <v>583</v>
      </c>
      <c r="I35" t="s">
        <v>1645</v>
      </c>
      <c r="J35" t="s">
        <v>648</v>
      </c>
      <c r="K35" t="s">
        <v>643</v>
      </c>
      <c r="L35"/>
      <c r="M35">
        <v>15</v>
      </c>
      <c r="N35"/>
      <c r="O35"/>
      <c r="P35"/>
      <c r="Q35" s="7"/>
      <c r="R35" s="27" t="str">
        <f t="shared" si="0"/>
        <v/>
      </c>
      <c r="S35" s="27" t="str">
        <f>IF(SUM(COUNTIFS('12_16_12_22'!E:E,'12_16_12_22 Acc Rate'!C35,'12_16_12_22'!O:O,"*M*"),COUNTIFS('12_16_12_22'!E:E,'12_16_12_22 Acc Rate'!C35,'12_16_12_22'!R:R,"*M*"))=0,"",SUM(COUNTIFS('12_16_12_22'!E:E,'12_16_12_22 Acc Rate'!C35,'12_16_12_22'!O:O,"*M*"),COUNTIFS('12_16_12_22'!E:E,'12_16_12_22 Acc Rate'!C35,'12_16_12_22'!R:R,"*M*")))</f>
        <v/>
      </c>
      <c r="T35" s="1" t="str">
        <f>IF(SUM(COUNTIFS('12_16_12_22'!E:E,'12_16_12_22 Acc Rate'!C35,'12_16_12_22'!P:P,"*E*"),COUNTIFS('12_16_12_22'!E:E,'12_16_12_22 Acc Rate'!C35,'12_16_12_22'!S:S,"*E*"))=0,"",SUM(COUNTIFS('12_16_12_22'!E:E,'12_16_12_22 Acc Rate'!C35,'12_16_12_22'!P:P,"*E*"),COUNTIFS('12_16_12_22'!E:E,'12_16_12_22 Acc Rate'!C35,'12_16_12_22'!S:S,"*E*")))</f>
        <v/>
      </c>
      <c r="U35" s="8" t="str">
        <f t="shared" si="1"/>
        <v/>
      </c>
    </row>
    <row r="36" spans="2:21" ht="15" customHeight="1" x14ac:dyDescent="0.25">
      <c r="B36" s="1" t="s">
        <v>658</v>
      </c>
      <c r="C36" s="1" t="s">
        <v>659</v>
      </c>
      <c r="D36" s="1" t="s">
        <v>660</v>
      </c>
      <c r="E36"/>
      <c r="F36" t="s">
        <v>661</v>
      </c>
      <c r="G36" t="s">
        <v>662</v>
      </c>
      <c r="H36" t="s">
        <v>583</v>
      </c>
      <c r="I36" t="s">
        <v>663</v>
      </c>
      <c r="J36" t="s">
        <v>607</v>
      </c>
      <c r="K36"/>
      <c r="L36"/>
      <c r="M36">
        <v>1</v>
      </c>
      <c r="N36"/>
      <c r="O36"/>
      <c r="P36"/>
      <c r="Q36" s="7"/>
      <c r="R36" s="27" t="str">
        <f t="shared" si="0"/>
        <v/>
      </c>
      <c r="S36" s="27" t="str">
        <f>IF(SUM(COUNTIFS('12_16_12_22'!E:E,'12_16_12_22 Acc Rate'!C36,'12_16_12_22'!O:O,"*M*"),COUNTIFS('12_16_12_22'!E:E,'12_16_12_22 Acc Rate'!C36,'12_16_12_22'!R:R,"*M*"))=0,"",SUM(COUNTIFS('12_16_12_22'!E:E,'12_16_12_22 Acc Rate'!C36,'12_16_12_22'!O:O,"*M*"),COUNTIFS('12_16_12_22'!E:E,'12_16_12_22 Acc Rate'!C36,'12_16_12_22'!R:R,"*M*")))</f>
        <v/>
      </c>
      <c r="T36" s="1" t="str">
        <f>IF(SUM(COUNTIFS('12_16_12_22'!E:E,'12_16_12_22 Acc Rate'!C36,'12_16_12_22'!P:P,"*E*"),COUNTIFS('12_16_12_22'!E:E,'12_16_12_22 Acc Rate'!C36,'12_16_12_22'!S:S,"*E*"))=0,"",SUM(COUNTIFS('12_16_12_22'!E:E,'12_16_12_22 Acc Rate'!C36,'12_16_12_22'!P:P,"*E*"),COUNTIFS('12_16_12_22'!E:E,'12_16_12_22 Acc Rate'!C36,'12_16_12_22'!S:S,"*E*")))</f>
        <v/>
      </c>
      <c r="U36" s="8" t="str">
        <f t="shared" si="1"/>
        <v/>
      </c>
    </row>
    <row r="37" spans="2:21" ht="15" customHeight="1" x14ac:dyDescent="0.25">
      <c r="B37" s="1" t="s">
        <v>664</v>
      </c>
      <c r="C37" s="1" t="s">
        <v>155</v>
      </c>
      <c r="D37" s="1" t="s">
        <v>156</v>
      </c>
      <c r="E37"/>
      <c r="F37" t="s">
        <v>550</v>
      </c>
      <c r="G37" t="s">
        <v>665</v>
      </c>
      <c r="H37" t="s">
        <v>583</v>
      </c>
      <c r="I37" t="s">
        <v>666</v>
      </c>
      <c r="J37" t="s">
        <v>667</v>
      </c>
      <c r="K37" t="s">
        <v>663</v>
      </c>
      <c r="L37"/>
      <c r="M37">
        <v>1</v>
      </c>
      <c r="N37"/>
      <c r="O37"/>
      <c r="P37"/>
      <c r="Q37" s="7"/>
      <c r="R37" s="27" t="str">
        <f t="shared" si="0"/>
        <v/>
      </c>
      <c r="S37" s="27" t="str">
        <f>IF(SUM(COUNTIFS('12_16_12_22'!E:E,'12_16_12_22 Acc Rate'!C37,'12_16_12_22'!O:O,"*M*"),COUNTIFS('12_16_12_22'!E:E,'12_16_12_22 Acc Rate'!C37,'12_16_12_22'!R:R,"*M*"))=0,"",SUM(COUNTIFS('12_16_12_22'!E:E,'12_16_12_22 Acc Rate'!C37,'12_16_12_22'!O:O,"*M*"),COUNTIFS('12_16_12_22'!E:E,'12_16_12_22 Acc Rate'!C37,'12_16_12_22'!R:R,"*M*")))</f>
        <v/>
      </c>
      <c r="T37" s="1" t="str">
        <f>IF(SUM(COUNTIFS('12_16_12_22'!E:E,'12_16_12_22 Acc Rate'!C37,'12_16_12_22'!P:P,"*E*"),COUNTIFS('12_16_12_22'!E:E,'12_16_12_22 Acc Rate'!C37,'12_16_12_22'!S:S,"*E*"))=0,"",SUM(COUNTIFS('12_16_12_22'!E:E,'12_16_12_22 Acc Rate'!C37,'12_16_12_22'!P:P,"*E*"),COUNTIFS('12_16_12_22'!E:E,'12_16_12_22 Acc Rate'!C37,'12_16_12_22'!S:S,"*E*")))</f>
        <v/>
      </c>
      <c r="U37" s="8" t="str">
        <f t="shared" si="1"/>
        <v/>
      </c>
    </row>
    <row r="38" spans="2:21" ht="15" customHeight="1" x14ac:dyDescent="0.25">
      <c r="B38" s="1" t="s">
        <v>668</v>
      </c>
      <c r="C38" s="1" t="s">
        <v>669</v>
      </c>
      <c r="D38" s="1" t="s">
        <v>670</v>
      </c>
      <c r="E38"/>
      <c r="F38" t="s">
        <v>671</v>
      </c>
      <c r="G38" t="s">
        <v>672</v>
      </c>
      <c r="H38" t="s">
        <v>583</v>
      </c>
      <c r="I38" t="s">
        <v>673</v>
      </c>
      <c r="J38" t="s">
        <v>667</v>
      </c>
      <c r="K38" t="s">
        <v>663</v>
      </c>
      <c r="L38"/>
      <c r="M38">
        <v>1</v>
      </c>
      <c r="N38"/>
      <c r="O38"/>
      <c r="P38"/>
      <c r="Q38" s="7"/>
      <c r="R38" s="27" t="str">
        <f t="shared" si="0"/>
        <v/>
      </c>
      <c r="S38" s="27" t="str">
        <f>IF(SUM(COUNTIFS('12_16_12_22'!E:E,'12_16_12_22 Acc Rate'!C38,'12_16_12_22'!O:O,"*M*"),COUNTIFS('12_16_12_22'!E:E,'12_16_12_22 Acc Rate'!C38,'12_16_12_22'!R:R,"*M*"))=0,"",SUM(COUNTIFS('12_16_12_22'!E:E,'12_16_12_22 Acc Rate'!C38,'12_16_12_22'!O:O,"*M*"),COUNTIFS('12_16_12_22'!E:E,'12_16_12_22 Acc Rate'!C38,'12_16_12_22'!R:R,"*M*")))</f>
        <v/>
      </c>
      <c r="T38" s="1" t="str">
        <f>IF(SUM(COUNTIFS('12_16_12_22'!E:E,'12_16_12_22 Acc Rate'!C38,'12_16_12_22'!P:P,"*E*"),COUNTIFS('12_16_12_22'!E:E,'12_16_12_22 Acc Rate'!C38,'12_16_12_22'!S:S,"*E*"))=0,"",SUM(COUNTIFS('12_16_12_22'!E:E,'12_16_12_22 Acc Rate'!C38,'12_16_12_22'!P:P,"*E*"),COUNTIFS('12_16_12_22'!E:E,'12_16_12_22 Acc Rate'!C38,'12_16_12_22'!S:S,"*E*")))</f>
        <v/>
      </c>
      <c r="U38" s="8" t="str">
        <f t="shared" si="1"/>
        <v/>
      </c>
    </row>
    <row r="39" spans="2:21" ht="15" customHeight="1" x14ac:dyDescent="0.25">
      <c r="B39" s="1" t="s">
        <v>701</v>
      </c>
      <c r="C39" s="1" t="s">
        <v>696</v>
      </c>
      <c r="D39" s="1" t="s">
        <v>702</v>
      </c>
      <c r="E39"/>
      <c r="F39" t="s">
        <v>703</v>
      </c>
      <c r="G39" t="s">
        <v>704</v>
      </c>
      <c r="H39" t="s">
        <v>583</v>
      </c>
      <c r="I39" t="s">
        <v>705</v>
      </c>
      <c r="J39" t="s">
        <v>667</v>
      </c>
      <c r="K39" t="s">
        <v>663</v>
      </c>
      <c r="L39"/>
      <c r="M39">
        <v>1</v>
      </c>
      <c r="N39"/>
      <c r="O39"/>
      <c r="P39"/>
      <c r="Q39" s="7"/>
      <c r="R39" s="27" t="str">
        <f t="shared" si="0"/>
        <v/>
      </c>
      <c r="S39" s="27" t="str">
        <f>IF(SUM(COUNTIFS('12_16_12_22'!E:E,'12_16_12_22 Acc Rate'!C39,'12_16_12_22'!O:O,"*M*"),COUNTIFS('12_16_12_22'!E:E,'12_16_12_22 Acc Rate'!C39,'12_16_12_22'!R:R,"*M*"))=0,"",SUM(COUNTIFS('12_16_12_22'!E:E,'12_16_12_22 Acc Rate'!C39,'12_16_12_22'!O:O,"*M*"),COUNTIFS('12_16_12_22'!E:E,'12_16_12_22 Acc Rate'!C39,'12_16_12_22'!R:R,"*M*")))</f>
        <v/>
      </c>
      <c r="T39" s="1" t="str">
        <f>IF(SUM(COUNTIFS('12_16_12_22'!E:E,'12_16_12_22 Acc Rate'!C39,'12_16_12_22'!P:P,"*E*"),COUNTIFS('12_16_12_22'!E:E,'12_16_12_22 Acc Rate'!C39,'12_16_12_22'!S:S,"*E*"))=0,"",SUM(COUNTIFS('12_16_12_22'!E:E,'12_16_12_22 Acc Rate'!C39,'12_16_12_22'!P:P,"*E*"),COUNTIFS('12_16_12_22'!E:E,'12_16_12_22 Acc Rate'!C39,'12_16_12_22'!S:S,"*E*")))</f>
        <v/>
      </c>
      <c r="U39" s="8" t="str">
        <f t="shared" si="1"/>
        <v/>
      </c>
    </row>
    <row r="40" spans="2:21" ht="15" customHeight="1" x14ac:dyDescent="0.25">
      <c r="B40" s="1" t="s">
        <v>674</v>
      </c>
      <c r="C40" s="1" t="s">
        <v>411</v>
      </c>
      <c r="D40" s="1" t="s">
        <v>412</v>
      </c>
      <c r="E40"/>
      <c r="F40" t="s">
        <v>675</v>
      </c>
      <c r="G40" t="s">
        <v>676</v>
      </c>
      <c r="H40" t="s">
        <v>583</v>
      </c>
      <c r="I40" t="s">
        <v>677</v>
      </c>
      <c r="J40" t="s">
        <v>667</v>
      </c>
      <c r="K40" t="s">
        <v>663</v>
      </c>
      <c r="L40"/>
      <c r="M40">
        <v>1</v>
      </c>
      <c r="N40"/>
      <c r="O40"/>
      <c r="P40"/>
      <c r="Q40" s="7"/>
      <c r="R40" s="27" t="str">
        <f t="shared" si="0"/>
        <v/>
      </c>
      <c r="S40" s="27" t="str">
        <f>IF(SUM(COUNTIFS('12_16_12_22'!E:E,'12_16_12_22 Acc Rate'!C40,'12_16_12_22'!O:O,"*M*"),COUNTIFS('12_16_12_22'!E:E,'12_16_12_22 Acc Rate'!C40,'12_16_12_22'!R:R,"*M*"))=0,"",SUM(COUNTIFS('12_16_12_22'!E:E,'12_16_12_22 Acc Rate'!C40,'12_16_12_22'!O:O,"*M*"),COUNTIFS('12_16_12_22'!E:E,'12_16_12_22 Acc Rate'!C40,'12_16_12_22'!R:R,"*M*")))</f>
        <v/>
      </c>
      <c r="T40" s="1" t="str">
        <f>IF(SUM(COUNTIFS('12_16_12_22'!E:E,'12_16_12_22 Acc Rate'!C40,'12_16_12_22'!P:P,"*E*"),COUNTIFS('12_16_12_22'!E:E,'12_16_12_22 Acc Rate'!C40,'12_16_12_22'!S:S,"*E*"))=0,"",SUM(COUNTIFS('12_16_12_22'!E:E,'12_16_12_22 Acc Rate'!C40,'12_16_12_22'!P:P,"*E*"),COUNTIFS('12_16_12_22'!E:E,'12_16_12_22 Acc Rate'!C40,'12_16_12_22'!S:S,"*E*")))</f>
        <v/>
      </c>
      <c r="U40" s="8" t="str">
        <f t="shared" si="1"/>
        <v/>
      </c>
    </row>
    <row r="41" spans="2:21" ht="15" customHeight="1" x14ac:dyDescent="0.25">
      <c r="B41" s="1" t="s">
        <v>678</v>
      </c>
      <c r="C41" s="1" t="s">
        <v>679</v>
      </c>
      <c r="D41" s="1" t="s">
        <v>680</v>
      </c>
      <c r="E41"/>
      <c r="F41" t="s">
        <v>681</v>
      </c>
      <c r="G41" t="s">
        <v>682</v>
      </c>
      <c r="H41" t="s">
        <v>583</v>
      </c>
      <c r="I41" t="s">
        <v>683</v>
      </c>
      <c r="J41" t="s">
        <v>607</v>
      </c>
      <c r="K41"/>
      <c r="L41"/>
      <c r="M41">
        <v>1</v>
      </c>
      <c r="N41"/>
      <c r="O41"/>
      <c r="P41"/>
      <c r="Q41" s="7"/>
      <c r="R41" s="27" t="str">
        <f t="shared" si="0"/>
        <v/>
      </c>
      <c r="S41" s="27" t="str">
        <f>IF(SUM(COUNTIFS('12_16_12_22'!E:E,'12_16_12_22 Acc Rate'!C41,'12_16_12_22'!O:O,"*M*"),COUNTIFS('12_16_12_22'!E:E,'12_16_12_22 Acc Rate'!C41,'12_16_12_22'!R:R,"*M*"))=0,"",SUM(COUNTIFS('12_16_12_22'!E:E,'12_16_12_22 Acc Rate'!C41,'12_16_12_22'!O:O,"*M*"),COUNTIFS('12_16_12_22'!E:E,'12_16_12_22 Acc Rate'!C41,'12_16_12_22'!R:R,"*M*")))</f>
        <v/>
      </c>
      <c r="T41" s="1" t="str">
        <f>IF(SUM(COUNTIFS('12_16_12_22'!E:E,'12_16_12_22 Acc Rate'!C41,'12_16_12_22'!P:P,"*E*"),COUNTIFS('12_16_12_22'!E:E,'12_16_12_22 Acc Rate'!C41,'12_16_12_22'!S:S,"*E*"))=0,"",SUM(COUNTIFS('12_16_12_22'!E:E,'12_16_12_22 Acc Rate'!C41,'12_16_12_22'!P:P,"*E*"),COUNTIFS('12_16_12_22'!E:E,'12_16_12_22 Acc Rate'!C41,'12_16_12_22'!S:S,"*E*")))</f>
        <v/>
      </c>
      <c r="U41" s="8" t="str">
        <f t="shared" si="1"/>
        <v/>
      </c>
    </row>
    <row r="42" spans="2:21" ht="15" customHeight="1" x14ac:dyDescent="0.25">
      <c r="B42" s="1" t="s">
        <v>684</v>
      </c>
      <c r="C42" s="1" t="s">
        <v>84</v>
      </c>
      <c r="D42" s="1" t="s">
        <v>273</v>
      </c>
      <c r="E42"/>
      <c r="F42" t="s">
        <v>685</v>
      </c>
      <c r="G42" t="s">
        <v>686</v>
      </c>
      <c r="H42" t="s">
        <v>583</v>
      </c>
      <c r="I42" t="s">
        <v>687</v>
      </c>
      <c r="J42" t="s">
        <v>688</v>
      </c>
      <c r="K42" t="s">
        <v>683</v>
      </c>
      <c r="L42"/>
      <c r="M42">
        <v>1</v>
      </c>
      <c r="N42"/>
      <c r="O42"/>
      <c r="P42"/>
      <c r="Q42" s="7"/>
      <c r="R42" s="27" t="str">
        <f t="shared" si="0"/>
        <v/>
      </c>
      <c r="S42" s="27" t="str">
        <f>IF(SUM(COUNTIFS('12_16_12_22'!E:E,'12_16_12_22 Acc Rate'!C42,'12_16_12_22'!O:O,"*M*"),COUNTIFS('12_16_12_22'!E:E,'12_16_12_22 Acc Rate'!C42,'12_16_12_22'!R:R,"*M*"))=0,"",SUM(COUNTIFS('12_16_12_22'!E:E,'12_16_12_22 Acc Rate'!C42,'12_16_12_22'!O:O,"*M*"),COUNTIFS('12_16_12_22'!E:E,'12_16_12_22 Acc Rate'!C42,'12_16_12_22'!R:R,"*M*")))</f>
        <v/>
      </c>
      <c r="T42" s="1" t="str">
        <f>IF(SUM(COUNTIFS('12_16_12_22'!E:E,'12_16_12_22 Acc Rate'!C42,'12_16_12_22'!P:P,"*E*"),COUNTIFS('12_16_12_22'!E:E,'12_16_12_22 Acc Rate'!C42,'12_16_12_22'!S:S,"*E*"))=0,"",SUM(COUNTIFS('12_16_12_22'!E:E,'12_16_12_22 Acc Rate'!C42,'12_16_12_22'!P:P,"*E*"),COUNTIFS('12_16_12_22'!E:E,'12_16_12_22 Acc Rate'!C42,'12_16_12_22'!S:S,"*E*")))</f>
        <v/>
      </c>
      <c r="U42" s="8" t="str">
        <f t="shared" si="1"/>
        <v/>
      </c>
    </row>
    <row r="43" spans="2:21" ht="15" customHeight="1" x14ac:dyDescent="0.25">
      <c r="B43" s="1" t="s">
        <v>689</v>
      </c>
      <c r="C43" s="1" t="s">
        <v>690</v>
      </c>
      <c r="D43" s="1" t="s">
        <v>691</v>
      </c>
      <c r="E43"/>
      <c r="F43" t="s">
        <v>692</v>
      </c>
      <c r="G43" t="s">
        <v>693</v>
      </c>
      <c r="H43" t="s">
        <v>583</v>
      </c>
      <c r="I43" t="s">
        <v>694</v>
      </c>
      <c r="J43" t="s">
        <v>688</v>
      </c>
      <c r="K43" t="s">
        <v>683</v>
      </c>
      <c r="L43"/>
      <c r="M43">
        <v>1</v>
      </c>
      <c r="N43"/>
      <c r="O43"/>
      <c r="P43"/>
      <c r="Q43" s="7"/>
      <c r="R43" s="27" t="str">
        <f t="shared" si="0"/>
        <v/>
      </c>
      <c r="S43" s="27" t="str">
        <f>IF(SUM(COUNTIFS('12_16_12_22'!E:E,'12_16_12_22 Acc Rate'!C43,'12_16_12_22'!O:O,"*M*"),COUNTIFS('12_16_12_22'!E:E,'12_16_12_22 Acc Rate'!C43,'12_16_12_22'!R:R,"*M*"))=0,"",SUM(COUNTIFS('12_16_12_22'!E:E,'12_16_12_22 Acc Rate'!C43,'12_16_12_22'!O:O,"*M*"),COUNTIFS('12_16_12_22'!E:E,'12_16_12_22 Acc Rate'!C43,'12_16_12_22'!R:R,"*M*")))</f>
        <v/>
      </c>
      <c r="T43" s="1" t="str">
        <f>IF(SUM(COUNTIFS('12_16_12_22'!E:E,'12_16_12_22 Acc Rate'!C43,'12_16_12_22'!P:P,"*E*"),COUNTIFS('12_16_12_22'!E:E,'12_16_12_22 Acc Rate'!C43,'12_16_12_22'!S:S,"*E*"))=0,"",SUM(COUNTIFS('12_16_12_22'!E:E,'12_16_12_22 Acc Rate'!C43,'12_16_12_22'!P:P,"*E*"),COUNTIFS('12_16_12_22'!E:E,'12_16_12_22 Acc Rate'!C43,'12_16_12_22'!S:S,"*E*")))</f>
        <v/>
      </c>
      <c r="U43" s="8" t="str">
        <f t="shared" si="1"/>
        <v/>
      </c>
    </row>
    <row r="44" spans="2:21" ht="15" customHeight="1" x14ac:dyDescent="0.25">
      <c r="B44" s="1" t="s">
        <v>695</v>
      </c>
      <c r="C44" s="1" t="s">
        <v>696</v>
      </c>
      <c r="D44" s="1" t="s">
        <v>697</v>
      </c>
      <c r="E44"/>
      <c r="F44" t="s">
        <v>698</v>
      </c>
      <c r="G44" t="s">
        <v>699</v>
      </c>
      <c r="H44" t="s">
        <v>583</v>
      </c>
      <c r="I44" t="s">
        <v>700</v>
      </c>
      <c r="J44" t="s">
        <v>607</v>
      </c>
      <c r="K44"/>
      <c r="L44"/>
      <c r="M44">
        <v>1</v>
      </c>
      <c r="N44"/>
      <c r="O44"/>
      <c r="P44"/>
      <c r="Q44" s="7"/>
      <c r="R44" s="27" t="str">
        <f t="shared" si="0"/>
        <v/>
      </c>
      <c r="S44" s="27" t="str">
        <f>IF(SUM(COUNTIFS('12_16_12_22'!E:E,'12_16_12_22 Acc Rate'!C44,'12_16_12_22'!O:O,"*M*"),COUNTIFS('12_16_12_22'!E:E,'12_16_12_22 Acc Rate'!C44,'12_16_12_22'!R:R,"*M*"))=0,"",SUM(COUNTIFS('12_16_12_22'!E:E,'12_16_12_22 Acc Rate'!C44,'12_16_12_22'!O:O,"*M*"),COUNTIFS('12_16_12_22'!E:E,'12_16_12_22 Acc Rate'!C44,'12_16_12_22'!R:R,"*M*")))</f>
        <v/>
      </c>
      <c r="T44" s="1" t="str">
        <f>IF(SUM(COUNTIFS('12_16_12_22'!E:E,'12_16_12_22 Acc Rate'!C44,'12_16_12_22'!P:P,"*E*"),COUNTIFS('12_16_12_22'!E:E,'12_16_12_22 Acc Rate'!C44,'12_16_12_22'!S:S,"*E*"))=0,"",SUM(COUNTIFS('12_16_12_22'!E:E,'12_16_12_22 Acc Rate'!C44,'12_16_12_22'!P:P,"*E*"),COUNTIFS('12_16_12_22'!E:E,'12_16_12_22 Acc Rate'!C44,'12_16_12_22'!S:S,"*E*")))</f>
        <v/>
      </c>
      <c r="U44" s="8" t="str">
        <f t="shared" si="1"/>
        <v/>
      </c>
    </row>
    <row r="45" spans="2:21" ht="15" customHeight="1" x14ac:dyDescent="0.25">
      <c r="B45" s="1" t="s">
        <v>707</v>
      </c>
      <c r="C45" s="1" t="s">
        <v>708</v>
      </c>
      <c r="D45" s="1" t="s">
        <v>709</v>
      </c>
      <c r="E45"/>
      <c r="F45" t="s">
        <v>710</v>
      </c>
      <c r="G45" t="s">
        <v>711</v>
      </c>
      <c r="H45" t="s">
        <v>583</v>
      </c>
      <c r="I45" t="s">
        <v>712</v>
      </c>
      <c r="J45" t="s">
        <v>706</v>
      </c>
      <c r="K45" t="s">
        <v>700</v>
      </c>
      <c r="L45"/>
      <c r="M45">
        <v>1</v>
      </c>
      <c r="N45"/>
      <c r="O45"/>
      <c r="P45"/>
      <c r="Q45" s="7"/>
      <c r="R45" s="27" t="str">
        <f t="shared" si="0"/>
        <v/>
      </c>
      <c r="S45" s="27" t="str">
        <f>IF(SUM(COUNTIFS('12_16_12_22'!E:E,'12_16_12_22 Acc Rate'!C45,'12_16_12_22'!O:O,"*M*"),COUNTIFS('12_16_12_22'!E:E,'12_16_12_22 Acc Rate'!C45,'12_16_12_22'!R:R,"*M*"))=0,"",SUM(COUNTIFS('12_16_12_22'!E:E,'12_16_12_22 Acc Rate'!C45,'12_16_12_22'!O:O,"*M*"),COUNTIFS('12_16_12_22'!E:E,'12_16_12_22 Acc Rate'!C45,'12_16_12_22'!R:R,"*M*")))</f>
        <v/>
      </c>
      <c r="T45" s="1" t="str">
        <f>IF(SUM(COUNTIFS('12_16_12_22'!E:E,'12_16_12_22 Acc Rate'!C45,'12_16_12_22'!P:P,"*E*"),COUNTIFS('12_16_12_22'!E:E,'12_16_12_22 Acc Rate'!C45,'12_16_12_22'!S:S,"*E*"))=0,"",SUM(COUNTIFS('12_16_12_22'!E:E,'12_16_12_22 Acc Rate'!C45,'12_16_12_22'!P:P,"*E*"),COUNTIFS('12_16_12_22'!E:E,'12_16_12_22 Acc Rate'!C45,'12_16_12_22'!S:S,"*E*")))</f>
        <v/>
      </c>
      <c r="U45" s="8" t="str">
        <f t="shared" si="1"/>
        <v/>
      </c>
    </row>
    <row r="46" spans="2:21" ht="15" customHeight="1" x14ac:dyDescent="0.25">
      <c r="B46" s="1" t="s">
        <v>713</v>
      </c>
      <c r="C46" s="1" t="s">
        <v>714</v>
      </c>
      <c r="D46" s="1" t="s">
        <v>715</v>
      </c>
      <c r="E46"/>
      <c r="F46" t="s">
        <v>716</v>
      </c>
      <c r="G46" t="s">
        <v>717</v>
      </c>
      <c r="H46" t="s">
        <v>583</v>
      </c>
      <c r="I46" t="s">
        <v>718</v>
      </c>
      <c r="J46" t="s">
        <v>706</v>
      </c>
      <c r="K46" t="s">
        <v>700</v>
      </c>
      <c r="L46"/>
      <c r="M46">
        <v>1</v>
      </c>
      <c r="N46"/>
      <c r="O46"/>
      <c r="P46"/>
      <c r="Q46" s="7"/>
      <c r="R46" s="27" t="str">
        <f t="shared" si="0"/>
        <v/>
      </c>
      <c r="S46" s="27" t="str">
        <f>IF(SUM(COUNTIFS('12_16_12_22'!E:E,'12_16_12_22 Acc Rate'!C46,'12_16_12_22'!O:O,"*M*"),COUNTIFS('12_16_12_22'!E:E,'12_16_12_22 Acc Rate'!C46,'12_16_12_22'!R:R,"*M*"))=0,"",SUM(COUNTIFS('12_16_12_22'!E:E,'12_16_12_22 Acc Rate'!C46,'12_16_12_22'!O:O,"*M*"),COUNTIFS('12_16_12_22'!E:E,'12_16_12_22 Acc Rate'!C46,'12_16_12_22'!R:R,"*M*")))</f>
        <v/>
      </c>
      <c r="T46" s="1" t="str">
        <f>IF(SUM(COUNTIFS('12_16_12_22'!E:E,'12_16_12_22 Acc Rate'!C46,'12_16_12_22'!P:P,"*E*"),COUNTIFS('12_16_12_22'!E:E,'12_16_12_22 Acc Rate'!C46,'12_16_12_22'!S:S,"*E*"))=0,"",SUM(COUNTIFS('12_16_12_22'!E:E,'12_16_12_22 Acc Rate'!C46,'12_16_12_22'!P:P,"*E*"),COUNTIFS('12_16_12_22'!E:E,'12_16_12_22 Acc Rate'!C46,'12_16_12_22'!S:S,"*E*")))</f>
        <v/>
      </c>
      <c r="U46" s="8" t="str">
        <f t="shared" si="1"/>
        <v/>
      </c>
    </row>
    <row r="47" spans="2:21" ht="15" customHeight="1" x14ac:dyDescent="0.25">
      <c r="B47" s="1" t="s">
        <v>2034</v>
      </c>
      <c r="C47" s="1" t="s">
        <v>848</v>
      </c>
      <c r="D47" s="1" t="s">
        <v>2035</v>
      </c>
      <c r="E47"/>
      <c r="F47" t="s">
        <v>2036</v>
      </c>
      <c r="G47" t="s">
        <v>2037</v>
      </c>
      <c r="H47" t="s">
        <v>583</v>
      </c>
      <c r="I47" t="s">
        <v>2038</v>
      </c>
      <c r="J47" t="s">
        <v>706</v>
      </c>
      <c r="K47" t="s">
        <v>700</v>
      </c>
      <c r="L47"/>
      <c r="M47">
        <v>1</v>
      </c>
      <c r="N47"/>
      <c r="O47"/>
      <c r="P47"/>
      <c r="Q47" s="7"/>
      <c r="R47" s="27" t="str">
        <f t="shared" si="0"/>
        <v/>
      </c>
      <c r="S47" s="27" t="str">
        <f>IF(SUM(COUNTIFS('12_16_12_22'!E:E,'12_16_12_22 Acc Rate'!C47,'12_16_12_22'!O:O,"*M*"),COUNTIFS('12_16_12_22'!E:E,'12_16_12_22 Acc Rate'!C47,'12_16_12_22'!R:R,"*M*"))=0,"",SUM(COUNTIFS('12_16_12_22'!E:E,'12_16_12_22 Acc Rate'!C47,'12_16_12_22'!O:O,"*M*"),COUNTIFS('12_16_12_22'!E:E,'12_16_12_22 Acc Rate'!C47,'12_16_12_22'!R:R,"*M*")))</f>
        <v/>
      </c>
      <c r="T47" s="1" t="str">
        <f>IF(SUM(COUNTIFS('12_16_12_22'!E:E,'12_16_12_22 Acc Rate'!C47,'12_16_12_22'!P:P,"*E*"),COUNTIFS('12_16_12_22'!E:E,'12_16_12_22 Acc Rate'!C47,'12_16_12_22'!S:S,"*E*"))=0,"",SUM(COUNTIFS('12_16_12_22'!E:E,'12_16_12_22 Acc Rate'!C47,'12_16_12_22'!P:P,"*E*"),COUNTIFS('12_16_12_22'!E:E,'12_16_12_22 Acc Rate'!C47,'12_16_12_22'!S:S,"*E*")))</f>
        <v/>
      </c>
      <c r="U47" s="8" t="str">
        <f t="shared" si="1"/>
        <v/>
      </c>
    </row>
    <row r="48" spans="2:21" ht="15" customHeight="1" x14ac:dyDescent="0.25">
      <c r="B48" s="1" t="s">
        <v>719</v>
      </c>
      <c r="C48" s="1" t="s">
        <v>556</v>
      </c>
      <c r="D48" s="1" t="s">
        <v>720</v>
      </c>
      <c r="E48"/>
      <c r="F48" t="s">
        <v>721</v>
      </c>
      <c r="G48" t="s">
        <v>722</v>
      </c>
      <c r="H48" t="s">
        <v>583</v>
      </c>
      <c r="I48" t="s">
        <v>723</v>
      </c>
      <c r="J48" t="s">
        <v>706</v>
      </c>
      <c r="K48" t="s">
        <v>700</v>
      </c>
      <c r="L48"/>
      <c r="M48">
        <v>1</v>
      </c>
      <c r="N48"/>
      <c r="O48"/>
      <c r="P48"/>
      <c r="Q48" s="7"/>
      <c r="R48" s="27">
        <f t="shared" si="0"/>
        <v>-1</v>
      </c>
      <c r="S48" s="27">
        <f>IF(SUM(COUNTIFS('12_16_12_22'!E:E,'12_16_12_22 Acc Rate'!C48,'12_16_12_22'!O:O,"*M*"),COUNTIFS('12_16_12_22'!E:E,'12_16_12_22 Acc Rate'!C48,'12_16_12_22'!R:R,"*M*"))=0,"",SUM(COUNTIFS('12_16_12_22'!E:E,'12_16_12_22 Acc Rate'!C48,'12_16_12_22'!O:O,"*M*"),COUNTIFS('12_16_12_22'!E:E,'12_16_12_22 Acc Rate'!C48,'12_16_12_22'!R:R,"*M*")))</f>
        <v>1</v>
      </c>
      <c r="T48" s="1" t="str">
        <f>IF(SUM(COUNTIFS('12_16_12_22'!E:E,'12_16_12_22 Acc Rate'!C48,'12_16_12_22'!P:P,"*E*"),COUNTIFS('12_16_12_22'!E:E,'12_16_12_22 Acc Rate'!C48,'12_16_12_22'!S:S,"*E*"))=0,"",SUM(COUNTIFS('12_16_12_22'!E:E,'12_16_12_22 Acc Rate'!C48,'12_16_12_22'!P:P,"*E*"),COUNTIFS('12_16_12_22'!E:E,'12_16_12_22 Acc Rate'!C48,'12_16_12_22'!S:S,"*E*")))</f>
        <v/>
      </c>
      <c r="U48" s="8"/>
    </row>
    <row r="49" spans="5:21" ht="15" customHeight="1" x14ac:dyDescent="0.25">
      <c r="E49"/>
      <c r="F49"/>
      <c r="G49"/>
      <c r="H49"/>
      <c r="I49"/>
      <c r="J49"/>
      <c r="K49"/>
      <c r="L49"/>
      <c r="M49" t="s">
        <v>724</v>
      </c>
      <c r="N49"/>
      <c r="O49"/>
      <c r="P49"/>
      <c r="Q49" s="1">
        <f>SUM(Q3:Q47)</f>
        <v>0</v>
      </c>
      <c r="R49" s="27">
        <f>SUM(R3:R47)</f>
        <v>-7</v>
      </c>
      <c r="S49" s="27">
        <f>SUM(S3:S47)</f>
        <v>4</v>
      </c>
      <c r="T49" s="1">
        <f>SUM(T3:T47)</f>
        <v>3</v>
      </c>
      <c r="U49" s="2">
        <f>IFERROR(SUM(S48*8+T48*2)/Q48,0)</f>
        <v>0</v>
      </c>
    </row>
    <row r="50" spans="5:21" ht="15" customHeight="1" x14ac:dyDescent="0.25">
      <c r="E50"/>
      <c r="F50"/>
      <c r="G50"/>
      <c r="H50"/>
      <c r="I50"/>
      <c r="J50"/>
      <c r="K50"/>
      <c r="L50"/>
      <c r="M50"/>
      <c r="N50"/>
      <c r="O50"/>
      <c r="P50"/>
    </row>
  </sheetData>
  <mergeCells count="3">
    <mergeCell ref="W3:X3"/>
    <mergeCell ref="W7:X7"/>
    <mergeCell ref="W8:X8"/>
  </mergeCells>
  <conditionalFormatting sqref="B1:P1048576">
    <cfRule type="expression" dxfId="53" priority="6">
      <formula>$H1="Service Center"</formula>
    </cfRule>
    <cfRule type="expression" dxfId="52" priority="7">
      <formula>$H1="COBRA"</formula>
    </cfRule>
    <cfRule type="expression" dxfId="51" priority="8">
      <formula>$H1="Claims"</formula>
    </cfRule>
  </conditionalFormatting>
  <conditionalFormatting sqref="B1:U1048576">
    <cfRule type="expression" dxfId="50" priority="4">
      <formula>NOT(ISBLANK($B1))</formula>
    </cfRule>
    <cfRule type="expression" dxfId="49" priority="5">
      <formula>AND($H1="Service Center",$M1=15)</formula>
    </cfRule>
    <cfRule type="expression" dxfId="48" priority="9">
      <formula>$B1="Full Name"</formula>
    </cfRule>
    <cfRule type="expression" dxfId="47" priority="10">
      <formula>$M1="Totals"</formula>
    </cfRule>
  </conditionalFormatting>
  <conditionalFormatting sqref="Q2">
    <cfRule type="expression" dxfId="46" priority="1">
      <formula>$H2="Service Center"</formula>
    </cfRule>
    <cfRule type="expression" dxfId="45" priority="2">
      <formula>$H2="COBRA"</formula>
    </cfRule>
    <cfRule type="expression" dxfId="44" priority="3">
      <formula>$H2="Claims"</formula>
    </cfRule>
  </conditionalFormatting>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67F7C7-72B6-4253-836E-67D625D998B4}">
  <dimension ref="A1:U173"/>
  <sheetViews>
    <sheetView topLeftCell="A105" zoomScale="80" zoomScaleNormal="80" workbookViewId="0">
      <selection activeCell="N80" sqref="N80"/>
    </sheetView>
  </sheetViews>
  <sheetFormatPr defaultRowHeight="15" x14ac:dyDescent="0.25"/>
  <cols>
    <col min="1" max="1" width="8.7109375" customWidth="1"/>
    <col min="2" max="2" width="10.7109375" customWidth="1"/>
    <col min="3" max="3" width="8.7109375" customWidth="1"/>
    <col min="4" max="4" width="12.7109375" customWidth="1"/>
    <col min="5" max="6" width="15.7109375" customWidth="1"/>
    <col min="7" max="7" width="40.7109375" customWidth="1"/>
    <col min="8" max="9" width="15.7109375" customWidth="1"/>
    <col min="10" max="10" width="11.42578125" customWidth="1"/>
    <col min="11" max="12" width="10.7109375" customWidth="1"/>
    <col min="13" max="13" width="13.7109375" style="21" customWidth="1"/>
    <col min="14" max="14" width="12.7109375" customWidth="1"/>
    <col min="15" max="16" width="10.7109375" customWidth="1"/>
    <col min="17" max="17" width="30.7109375" customWidth="1"/>
    <col min="18" max="19" width="17.7109375" customWidth="1"/>
    <col min="20" max="20" width="30.7109375" customWidth="1"/>
    <col min="21" max="21" width="8.7109375" customWidth="1"/>
  </cols>
  <sheetData>
    <row r="1" spans="1:21" ht="38.25" x14ac:dyDescent="0.25">
      <c r="A1" s="42" t="s">
        <v>0</v>
      </c>
      <c r="B1" s="42" t="s">
        <v>1</v>
      </c>
      <c r="C1" s="42" t="s">
        <v>2</v>
      </c>
      <c r="D1" s="42" t="s">
        <v>3</v>
      </c>
      <c r="E1" s="42" t="s">
        <v>4</v>
      </c>
      <c r="F1" s="42" t="s">
        <v>5</v>
      </c>
      <c r="G1" s="42" t="s">
        <v>6</v>
      </c>
      <c r="H1" s="42" t="s">
        <v>7</v>
      </c>
      <c r="I1" s="42" t="s">
        <v>8</v>
      </c>
      <c r="J1" s="42" t="s">
        <v>9</v>
      </c>
      <c r="K1" s="42" t="s">
        <v>10</v>
      </c>
      <c r="L1" s="42" t="s">
        <v>11</v>
      </c>
      <c r="M1" s="43" t="s">
        <v>12</v>
      </c>
      <c r="N1" s="42" t="s">
        <v>13</v>
      </c>
      <c r="O1" s="42" t="s">
        <v>14</v>
      </c>
      <c r="P1" s="42" t="s">
        <v>15</v>
      </c>
      <c r="Q1" s="42" t="s">
        <v>16</v>
      </c>
      <c r="R1" s="42" t="s">
        <v>17</v>
      </c>
      <c r="S1" s="42" t="s">
        <v>18</v>
      </c>
      <c r="T1" s="42" t="s">
        <v>16</v>
      </c>
      <c r="U1" s="44" t="s">
        <v>19</v>
      </c>
    </row>
    <row r="2" spans="1:21" ht="90" x14ac:dyDescent="0.25">
      <c r="A2" s="45" t="s">
        <v>20</v>
      </c>
      <c r="B2" s="46">
        <v>45777</v>
      </c>
      <c r="C2" s="45" t="s">
        <v>244</v>
      </c>
      <c r="D2" s="47" t="s">
        <v>34</v>
      </c>
      <c r="E2" s="45" t="s">
        <v>22</v>
      </c>
      <c r="F2" s="45" t="s">
        <v>23</v>
      </c>
      <c r="G2" s="45" t="s">
        <v>164</v>
      </c>
      <c r="H2" s="45" t="s">
        <v>2912</v>
      </c>
      <c r="I2" s="45" t="s">
        <v>2913</v>
      </c>
      <c r="J2" s="45">
        <v>7648</v>
      </c>
      <c r="K2" s="45" t="s">
        <v>1075</v>
      </c>
      <c r="L2" s="48">
        <v>105.27</v>
      </c>
      <c r="M2" s="49">
        <v>202412231066</v>
      </c>
      <c r="N2" s="50"/>
      <c r="O2" s="50" t="s">
        <v>124</v>
      </c>
      <c r="P2" s="50"/>
      <c r="Q2" s="51" t="s">
        <v>2914</v>
      </c>
      <c r="R2" s="50"/>
      <c r="S2" s="50"/>
      <c r="T2" s="51"/>
      <c r="U2" s="50"/>
    </row>
    <row r="3" spans="1:21" ht="105" x14ac:dyDescent="0.25">
      <c r="A3" s="45" t="s">
        <v>20</v>
      </c>
      <c r="B3" s="46">
        <v>45777</v>
      </c>
      <c r="C3" s="45" t="s">
        <v>244</v>
      </c>
      <c r="D3" s="47" t="s">
        <v>34</v>
      </c>
      <c r="E3" s="45" t="s">
        <v>22</v>
      </c>
      <c r="F3" s="45" t="s">
        <v>23</v>
      </c>
      <c r="G3" s="45" t="s">
        <v>164</v>
      </c>
      <c r="H3" s="45" t="s">
        <v>2912</v>
      </c>
      <c r="I3" s="45" t="s">
        <v>2913</v>
      </c>
      <c r="J3" s="45">
        <v>7648</v>
      </c>
      <c r="K3" s="45" t="s">
        <v>990</v>
      </c>
      <c r="L3" s="48">
        <v>211.22</v>
      </c>
      <c r="M3" s="49">
        <v>202412231025</v>
      </c>
      <c r="N3" s="50" t="s">
        <v>28</v>
      </c>
      <c r="O3" s="50"/>
      <c r="P3" s="50"/>
      <c r="Q3" s="51" t="s">
        <v>2915</v>
      </c>
      <c r="R3" s="50"/>
      <c r="S3" s="50"/>
      <c r="T3" s="51"/>
      <c r="U3" s="50"/>
    </row>
    <row r="4" spans="1:21" ht="60" x14ac:dyDescent="0.25">
      <c r="A4" s="45" t="s">
        <v>20</v>
      </c>
      <c r="B4" s="46">
        <v>45777</v>
      </c>
      <c r="C4" s="45" t="s">
        <v>34</v>
      </c>
      <c r="D4" s="47"/>
      <c r="E4" s="45" t="s">
        <v>22</v>
      </c>
      <c r="F4" s="45" t="s">
        <v>23</v>
      </c>
      <c r="G4" s="45" t="s">
        <v>164</v>
      </c>
      <c r="H4" s="45" t="s">
        <v>2912</v>
      </c>
      <c r="I4" s="45" t="s">
        <v>2913</v>
      </c>
      <c r="J4" s="45">
        <v>7648</v>
      </c>
      <c r="K4" s="45" t="s">
        <v>241</v>
      </c>
      <c r="L4" s="48">
        <v>146.61000000000001</v>
      </c>
      <c r="M4" s="49">
        <v>20241223880</v>
      </c>
      <c r="N4" s="50" t="s">
        <v>28</v>
      </c>
      <c r="O4" s="50"/>
      <c r="P4" s="50"/>
      <c r="Q4" s="51" t="s">
        <v>2916</v>
      </c>
      <c r="R4" s="50"/>
      <c r="S4" s="50"/>
      <c r="T4" s="51"/>
      <c r="U4" s="50"/>
    </row>
    <row r="5" spans="1:21" x14ac:dyDescent="0.25">
      <c r="A5" s="45" t="s">
        <v>20</v>
      </c>
      <c r="B5" s="46">
        <v>45777</v>
      </c>
      <c r="C5" s="45" t="s">
        <v>34</v>
      </c>
      <c r="D5" s="47"/>
      <c r="E5" s="45" t="s">
        <v>22</v>
      </c>
      <c r="F5" s="45" t="s">
        <v>23</v>
      </c>
      <c r="G5" s="45" t="s">
        <v>164</v>
      </c>
      <c r="H5" s="45" t="s">
        <v>2917</v>
      </c>
      <c r="I5" s="45" t="s">
        <v>1218</v>
      </c>
      <c r="J5" s="45">
        <v>9439</v>
      </c>
      <c r="K5" s="45" t="s">
        <v>1460</v>
      </c>
      <c r="L5" s="48">
        <v>3500</v>
      </c>
      <c r="M5" s="49">
        <v>20241223901</v>
      </c>
      <c r="N5" s="50" t="s">
        <v>28</v>
      </c>
      <c r="O5" s="50"/>
      <c r="P5" s="50"/>
      <c r="Q5" s="51"/>
      <c r="R5" s="50"/>
      <c r="S5" s="50"/>
      <c r="T5" s="51"/>
      <c r="U5" s="50"/>
    </row>
    <row r="6" spans="1:21" x14ac:dyDescent="0.25">
      <c r="A6" s="45" t="s">
        <v>20</v>
      </c>
      <c r="B6" s="46">
        <v>45777</v>
      </c>
      <c r="C6" s="45" t="s">
        <v>34</v>
      </c>
      <c r="D6" s="47"/>
      <c r="E6" s="45" t="s">
        <v>22</v>
      </c>
      <c r="F6" s="45" t="s">
        <v>23</v>
      </c>
      <c r="G6" s="45" t="s">
        <v>164</v>
      </c>
      <c r="H6" s="45" t="s">
        <v>2918</v>
      </c>
      <c r="I6" s="45" t="s">
        <v>1949</v>
      </c>
      <c r="J6" s="45">
        <v>51968</v>
      </c>
      <c r="K6" s="45" t="s">
        <v>2125</v>
      </c>
      <c r="L6" s="48">
        <v>150</v>
      </c>
      <c r="M6" s="49">
        <v>20241210854</v>
      </c>
      <c r="N6" s="50" t="s">
        <v>28</v>
      </c>
      <c r="O6" s="50"/>
      <c r="P6" s="50"/>
      <c r="Q6" s="51"/>
      <c r="R6" s="50"/>
      <c r="S6" s="50"/>
      <c r="T6" s="51"/>
      <c r="U6" s="50"/>
    </row>
    <row r="7" spans="1:21" ht="60" x14ac:dyDescent="0.25">
      <c r="A7" s="45" t="s">
        <v>20</v>
      </c>
      <c r="B7" s="46">
        <v>45777</v>
      </c>
      <c r="C7" s="45" t="s">
        <v>34</v>
      </c>
      <c r="D7" s="47"/>
      <c r="E7" s="45" t="s">
        <v>22</v>
      </c>
      <c r="F7" s="45" t="s">
        <v>23</v>
      </c>
      <c r="G7" s="45" t="s">
        <v>164</v>
      </c>
      <c r="H7" s="45" t="s">
        <v>2919</v>
      </c>
      <c r="I7" s="45" t="s">
        <v>2920</v>
      </c>
      <c r="J7" s="45">
        <v>56541</v>
      </c>
      <c r="K7" s="45" t="s">
        <v>2816</v>
      </c>
      <c r="L7" s="48">
        <v>438</v>
      </c>
      <c r="M7" s="49">
        <v>20241223975</v>
      </c>
      <c r="N7" s="50"/>
      <c r="O7" s="50"/>
      <c r="P7" s="50" t="s">
        <v>304</v>
      </c>
      <c r="Q7" s="51" t="s">
        <v>2921</v>
      </c>
      <c r="R7" s="50"/>
      <c r="S7" s="50"/>
      <c r="T7" s="51"/>
      <c r="U7" s="50"/>
    </row>
    <row r="8" spans="1:21" x14ac:dyDescent="0.25">
      <c r="A8" s="45" t="s">
        <v>20</v>
      </c>
      <c r="B8" s="46">
        <v>45778</v>
      </c>
      <c r="C8" s="45" t="s">
        <v>34</v>
      </c>
      <c r="D8" s="47" t="s">
        <v>352</v>
      </c>
      <c r="E8" s="45" t="s">
        <v>22</v>
      </c>
      <c r="F8" s="45" t="s">
        <v>23</v>
      </c>
      <c r="G8" s="45" t="s">
        <v>164</v>
      </c>
      <c r="H8" s="45" t="s">
        <v>2919</v>
      </c>
      <c r="I8" s="45" t="s">
        <v>2920</v>
      </c>
      <c r="J8" s="45">
        <v>56541</v>
      </c>
      <c r="K8" s="45" t="s">
        <v>2816</v>
      </c>
      <c r="L8" s="48">
        <v>438</v>
      </c>
      <c r="M8" s="49">
        <v>20241223975</v>
      </c>
      <c r="N8" s="50" t="s">
        <v>28</v>
      </c>
      <c r="O8" s="50"/>
      <c r="P8" s="50"/>
      <c r="Q8" s="51"/>
      <c r="R8" s="50"/>
      <c r="S8" s="50"/>
      <c r="T8" s="51"/>
      <c r="U8" s="50"/>
    </row>
    <row r="9" spans="1:21" x14ac:dyDescent="0.25">
      <c r="A9" s="45" t="s">
        <v>29</v>
      </c>
      <c r="B9" s="46">
        <v>45778</v>
      </c>
      <c r="C9" s="45" t="s">
        <v>34</v>
      </c>
      <c r="D9" s="47" t="s">
        <v>352</v>
      </c>
      <c r="E9" s="45" t="s">
        <v>22</v>
      </c>
      <c r="F9" s="45" t="s">
        <v>23</v>
      </c>
      <c r="G9" s="45" t="s">
        <v>164</v>
      </c>
      <c r="H9" s="45" t="s">
        <v>2922</v>
      </c>
      <c r="I9" s="45" t="s">
        <v>2923</v>
      </c>
      <c r="J9" s="45">
        <v>61379</v>
      </c>
      <c r="K9" s="45" t="s">
        <v>237</v>
      </c>
      <c r="L9" s="48">
        <v>879.52</v>
      </c>
      <c r="M9" s="49">
        <v>202412231156</v>
      </c>
      <c r="N9" s="72" t="s">
        <v>2924</v>
      </c>
      <c r="O9" s="50"/>
      <c r="P9" s="50"/>
      <c r="Q9" s="51"/>
      <c r="R9" s="50"/>
      <c r="S9" s="50"/>
      <c r="T9" s="51"/>
      <c r="U9" s="50"/>
    </row>
    <row r="10" spans="1:21" x14ac:dyDescent="0.25">
      <c r="A10" s="45" t="s">
        <v>29</v>
      </c>
      <c r="B10" s="46">
        <v>45778</v>
      </c>
      <c r="C10" s="45" t="s">
        <v>34</v>
      </c>
      <c r="D10" s="47" t="s">
        <v>352</v>
      </c>
      <c r="E10" s="45" t="s">
        <v>22</v>
      </c>
      <c r="F10" s="45" t="s">
        <v>23</v>
      </c>
      <c r="G10" s="45" t="s">
        <v>164</v>
      </c>
      <c r="H10" s="45" t="s">
        <v>1799</v>
      </c>
      <c r="I10" s="45" t="s">
        <v>2925</v>
      </c>
      <c r="J10" s="45">
        <v>61735</v>
      </c>
      <c r="K10" s="45" t="s">
        <v>1358</v>
      </c>
      <c r="L10" s="48">
        <v>170</v>
      </c>
      <c r="M10" s="49">
        <v>20241223979</v>
      </c>
      <c r="N10" s="50" t="s">
        <v>28</v>
      </c>
      <c r="O10" s="50"/>
      <c r="P10" s="50"/>
      <c r="Q10" s="51"/>
      <c r="R10" s="50"/>
      <c r="S10" s="50"/>
      <c r="T10" s="51"/>
      <c r="U10" s="50"/>
    </row>
    <row r="11" spans="1:21" x14ac:dyDescent="0.25">
      <c r="A11" s="45" t="s">
        <v>29</v>
      </c>
      <c r="B11" s="46">
        <v>45778</v>
      </c>
      <c r="C11" s="45" t="s">
        <v>34</v>
      </c>
      <c r="D11" s="47" t="s">
        <v>352</v>
      </c>
      <c r="E11" s="45" t="s">
        <v>22</v>
      </c>
      <c r="F11" s="45" t="s">
        <v>23</v>
      </c>
      <c r="G11" s="45" t="s">
        <v>164</v>
      </c>
      <c r="H11" s="45" t="s">
        <v>2680</v>
      </c>
      <c r="I11" s="45" t="s">
        <v>2926</v>
      </c>
      <c r="J11" s="45">
        <v>63540</v>
      </c>
      <c r="K11" s="45" t="s">
        <v>978</v>
      </c>
      <c r="L11" s="48">
        <v>78.66</v>
      </c>
      <c r="M11" s="49">
        <v>20241223869</v>
      </c>
      <c r="N11" s="50" t="s">
        <v>28</v>
      </c>
      <c r="O11" s="50"/>
      <c r="P11" s="50"/>
      <c r="Q11" s="51"/>
      <c r="R11" s="50"/>
      <c r="S11" s="50"/>
      <c r="T11" s="51"/>
      <c r="U11" s="50"/>
    </row>
    <row r="12" spans="1:21" x14ac:dyDescent="0.25">
      <c r="A12" s="45" t="s">
        <v>20</v>
      </c>
      <c r="B12" s="46">
        <v>45778</v>
      </c>
      <c r="C12" s="45" t="s">
        <v>34</v>
      </c>
      <c r="D12" s="47" t="s">
        <v>352</v>
      </c>
      <c r="E12" s="45" t="s">
        <v>22</v>
      </c>
      <c r="F12" s="45" t="s">
        <v>23</v>
      </c>
      <c r="G12" s="45" t="s">
        <v>164</v>
      </c>
      <c r="H12" s="45" t="s">
        <v>2927</v>
      </c>
      <c r="I12" s="45" t="s">
        <v>2928</v>
      </c>
      <c r="J12" s="45">
        <v>73943</v>
      </c>
      <c r="K12" s="45" t="s">
        <v>1921</v>
      </c>
      <c r="L12" s="48">
        <v>64.599999999999994</v>
      </c>
      <c r="M12" s="49">
        <v>202412231041</v>
      </c>
      <c r="N12" s="50" t="s">
        <v>28</v>
      </c>
      <c r="O12" s="50"/>
      <c r="P12" s="50"/>
      <c r="Q12" s="51"/>
      <c r="R12" s="50"/>
      <c r="S12" s="50"/>
      <c r="T12" s="51"/>
      <c r="U12" s="50"/>
    </row>
    <row r="13" spans="1:21" x14ac:dyDescent="0.25">
      <c r="A13" s="45" t="s">
        <v>20</v>
      </c>
      <c r="B13" s="46">
        <v>45778</v>
      </c>
      <c r="C13" s="45" t="s">
        <v>34</v>
      </c>
      <c r="D13" s="47" t="s">
        <v>352</v>
      </c>
      <c r="E13" s="45" t="s">
        <v>22</v>
      </c>
      <c r="F13" s="45" t="s">
        <v>23</v>
      </c>
      <c r="G13" s="45" t="s">
        <v>164</v>
      </c>
      <c r="H13" s="45" t="s">
        <v>2929</v>
      </c>
      <c r="I13" s="45" t="s">
        <v>2930</v>
      </c>
      <c r="J13" s="45">
        <v>77209</v>
      </c>
      <c r="K13" s="45" t="s">
        <v>2931</v>
      </c>
      <c r="L13" s="48">
        <v>16.149999999999999</v>
      </c>
      <c r="M13" s="49">
        <v>20241223794</v>
      </c>
      <c r="N13" s="50" t="s">
        <v>28</v>
      </c>
      <c r="O13" s="50"/>
      <c r="P13" s="50"/>
      <c r="Q13" s="51"/>
      <c r="R13" s="50"/>
      <c r="S13" s="50"/>
      <c r="T13" s="51"/>
      <c r="U13" s="50"/>
    </row>
    <row r="14" spans="1:21" x14ac:dyDescent="0.25">
      <c r="A14" s="45" t="s">
        <v>20</v>
      </c>
      <c r="B14" s="46">
        <v>45778</v>
      </c>
      <c r="C14" s="45" t="s">
        <v>34</v>
      </c>
      <c r="D14" s="47" t="s">
        <v>352</v>
      </c>
      <c r="E14" s="45" t="s">
        <v>22</v>
      </c>
      <c r="F14" s="45" t="s">
        <v>23</v>
      </c>
      <c r="G14" s="45" t="s">
        <v>210</v>
      </c>
      <c r="H14" s="45" t="s">
        <v>319</v>
      </c>
      <c r="I14" s="45" t="s">
        <v>320</v>
      </c>
      <c r="J14" s="45">
        <v>23441226</v>
      </c>
      <c r="K14" s="45" t="s">
        <v>1889</v>
      </c>
      <c r="L14" s="48">
        <v>31.53</v>
      </c>
      <c r="M14" s="49">
        <v>20241227797</v>
      </c>
      <c r="N14" s="50" t="s">
        <v>28</v>
      </c>
      <c r="O14" s="50"/>
      <c r="P14" s="50"/>
      <c r="Q14" s="51"/>
      <c r="R14" s="50"/>
      <c r="S14" s="50"/>
      <c r="T14" s="51"/>
      <c r="U14" s="50"/>
    </row>
    <row r="15" spans="1:21" x14ac:dyDescent="0.25">
      <c r="A15" s="45" t="s">
        <v>20</v>
      </c>
      <c r="B15" s="46">
        <v>45778</v>
      </c>
      <c r="C15" s="45" t="s">
        <v>34</v>
      </c>
      <c r="D15" s="47" t="s">
        <v>352</v>
      </c>
      <c r="E15" s="45" t="s">
        <v>22</v>
      </c>
      <c r="F15" s="45" t="s">
        <v>23</v>
      </c>
      <c r="G15" s="45" t="s">
        <v>210</v>
      </c>
      <c r="H15" s="45" t="s">
        <v>319</v>
      </c>
      <c r="I15" s="45" t="s">
        <v>320</v>
      </c>
      <c r="J15" s="45">
        <v>23441226</v>
      </c>
      <c r="K15" s="45" t="s">
        <v>2447</v>
      </c>
      <c r="L15" s="48">
        <v>7.37</v>
      </c>
      <c r="M15" s="49">
        <v>20241227802</v>
      </c>
      <c r="N15" s="50" t="s">
        <v>28</v>
      </c>
      <c r="O15" s="50"/>
      <c r="P15" s="50"/>
      <c r="Q15" s="51"/>
      <c r="R15" s="50"/>
      <c r="S15" s="50"/>
      <c r="T15" s="51"/>
      <c r="U15" s="50"/>
    </row>
    <row r="16" spans="1:21" x14ac:dyDescent="0.25">
      <c r="A16" s="45" t="s">
        <v>20</v>
      </c>
      <c r="B16" s="46">
        <v>45778</v>
      </c>
      <c r="C16" s="45" t="s">
        <v>34</v>
      </c>
      <c r="D16" s="47" t="s">
        <v>352</v>
      </c>
      <c r="E16" s="45" t="s">
        <v>22</v>
      </c>
      <c r="F16" s="45" t="s">
        <v>23</v>
      </c>
      <c r="G16" s="45" t="s">
        <v>210</v>
      </c>
      <c r="H16" s="45" t="s">
        <v>319</v>
      </c>
      <c r="I16" s="45" t="s">
        <v>320</v>
      </c>
      <c r="J16" s="45">
        <v>23441226</v>
      </c>
      <c r="K16" s="45" t="s">
        <v>2561</v>
      </c>
      <c r="L16" s="48">
        <v>7.83</v>
      </c>
      <c r="M16" s="49">
        <v>20241227807</v>
      </c>
      <c r="N16" s="50" t="s">
        <v>28</v>
      </c>
      <c r="O16" s="50"/>
      <c r="P16" s="50"/>
      <c r="Q16" s="51"/>
      <c r="R16" s="50"/>
      <c r="S16" s="50"/>
      <c r="T16" s="51"/>
      <c r="U16" s="50"/>
    </row>
    <row r="17" spans="1:21" x14ac:dyDescent="0.25">
      <c r="A17" s="45" t="s">
        <v>20</v>
      </c>
      <c r="B17" s="46">
        <v>45776</v>
      </c>
      <c r="C17" s="45" t="s">
        <v>34</v>
      </c>
      <c r="D17" s="47" t="s">
        <v>168</v>
      </c>
      <c r="E17" s="45" t="s">
        <v>64</v>
      </c>
      <c r="F17" s="45" t="s">
        <v>65</v>
      </c>
      <c r="G17" s="45" t="s">
        <v>148</v>
      </c>
      <c r="H17" s="45" t="s">
        <v>2932</v>
      </c>
      <c r="I17" s="45" t="s">
        <v>1343</v>
      </c>
      <c r="J17" s="45">
        <v>576886856</v>
      </c>
      <c r="K17" s="45" t="s">
        <v>2125</v>
      </c>
      <c r="L17" s="48">
        <v>65.94</v>
      </c>
      <c r="M17" s="49">
        <v>20241122728</v>
      </c>
      <c r="N17" s="50" t="s">
        <v>28</v>
      </c>
      <c r="O17" s="50"/>
      <c r="P17" s="50"/>
      <c r="Q17" s="51"/>
      <c r="R17" s="50"/>
      <c r="S17" s="50"/>
      <c r="T17" s="51"/>
      <c r="U17" s="50"/>
    </row>
    <row r="18" spans="1:21" x14ac:dyDescent="0.25">
      <c r="A18" s="45" t="s">
        <v>20</v>
      </c>
      <c r="B18" s="46">
        <v>45776</v>
      </c>
      <c r="C18" s="45" t="s">
        <v>34</v>
      </c>
      <c r="D18" s="47" t="s">
        <v>168</v>
      </c>
      <c r="E18" s="45" t="s">
        <v>64</v>
      </c>
      <c r="F18" s="45" t="s">
        <v>65</v>
      </c>
      <c r="G18" s="45" t="s">
        <v>30</v>
      </c>
      <c r="H18" s="45" t="s">
        <v>2933</v>
      </c>
      <c r="I18" s="45" t="s">
        <v>2934</v>
      </c>
      <c r="J18" s="45">
        <v>576887519</v>
      </c>
      <c r="K18" s="45" t="s">
        <v>2044</v>
      </c>
      <c r="L18" s="48">
        <v>65</v>
      </c>
      <c r="M18" s="49">
        <v>202412231354</v>
      </c>
      <c r="N18" s="50" t="s">
        <v>28</v>
      </c>
      <c r="O18" s="50"/>
      <c r="P18" s="50"/>
      <c r="Q18" s="51"/>
      <c r="R18" s="50"/>
      <c r="S18" s="50"/>
      <c r="T18" s="51"/>
      <c r="U18" s="50"/>
    </row>
    <row r="19" spans="1:21" x14ac:dyDescent="0.25">
      <c r="A19" s="45" t="s">
        <v>20</v>
      </c>
      <c r="B19" s="46">
        <v>45776</v>
      </c>
      <c r="C19" s="45" t="s">
        <v>34</v>
      </c>
      <c r="D19" s="47" t="s">
        <v>168</v>
      </c>
      <c r="E19" s="45" t="s">
        <v>64</v>
      </c>
      <c r="F19" s="45" t="s">
        <v>65</v>
      </c>
      <c r="G19" s="45" t="s">
        <v>30</v>
      </c>
      <c r="H19" s="45" t="s">
        <v>2933</v>
      </c>
      <c r="I19" s="45" t="s">
        <v>2934</v>
      </c>
      <c r="J19" s="45">
        <v>576887519</v>
      </c>
      <c r="K19" s="45" t="s">
        <v>918</v>
      </c>
      <c r="L19" s="48">
        <v>5</v>
      </c>
      <c r="M19" s="49">
        <v>202412231349</v>
      </c>
      <c r="N19" s="50" t="s">
        <v>28</v>
      </c>
      <c r="O19" s="50"/>
      <c r="P19" s="50"/>
      <c r="Q19" s="51"/>
      <c r="R19" s="50"/>
      <c r="S19" s="50"/>
      <c r="T19" s="51"/>
      <c r="U19" s="50"/>
    </row>
    <row r="20" spans="1:21" x14ac:dyDescent="0.25">
      <c r="A20" s="45" t="s">
        <v>20</v>
      </c>
      <c r="B20" s="46">
        <v>45776</v>
      </c>
      <c r="C20" s="45" t="s">
        <v>34</v>
      </c>
      <c r="D20" s="47" t="s">
        <v>168</v>
      </c>
      <c r="E20" s="45" t="s">
        <v>64</v>
      </c>
      <c r="F20" s="45" t="s">
        <v>65</v>
      </c>
      <c r="G20" s="45" t="s">
        <v>30</v>
      </c>
      <c r="H20" s="45" t="s">
        <v>2933</v>
      </c>
      <c r="I20" s="45" t="s">
        <v>2934</v>
      </c>
      <c r="J20" s="45">
        <v>576887519</v>
      </c>
      <c r="K20" s="45" t="s">
        <v>1187</v>
      </c>
      <c r="L20" s="48">
        <v>65</v>
      </c>
      <c r="M20" s="49">
        <v>202412231350</v>
      </c>
      <c r="N20" s="50" t="s">
        <v>28</v>
      </c>
      <c r="O20" s="50"/>
      <c r="P20" s="50"/>
      <c r="Q20" s="51"/>
      <c r="R20" s="50"/>
      <c r="S20" s="50"/>
      <c r="T20" s="51"/>
      <c r="U20" s="50"/>
    </row>
    <row r="21" spans="1:21" x14ac:dyDescent="0.25">
      <c r="A21" s="45" t="s">
        <v>20</v>
      </c>
      <c r="B21" s="46">
        <v>45776</v>
      </c>
      <c r="C21" s="45" t="s">
        <v>34</v>
      </c>
      <c r="D21" s="47" t="s">
        <v>168</v>
      </c>
      <c r="E21" s="45" t="s">
        <v>64</v>
      </c>
      <c r="F21" s="45" t="s">
        <v>65</v>
      </c>
      <c r="G21" s="45" t="s">
        <v>30</v>
      </c>
      <c r="H21" s="45" t="s">
        <v>2933</v>
      </c>
      <c r="I21" s="45" t="s">
        <v>2934</v>
      </c>
      <c r="J21" s="45">
        <v>576887519</v>
      </c>
      <c r="K21" s="45" t="s">
        <v>2154</v>
      </c>
      <c r="L21" s="48">
        <v>115.17</v>
      </c>
      <c r="M21" s="49">
        <v>202412231355</v>
      </c>
      <c r="N21" s="50" t="s">
        <v>28</v>
      </c>
      <c r="O21" s="50"/>
      <c r="P21" s="50"/>
      <c r="Q21" s="51"/>
      <c r="R21" s="50"/>
      <c r="S21" s="50"/>
      <c r="T21" s="51"/>
      <c r="U21" s="50"/>
    </row>
    <row r="22" spans="1:21" x14ac:dyDescent="0.25">
      <c r="A22" s="45" t="s">
        <v>20</v>
      </c>
      <c r="B22" s="46">
        <v>45776</v>
      </c>
      <c r="C22" s="45" t="s">
        <v>34</v>
      </c>
      <c r="D22" s="47" t="s">
        <v>168</v>
      </c>
      <c r="E22" s="45" t="s">
        <v>64</v>
      </c>
      <c r="F22" s="45" t="s">
        <v>65</v>
      </c>
      <c r="G22" s="45" t="s">
        <v>30</v>
      </c>
      <c r="H22" s="45" t="s">
        <v>2933</v>
      </c>
      <c r="I22" s="45" t="s">
        <v>2934</v>
      </c>
      <c r="J22" s="45">
        <v>576887519</v>
      </c>
      <c r="K22" s="45" t="s">
        <v>765</v>
      </c>
      <c r="L22" s="48">
        <v>115.17</v>
      </c>
      <c r="M22" s="49">
        <v>202412231348</v>
      </c>
      <c r="N22" s="50" t="s">
        <v>28</v>
      </c>
      <c r="O22" s="50"/>
      <c r="P22" s="50"/>
      <c r="Q22" s="51"/>
      <c r="R22" s="50"/>
      <c r="S22" s="50"/>
      <c r="T22" s="51"/>
      <c r="U22" s="50"/>
    </row>
    <row r="23" spans="1:21" x14ac:dyDescent="0.25">
      <c r="A23" s="45" t="s">
        <v>20</v>
      </c>
      <c r="B23" s="46">
        <v>45776</v>
      </c>
      <c r="C23" s="45" t="s">
        <v>34</v>
      </c>
      <c r="D23" s="47" t="s">
        <v>168</v>
      </c>
      <c r="E23" s="45" t="s">
        <v>64</v>
      </c>
      <c r="F23" s="45" t="s">
        <v>65</v>
      </c>
      <c r="G23" s="45" t="s">
        <v>30</v>
      </c>
      <c r="H23" s="45" t="s">
        <v>2933</v>
      </c>
      <c r="I23" s="45" t="s">
        <v>2934</v>
      </c>
      <c r="J23" s="45">
        <v>576887519</v>
      </c>
      <c r="K23" s="45" t="s">
        <v>1826</v>
      </c>
      <c r="L23" s="48">
        <v>115.17</v>
      </c>
      <c r="M23" s="49">
        <v>202412231353</v>
      </c>
      <c r="N23" s="50" t="s">
        <v>28</v>
      </c>
      <c r="O23" s="50"/>
      <c r="P23" s="50"/>
      <c r="Q23" s="51"/>
      <c r="R23" s="50"/>
      <c r="S23" s="50"/>
      <c r="T23" s="51"/>
      <c r="U23" s="50"/>
    </row>
    <row r="24" spans="1:21" x14ac:dyDescent="0.25">
      <c r="A24" s="45" t="s">
        <v>20</v>
      </c>
      <c r="B24" s="46">
        <v>45776</v>
      </c>
      <c r="C24" s="45" t="s">
        <v>34</v>
      </c>
      <c r="D24" s="47" t="s">
        <v>168</v>
      </c>
      <c r="E24" s="45" t="s">
        <v>64</v>
      </c>
      <c r="F24" s="45" t="s">
        <v>65</v>
      </c>
      <c r="G24" s="45" t="s">
        <v>30</v>
      </c>
      <c r="H24" s="45" t="s">
        <v>2933</v>
      </c>
      <c r="I24" s="45" t="s">
        <v>2934</v>
      </c>
      <c r="J24" s="45">
        <v>576887519</v>
      </c>
      <c r="K24" s="45" t="s">
        <v>1889</v>
      </c>
      <c r="L24" s="48">
        <v>65</v>
      </c>
      <c r="M24" s="49">
        <v>202412231351</v>
      </c>
      <c r="N24" s="50" t="s">
        <v>28</v>
      </c>
      <c r="O24" s="50"/>
      <c r="P24" s="50"/>
      <c r="Q24" s="51"/>
      <c r="R24" s="50"/>
      <c r="S24" s="50"/>
      <c r="T24" s="51"/>
      <c r="U24" s="50"/>
    </row>
    <row r="25" spans="1:21" x14ac:dyDescent="0.25">
      <c r="A25" s="45" t="s">
        <v>20</v>
      </c>
      <c r="B25" s="46">
        <v>45776</v>
      </c>
      <c r="C25" s="45" t="s">
        <v>34</v>
      </c>
      <c r="D25" s="47" t="s">
        <v>168</v>
      </c>
      <c r="E25" s="45" t="s">
        <v>64</v>
      </c>
      <c r="F25" s="45" t="s">
        <v>65</v>
      </c>
      <c r="G25" s="45" t="s">
        <v>30</v>
      </c>
      <c r="H25" s="45" t="s">
        <v>2933</v>
      </c>
      <c r="I25" s="45" t="s">
        <v>2934</v>
      </c>
      <c r="J25" s="45">
        <v>576887519</v>
      </c>
      <c r="K25" s="45" t="s">
        <v>1826</v>
      </c>
      <c r="L25" s="48">
        <v>6.26</v>
      </c>
      <c r="M25" s="49">
        <v>202412231352</v>
      </c>
      <c r="N25" s="50" t="s">
        <v>28</v>
      </c>
      <c r="O25" s="50"/>
      <c r="P25" s="50"/>
      <c r="Q25" s="51"/>
      <c r="R25" s="50"/>
      <c r="S25" s="50"/>
      <c r="T25" s="51"/>
      <c r="U25" s="50"/>
    </row>
    <row r="26" spans="1:21" x14ac:dyDescent="0.25">
      <c r="A26" s="45" t="s">
        <v>20</v>
      </c>
      <c r="B26" s="46">
        <v>45776</v>
      </c>
      <c r="C26" s="45" t="s">
        <v>34</v>
      </c>
      <c r="D26" s="47" t="s">
        <v>168</v>
      </c>
      <c r="E26" s="45" t="s">
        <v>64</v>
      </c>
      <c r="F26" s="45" t="s">
        <v>65</v>
      </c>
      <c r="G26" s="45" t="s">
        <v>30</v>
      </c>
      <c r="H26" s="45" t="s">
        <v>2933</v>
      </c>
      <c r="I26" s="45" t="s">
        <v>2934</v>
      </c>
      <c r="J26" s="45">
        <v>576887519</v>
      </c>
      <c r="K26" s="45" t="s">
        <v>2154</v>
      </c>
      <c r="L26" s="48">
        <v>5</v>
      </c>
      <c r="M26" s="49">
        <v>202412231356</v>
      </c>
      <c r="N26" s="50" t="s">
        <v>28</v>
      </c>
      <c r="O26" s="50"/>
      <c r="P26" s="50"/>
      <c r="Q26" s="51"/>
      <c r="R26" s="50"/>
      <c r="S26" s="50"/>
      <c r="T26" s="51"/>
      <c r="U26" s="50"/>
    </row>
    <row r="27" spans="1:21" x14ac:dyDescent="0.25">
      <c r="A27" s="45" t="s">
        <v>20</v>
      </c>
      <c r="B27" s="46">
        <v>45776</v>
      </c>
      <c r="C27" s="45" t="s">
        <v>34</v>
      </c>
      <c r="D27" s="47" t="s">
        <v>168</v>
      </c>
      <c r="E27" s="45" t="s">
        <v>64</v>
      </c>
      <c r="F27" s="45" t="s">
        <v>65</v>
      </c>
      <c r="G27" s="45" t="s">
        <v>30</v>
      </c>
      <c r="H27" s="45" t="s">
        <v>2933</v>
      </c>
      <c r="I27" s="45" t="s">
        <v>2934</v>
      </c>
      <c r="J27" s="45">
        <v>576887519</v>
      </c>
      <c r="K27" s="45" t="s">
        <v>2372</v>
      </c>
      <c r="L27" s="48">
        <v>11.57</v>
      </c>
      <c r="M27" s="49">
        <v>202412231357</v>
      </c>
      <c r="N27" s="50" t="s">
        <v>28</v>
      </c>
      <c r="O27" s="50"/>
      <c r="P27" s="50"/>
      <c r="Q27" s="51"/>
      <c r="R27" s="50"/>
      <c r="S27" s="50"/>
      <c r="T27" s="51"/>
      <c r="U27" s="50"/>
    </row>
    <row r="28" spans="1:21" x14ac:dyDescent="0.25">
      <c r="A28" s="45" t="s">
        <v>20</v>
      </c>
      <c r="B28" s="80">
        <v>45777</v>
      </c>
      <c r="C28" s="45" t="s">
        <v>34</v>
      </c>
      <c r="D28" s="47" t="s">
        <v>168</v>
      </c>
      <c r="E28" s="45" t="s">
        <v>64</v>
      </c>
      <c r="F28" s="45" t="s">
        <v>65</v>
      </c>
      <c r="G28" s="45" t="s">
        <v>30</v>
      </c>
      <c r="H28" s="45" t="s">
        <v>2933</v>
      </c>
      <c r="I28" s="45" t="s">
        <v>2934</v>
      </c>
      <c r="J28" s="45">
        <v>576887519</v>
      </c>
      <c r="K28" s="45" t="s">
        <v>747</v>
      </c>
      <c r="L28" s="48">
        <v>7.72</v>
      </c>
      <c r="M28" s="49">
        <v>202412231345</v>
      </c>
      <c r="N28" s="50" t="s">
        <v>28</v>
      </c>
      <c r="O28" s="50"/>
      <c r="P28" s="50"/>
      <c r="Q28" s="51"/>
      <c r="R28" s="50"/>
      <c r="S28" s="50"/>
      <c r="T28" s="51"/>
      <c r="U28" s="50"/>
    </row>
    <row r="29" spans="1:21" x14ac:dyDescent="0.25">
      <c r="A29" s="45" t="s">
        <v>20</v>
      </c>
      <c r="B29" s="80">
        <v>45777</v>
      </c>
      <c r="C29" s="45" t="s">
        <v>34</v>
      </c>
      <c r="D29" s="47" t="s">
        <v>168</v>
      </c>
      <c r="E29" s="45" t="s">
        <v>64</v>
      </c>
      <c r="F29" s="45" t="s">
        <v>65</v>
      </c>
      <c r="G29" s="45" t="s">
        <v>30</v>
      </c>
      <c r="H29" s="45" t="s">
        <v>2933</v>
      </c>
      <c r="I29" s="45" t="s">
        <v>2934</v>
      </c>
      <c r="J29" s="45">
        <v>576887519</v>
      </c>
      <c r="K29" s="45" t="s">
        <v>747</v>
      </c>
      <c r="L29" s="48">
        <v>11.57</v>
      </c>
      <c r="M29" s="49">
        <v>202412231346</v>
      </c>
      <c r="N29" s="50" t="s">
        <v>28</v>
      </c>
      <c r="O29" s="50"/>
      <c r="P29" s="50"/>
      <c r="Q29" s="51"/>
      <c r="R29" s="50"/>
      <c r="S29" s="50"/>
      <c r="T29" s="51"/>
      <c r="U29" s="50"/>
    </row>
    <row r="30" spans="1:21" x14ac:dyDescent="0.25">
      <c r="A30" s="45" t="s">
        <v>20</v>
      </c>
      <c r="B30" s="80">
        <v>45777</v>
      </c>
      <c r="C30" s="45" t="s">
        <v>34</v>
      </c>
      <c r="D30" s="47" t="s">
        <v>168</v>
      </c>
      <c r="E30" s="45" t="s">
        <v>64</v>
      </c>
      <c r="F30" s="45" t="s">
        <v>65</v>
      </c>
      <c r="G30" s="45" t="s">
        <v>30</v>
      </c>
      <c r="H30" s="45" t="s">
        <v>2933</v>
      </c>
      <c r="I30" s="45" t="s">
        <v>2934</v>
      </c>
      <c r="J30" s="45">
        <v>576887519</v>
      </c>
      <c r="K30" s="45" t="s">
        <v>831</v>
      </c>
      <c r="L30" s="48">
        <v>15</v>
      </c>
      <c r="M30" s="49">
        <v>202412231347</v>
      </c>
      <c r="N30" s="50" t="s">
        <v>28</v>
      </c>
      <c r="O30" s="50"/>
      <c r="P30" s="50"/>
      <c r="Q30" s="51"/>
      <c r="R30" s="50"/>
      <c r="S30" s="50"/>
      <c r="T30" s="51"/>
      <c r="U30" s="50"/>
    </row>
    <row r="31" spans="1:21" x14ac:dyDescent="0.25">
      <c r="A31" s="45" t="s">
        <v>20</v>
      </c>
      <c r="B31" s="80">
        <v>45777</v>
      </c>
      <c r="C31" s="45" t="s">
        <v>34</v>
      </c>
      <c r="D31" s="47" t="s">
        <v>168</v>
      </c>
      <c r="E31" s="45" t="s">
        <v>64</v>
      </c>
      <c r="F31" s="45" t="s">
        <v>65</v>
      </c>
      <c r="G31" s="45" t="s">
        <v>2313</v>
      </c>
      <c r="H31" s="45" t="s">
        <v>2314</v>
      </c>
      <c r="I31" s="45" t="s">
        <v>1282</v>
      </c>
      <c r="J31" s="45">
        <v>585753792</v>
      </c>
      <c r="K31" s="45" t="s">
        <v>939</v>
      </c>
      <c r="L31" s="48">
        <v>138.01</v>
      </c>
      <c r="M31" s="49">
        <v>20241223965</v>
      </c>
      <c r="N31" s="50" t="s">
        <v>28</v>
      </c>
      <c r="O31" s="50"/>
      <c r="P31" s="50"/>
      <c r="Q31" s="51"/>
      <c r="R31" s="50"/>
      <c r="S31" s="50"/>
      <c r="T31" s="51"/>
      <c r="U31" s="50"/>
    </row>
    <row r="32" spans="1:21" x14ac:dyDescent="0.25">
      <c r="A32" s="45" t="s">
        <v>29</v>
      </c>
      <c r="B32" s="80">
        <v>45777</v>
      </c>
      <c r="C32" s="45" t="s">
        <v>34</v>
      </c>
      <c r="D32" s="47" t="s">
        <v>168</v>
      </c>
      <c r="E32" s="45" t="s">
        <v>107</v>
      </c>
      <c r="F32" s="45" t="s">
        <v>108</v>
      </c>
      <c r="G32" s="45" t="s">
        <v>2628</v>
      </c>
      <c r="H32" s="45" t="s">
        <v>2935</v>
      </c>
      <c r="I32" s="45" t="s">
        <v>2936</v>
      </c>
      <c r="J32" s="45">
        <v>607365308</v>
      </c>
      <c r="K32" s="45" t="s">
        <v>2937</v>
      </c>
      <c r="L32" s="48">
        <v>295</v>
      </c>
      <c r="M32" s="49">
        <v>20241227496</v>
      </c>
      <c r="N32" s="50" t="s">
        <v>28</v>
      </c>
      <c r="O32" s="50"/>
      <c r="P32" s="50"/>
      <c r="Q32" s="51"/>
      <c r="R32" s="50"/>
      <c r="S32" s="50"/>
      <c r="T32" s="51"/>
      <c r="U32" s="50"/>
    </row>
    <row r="33" spans="1:21" x14ac:dyDescent="0.25">
      <c r="A33" s="45" t="s">
        <v>20</v>
      </c>
      <c r="B33" s="80">
        <v>45777</v>
      </c>
      <c r="C33" s="45" t="s">
        <v>34</v>
      </c>
      <c r="D33" s="47" t="s">
        <v>168</v>
      </c>
      <c r="E33" s="45" t="s">
        <v>107</v>
      </c>
      <c r="F33" s="45" t="s">
        <v>108</v>
      </c>
      <c r="G33" s="45" t="s">
        <v>2938</v>
      </c>
      <c r="H33" s="45" t="s">
        <v>1044</v>
      </c>
      <c r="I33" s="45" t="s">
        <v>2939</v>
      </c>
      <c r="J33" s="45">
        <v>610269285</v>
      </c>
      <c r="K33" s="45" t="s">
        <v>895</v>
      </c>
      <c r="L33" s="48">
        <v>1904</v>
      </c>
      <c r="M33" s="49">
        <v>20241217613</v>
      </c>
      <c r="N33" s="50" t="s">
        <v>28</v>
      </c>
      <c r="O33" s="50"/>
      <c r="P33" s="50"/>
      <c r="Q33" s="51"/>
      <c r="R33" s="50"/>
      <c r="S33" s="50"/>
      <c r="T33" s="51"/>
      <c r="U33" s="50"/>
    </row>
    <row r="34" spans="1:21" ht="25.5" x14ac:dyDescent="0.25">
      <c r="A34" s="45" t="s">
        <v>29</v>
      </c>
      <c r="B34" s="80">
        <v>45777</v>
      </c>
      <c r="C34" s="45" t="s">
        <v>34</v>
      </c>
      <c r="D34" s="47" t="s">
        <v>168</v>
      </c>
      <c r="E34" s="45" t="s">
        <v>107</v>
      </c>
      <c r="F34" s="45" t="s">
        <v>108</v>
      </c>
      <c r="G34" s="45" t="s">
        <v>1646</v>
      </c>
      <c r="H34" s="45" t="s">
        <v>2940</v>
      </c>
      <c r="I34" s="45" t="s">
        <v>2941</v>
      </c>
      <c r="J34" s="45">
        <v>610322410</v>
      </c>
      <c r="K34" s="45" t="s">
        <v>1702</v>
      </c>
      <c r="L34" s="48">
        <v>192.31</v>
      </c>
      <c r="M34" s="49">
        <v>202412231109</v>
      </c>
      <c r="N34" s="50" t="s">
        <v>28</v>
      </c>
      <c r="O34" s="50"/>
      <c r="P34" s="50"/>
      <c r="Q34" s="51"/>
      <c r="R34" s="50"/>
      <c r="S34" s="50"/>
      <c r="T34" s="51"/>
      <c r="U34" s="50"/>
    </row>
    <row r="35" spans="1:21" ht="25.5" x14ac:dyDescent="0.25">
      <c r="A35" s="45" t="s">
        <v>20</v>
      </c>
      <c r="B35" s="80">
        <v>45777</v>
      </c>
      <c r="C35" s="45" t="s">
        <v>34</v>
      </c>
      <c r="D35" s="47" t="s">
        <v>168</v>
      </c>
      <c r="E35" s="45" t="s">
        <v>107</v>
      </c>
      <c r="F35" s="45" t="s">
        <v>108</v>
      </c>
      <c r="G35" s="45" t="s">
        <v>1646</v>
      </c>
      <c r="H35" s="45" t="s">
        <v>2940</v>
      </c>
      <c r="I35" s="45" t="s">
        <v>2941</v>
      </c>
      <c r="J35" s="45">
        <v>610322410</v>
      </c>
      <c r="K35" s="45" t="s">
        <v>1907</v>
      </c>
      <c r="L35" s="48">
        <v>108.52</v>
      </c>
      <c r="M35" s="49">
        <v>202412231107</v>
      </c>
      <c r="N35" s="50" t="s">
        <v>28</v>
      </c>
      <c r="O35" s="50"/>
      <c r="P35" s="50"/>
      <c r="Q35" s="51"/>
      <c r="R35" s="50"/>
      <c r="S35" s="50"/>
      <c r="T35" s="51"/>
      <c r="U35" s="50"/>
    </row>
    <row r="36" spans="1:21" x14ac:dyDescent="0.25">
      <c r="A36" s="45" t="s">
        <v>20</v>
      </c>
      <c r="B36" s="46">
        <v>45771</v>
      </c>
      <c r="C36" s="45" t="s">
        <v>168</v>
      </c>
      <c r="D36" s="47"/>
      <c r="E36" s="45" t="s">
        <v>107</v>
      </c>
      <c r="F36" s="45" t="s">
        <v>108</v>
      </c>
      <c r="G36" s="45" t="s">
        <v>2942</v>
      </c>
      <c r="H36" s="45" t="s">
        <v>2943</v>
      </c>
      <c r="I36" s="45" t="s">
        <v>2944</v>
      </c>
      <c r="J36" s="45">
        <v>610588243</v>
      </c>
      <c r="K36" s="45" t="s">
        <v>2945</v>
      </c>
      <c r="L36" s="48">
        <v>291</v>
      </c>
      <c r="M36" s="49">
        <v>20241223482</v>
      </c>
      <c r="N36" s="50" t="s">
        <v>28</v>
      </c>
      <c r="O36" s="50"/>
      <c r="P36" s="50"/>
      <c r="Q36" s="51"/>
      <c r="R36" s="50"/>
      <c r="S36" s="50"/>
      <c r="T36" s="51"/>
      <c r="U36" s="50"/>
    </row>
    <row r="37" spans="1:21" x14ac:dyDescent="0.25">
      <c r="A37" s="45" t="s">
        <v>20</v>
      </c>
      <c r="B37" s="46">
        <v>45771</v>
      </c>
      <c r="C37" s="45" t="s">
        <v>168</v>
      </c>
      <c r="D37" s="47"/>
      <c r="E37" s="45" t="s">
        <v>107</v>
      </c>
      <c r="F37" s="45" t="s">
        <v>108</v>
      </c>
      <c r="G37" s="45" t="s">
        <v>263</v>
      </c>
      <c r="H37" s="45" t="s">
        <v>182</v>
      </c>
      <c r="I37" s="45" t="s">
        <v>2669</v>
      </c>
      <c r="J37" s="45">
        <v>611147858</v>
      </c>
      <c r="K37" s="45" t="s">
        <v>2767</v>
      </c>
      <c r="L37" s="48">
        <v>18.489999999999998</v>
      </c>
      <c r="M37" s="49">
        <v>20241224616</v>
      </c>
      <c r="N37" s="50" t="s">
        <v>28</v>
      </c>
      <c r="O37" s="50"/>
      <c r="P37" s="50"/>
      <c r="Q37" s="51"/>
      <c r="R37" s="50"/>
      <c r="S37" s="50"/>
      <c r="T37" s="51"/>
      <c r="U37" s="50"/>
    </row>
    <row r="38" spans="1:21" x14ac:dyDescent="0.25">
      <c r="A38" s="45" t="s">
        <v>20</v>
      </c>
      <c r="B38" s="46">
        <v>45771</v>
      </c>
      <c r="C38" s="45" t="s">
        <v>168</v>
      </c>
      <c r="D38" s="47"/>
      <c r="E38" s="45" t="s">
        <v>107</v>
      </c>
      <c r="F38" s="45" t="s">
        <v>108</v>
      </c>
      <c r="G38" s="45" t="s">
        <v>263</v>
      </c>
      <c r="H38" s="45" t="s">
        <v>182</v>
      </c>
      <c r="I38" s="45" t="s">
        <v>2669</v>
      </c>
      <c r="J38" s="45">
        <v>611147858</v>
      </c>
      <c r="K38" s="45" t="s">
        <v>2946</v>
      </c>
      <c r="L38" s="48">
        <v>170.3</v>
      </c>
      <c r="M38" s="49">
        <v>20241226312</v>
      </c>
      <c r="N38" s="50" t="s">
        <v>28</v>
      </c>
      <c r="O38" s="50"/>
      <c r="P38" s="50"/>
      <c r="Q38" s="51"/>
      <c r="R38" s="50"/>
      <c r="S38" s="50"/>
      <c r="T38" s="51"/>
      <c r="U38" s="50"/>
    </row>
    <row r="39" spans="1:21" x14ac:dyDescent="0.25">
      <c r="A39" s="45" t="s">
        <v>29</v>
      </c>
      <c r="B39" s="46">
        <v>45771</v>
      </c>
      <c r="C39" s="45" t="s">
        <v>168</v>
      </c>
      <c r="D39" s="47"/>
      <c r="E39" s="45" t="s">
        <v>107</v>
      </c>
      <c r="F39" s="45" t="s">
        <v>108</v>
      </c>
      <c r="G39" s="45" t="s">
        <v>1679</v>
      </c>
      <c r="H39" s="45" t="s">
        <v>2947</v>
      </c>
      <c r="I39" s="45" t="s">
        <v>2948</v>
      </c>
      <c r="J39" s="45">
        <v>611214024</v>
      </c>
      <c r="K39" s="45" t="s">
        <v>2309</v>
      </c>
      <c r="L39" s="48">
        <v>130</v>
      </c>
      <c r="M39" s="49">
        <v>202412231178</v>
      </c>
      <c r="N39" s="50" t="s">
        <v>28</v>
      </c>
      <c r="O39" s="50"/>
      <c r="P39" s="50"/>
      <c r="Q39" s="51"/>
      <c r="R39" s="50"/>
      <c r="S39" s="50"/>
      <c r="T39" s="51"/>
      <c r="U39" s="50"/>
    </row>
    <row r="40" spans="1:21" ht="105" x14ac:dyDescent="0.25">
      <c r="A40" s="45" t="s">
        <v>20</v>
      </c>
      <c r="B40" s="46">
        <v>45771</v>
      </c>
      <c r="C40" s="45" t="s">
        <v>168</v>
      </c>
      <c r="D40" s="47"/>
      <c r="E40" s="45" t="s">
        <v>107</v>
      </c>
      <c r="F40" s="45" t="s">
        <v>108</v>
      </c>
      <c r="G40" s="45" t="s">
        <v>1646</v>
      </c>
      <c r="H40" s="45" t="s">
        <v>1440</v>
      </c>
      <c r="I40" s="45" t="s">
        <v>2949</v>
      </c>
      <c r="J40" s="45">
        <v>612408072</v>
      </c>
      <c r="K40" s="45" t="s">
        <v>2893</v>
      </c>
      <c r="L40" s="48">
        <v>105.22</v>
      </c>
      <c r="M40" s="49">
        <v>202412231115</v>
      </c>
      <c r="N40" s="50"/>
      <c r="O40" s="50" t="s">
        <v>124</v>
      </c>
      <c r="P40" s="50"/>
      <c r="Q40" s="51" t="s">
        <v>2950</v>
      </c>
      <c r="R40" s="50"/>
      <c r="S40" s="50"/>
      <c r="T40" s="51"/>
      <c r="U40" s="50"/>
    </row>
    <row r="41" spans="1:21" ht="25.5" x14ac:dyDescent="0.25">
      <c r="A41" s="45" t="s">
        <v>20</v>
      </c>
      <c r="B41" s="46">
        <v>45771</v>
      </c>
      <c r="C41" s="45" t="s">
        <v>168</v>
      </c>
      <c r="D41" s="47"/>
      <c r="E41" s="45" t="s">
        <v>107</v>
      </c>
      <c r="F41" s="45" t="s">
        <v>108</v>
      </c>
      <c r="G41" s="45" t="s">
        <v>2951</v>
      </c>
      <c r="H41" s="45" t="s">
        <v>1481</v>
      </c>
      <c r="I41" s="45" t="s">
        <v>2952</v>
      </c>
      <c r="J41" s="45">
        <v>613883154</v>
      </c>
      <c r="K41" s="45" t="s">
        <v>840</v>
      </c>
      <c r="L41" s="48">
        <v>8.8699999999999992</v>
      </c>
      <c r="M41" s="49">
        <v>20241223567</v>
      </c>
      <c r="N41" s="50" t="s">
        <v>28</v>
      </c>
      <c r="O41" s="50"/>
      <c r="P41" s="50"/>
      <c r="Q41" s="51"/>
      <c r="R41" s="50"/>
      <c r="S41" s="50"/>
      <c r="T41" s="51"/>
      <c r="U41" s="50"/>
    </row>
    <row r="42" spans="1:21" ht="25.5" x14ac:dyDescent="0.25">
      <c r="A42" s="45" t="s">
        <v>20</v>
      </c>
      <c r="B42" s="46">
        <v>45771</v>
      </c>
      <c r="C42" s="45" t="s">
        <v>168</v>
      </c>
      <c r="D42" s="47"/>
      <c r="E42" s="45" t="s">
        <v>107</v>
      </c>
      <c r="F42" s="45" t="s">
        <v>108</v>
      </c>
      <c r="G42" s="45" t="s">
        <v>2951</v>
      </c>
      <c r="H42" s="45" t="s">
        <v>1481</v>
      </c>
      <c r="I42" s="45" t="s">
        <v>2952</v>
      </c>
      <c r="J42" s="45">
        <v>613883154</v>
      </c>
      <c r="K42" s="45" t="s">
        <v>2953</v>
      </c>
      <c r="L42" s="48">
        <v>20.84</v>
      </c>
      <c r="M42" s="49">
        <v>20241223562</v>
      </c>
      <c r="N42" s="50" t="s">
        <v>28</v>
      </c>
      <c r="O42" s="50"/>
      <c r="P42" s="50"/>
      <c r="Q42" s="51"/>
      <c r="R42" s="50"/>
      <c r="S42" s="50"/>
      <c r="T42" s="51"/>
      <c r="U42" s="50"/>
    </row>
    <row r="43" spans="1:21" ht="25.5" x14ac:dyDescent="0.25">
      <c r="A43" s="45" t="s">
        <v>20</v>
      </c>
      <c r="B43" s="46">
        <v>45771</v>
      </c>
      <c r="C43" s="45" t="s">
        <v>168</v>
      </c>
      <c r="D43" s="47"/>
      <c r="E43" s="45" t="s">
        <v>107</v>
      </c>
      <c r="F43" s="45" t="s">
        <v>108</v>
      </c>
      <c r="G43" s="45" t="s">
        <v>2951</v>
      </c>
      <c r="H43" s="45" t="s">
        <v>1481</v>
      </c>
      <c r="I43" s="45" t="s">
        <v>2952</v>
      </c>
      <c r="J43" s="45">
        <v>613883154</v>
      </c>
      <c r="K43" s="45" t="s">
        <v>2735</v>
      </c>
      <c r="L43" s="48">
        <v>19</v>
      </c>
      <c r="M43" s="49">
        <v>20241223564</v>
      </c>
      <c r="N43" s="50" t="s">
        <v>28</v>
      </c>
      <c r="O43" s="50"/>
      <c r="P43" s="50"/>
      <c r="Q43" s="51"/>
      <c r="R43" s="50"/>
      <c r="S43" s="50"/>
      <c r="T43" s="51"/>
      <c r="U43" s="50"/>
    </row>
    <row r="44" spans="1:21" x14ac:dyDescent="0.25">
      <c r="A44" s="45" t="s">
        <v>20</v>
      </c>
      <c r="B44" s="46">
        <v>45771</v>
      </c>
      <c r="C44" s="45" t="s">
        <v>168</v>
      </c>
      <c r="D44" s="47"/>
      <c r="E44" s="45" t="s">
        <v>107</v>
      </c>
      <c r="F44" s="45" t="s">
        <v>108</v>
      </c>
      <c r="G44" s="45" t="s">
        <v>2954</v>
      </c>
      <c r="H44" s="45" t="s">
        <v>208</v>
      </c>
      <c r="I44" s="45" t="s">
        <v>2955</v>
      </c>
      <c r="J44" s="45">
        <v>613887561</v>
      </c>
      <c r="K44" s="45" t="s">
        <v>2893</v>
      </c>
      <c r="L44" s="48">
        <v>25</v>
      </c>
      <c r="M44" s="49">
        <v>20241223295</v>
      </c>
      <c r="N44" s="50" t="s">
        <v>28</v>
      </c>
      <c r="O44" s="50"/>
      <c r="P44" s="50"/>
      <c r="Q44" s="51"/>
      <c r="R44" s="50"/>
      <c r="S44" s="50"/>
      <c r="T44" s="51"/>
      <c r="U44" s="50"/>
    </row>
    <row r="45" spans="1:21" x14ac:dyDescent="0.25">
      <c r="A45" s="45" t="s">
        <v>20</v>
      </c>
      <c r="B45" s="46">
        <v>45771</v>
      </c>
      <c r="C45" s="45" t="s">
        <v>168</v>
      </c>
      <c r="D45" s="47"/>
      <c r="E45" s="45" t="s">
        <v>107</v>
      </c>
      <c r="F45" s="45" t="s">
        <v>108</v>
      </c>
      <c r="G45" s="45" t="s">
        <v>2954</v>
      </c>
      <c r="H45" s="45" t="s">
        <v>208</v>
      </c>
      <c r="I45" s="45" t="s">
        <v>2955</v>
      </c>
      <c r="J45" s="45">
        <v>613887561</v>
      </c>
      <c r="K45" s="45" t="s">
        <v>2893</v>
      </c>
      <c r="L45" s="48">
        <v>3.8</v>
      </c>
      <c r="M45" s="49">
        <v>20241223298</v>
      </c>
      <c r="N45" s="50" t="s">
        <v>28</v>
      </c>
      <c r="O45" s="50"/>
      <c r="P45" s="50"/>
      <c r="Q45" s="51"/>
      <c r="R45" s="50"/>
      <c r="S45" s="50"/>
      <c r="T45" s="51"/>
      <c r="U45" s="50"/>
    </row>
    <row r="46" spans="1:21" x14ac:dyDescent="0.25">
      <c r="A46" s="45" t="s">
        <v>20</v>
      </c>
      <c r="B46" s="46">
        <v>45771</v>
      </c>
      <c r="C46" s="45" t="s">
        <v>168</v>
      </c>
      <c r="D46" s="47"/>
      <c r="E46" s="45" t="s">
        <v>107</v>
      </c>
      <c r="F46" s="45" t="s">
        <v>108</v>
      </c>
      <c r="G46" s="45" t="s">
        <v>2954</v>
      </c>
      <c r="H46" s="45" t="s">
        <v>208</v>
      </c>
      <c r="I46" s="45" t="s">
        <v>2955</v>
      </c>
      <c r="J46" s="45">
        <v>613887561</v>
      </c>
      <c r="K46" s="45" t="s">
        <v>2849</v>
      </c>
      <c r="L46" s="48">
        <v>11.06</v>
      </c>
      <c r="M46" s="49">
        <v>20241223302</v>
      </c>
      <c r="N46" s="50" t="s">
        <v>28</v>
      </c>
      <c r="O46" s="50"/>
      <c r="P46" s="50"/>
      <c r="Q46" s="51"/>
      <c r="R46" s="50"/>
      <c r="S46" s="50"/>
      <c r="T46" s="51"/>
      <c r="U46" s="50"/>
    </row>
    <row r="47" spans="1:21" x14ac:dyDescent="0.25">
      <c r="A47" s="45" t="s">
        <v>20</v>
      </c>
      <c r="B47" s="46">
        <v>45771</v>
      </c>
      <c r="C47" s="45" t="s">
        <v>168</v>
      </c>
      <c r="D47" s="47"/>
      <c r="E47" s="45" t="s">
        <v>155</v>
      </c>
      <c r="F47" s="45" t="s">
        <v>156</v>
      </c>
      <c r="G47" s="45" t="s">
        <v>164</v>
      </c>
      <c r="H47" s="45" t="s">
        <v>2956</v>
      </c>
      <c r="I47" s="45" t="s">
        <v>2516</v>
      </c>
      <c r="J47" s="45">
        <v>69688</v>
      </c>
      <c r="K47" s="45" t="s">
        <v>2957</v>
      </c>
      <c r="L47" s="48">
        <v>82</v>
      </c>
      <c r="M47" s="49">
        <v>20241227880</v>
      </c>
      <c r="N47" s="50" t="s">
        <v>28</v>
      </c>
      <c r="O47" s="50"/>
      <c r="P47" s="50"/>
      <c r="Q47" s="51"/>
      <c r="R47" s="50"/>
      <c r="S47" s="50"/>
      <c r="T47" s="51"/>
      <c r="U47" s="50"/>
    </row>
    <row r="48" spans="1:21" x14ac:dyDescent="0.25">
      <c r="A48" s="45" t="s">
        <v>29</v>
      </c>
      <c r="B48" s="46">
        <v>45778</v>
      </c>
      <c r="C48" s="45" t="s">
        <v>114</v>
      </c>
      <c r="D48" s="47" t="s">
        <v>352</v>
      </c>
      <c r="E48" s="45" t="s">
        <v>176</v>
      </c>
      <c r="F48" s="45" t="s">
        <v>177</v>
      </c>
      <c r="G48" s="45" t="s">
        <v>30</v>
      </c>
      <c r="H48" s="45" t="s">
        <v>2958</v>
      </c>
      <c r="I48" s="45" t="s">
        <v>2959</v>
      </c>
      <c r="J48" s="45">
        <v>381662572</v>
      </c>
      <c r="K48" s="45" t="s">
        <v>301</v>
      </c>
      <c r="L48" s="48">
        <v>445</v>
      </c>
      <c r="M48" s="49">
        <v>20241224471</v>
      </c>
      <c r="N48" s="50" t="s">
        <v>28</v>
      </c>
      <c r="O48" s="50"/>
      <c r="P48" s="50"/>
      <c r="Q48" s="51"/>
      <c r="R48" s="50"/>
      <c r="S48" s="50"/>
      <c r="T48" s="51"/>
      <c r="U48" s="50"/>
    </row>
    <row r="49" spans="1:21" x14ac:dyDescent="0.25">
      <c r="A49" s="45" t="s">
        <v>29</v>
      </c>
      <c r="B49" s="46">
        <v>45778</v>
      </c>
      <c r="C49" s="45" t="s">
        <v>114</v>
      </c>
      <c r="D49" s="47" t="s">
        <v>352</v>
      </c>
      <c r="E49" s="45" t="s">
        <v>176</v>
      </c>
      <c r="F49" s="45" t="s">
        <v>177</v>
      </c>
      <c r="G49" s="45" t="s">
        <v>2268</v>
      </c>
      <c r="H49" s="45" t="s">
        <v>341</v>
      </c>
      <c r="I49" s="45" t="s">
        <v>2960</v>
      </c>
      <c r="J49" s="45">
        <v>384808231</v>
      </c>
      <c r="K49" s="45" t="s">
        <v>2575</v>
      </c>
      <c r="L49" s="48">
        <v>2625</v>
      </c>
      <c r="M49" s="49">
        <v>20241227933</v>
      </c>
      <c r="N49" s="50" t="s">
        <v>28</v>
      </c>
      <c r="O49" s="50"/>
      <c r="P49" s="50"/>
      <c r="Q49" s="51"/>
      <c r="R49" s="50"/>
      <c r="S49" s="50"/>
      <c r="T49" s="51"/>
      <c r="U49" s="50"/>
    </row>
    <row r="50" spans="1:21" x14ac:dyDescent="0.25">
      <c r="A50" s="45" t="s">
        <v>20</v>
      </c>
      <c r="B50" s="46">
        <v>45778</v>
      </c>
      <c r="C50" s="45" t="s">
        <v>114</v>
      </c>
      <c r="D50" s="47" t="s">
        <v>352</v>
      </c>
      <c r="E50" s="45" t="s">
        <v>176</v>
      </c>
      <c r="F50" s="45" t="s">
        <v>177</v>
      </c>
      <c r="G50" s="45" t="s">
        <v>30</v>
      </c>
      <c r="H50" s="45" t="s">
        <v>414</v>
      </c>
      <c r="I50" s="45" t="s">
        <v>2961</v>
      </c>
      <c r="J50" s="45">
        <v>386565995</v>
      </c>
      <c r="K50" s="45" t="s">
        <v>1907</v>
      </c>
      <c r="L50" s="48">
        <v>1071.33</v>
      </c>
      <c r="M50" s="49">
        <v>20241224388</v>
      </c>
      <c r="N50" s="50" t="s">
        <v>28</v>
      </c>
      <c r="O50" s="50"/>
      <c r="P50" s="50"/>
      <c r="Q50" s="51"/>
      <c r="R50" s="50"/>
      <c r="S50" s="50"/>
      <c r="T50" s="51"/>
      <c r="U50" s="50"/>
    </row>
    <row r="51" spans="1:21" x14ac:dyDescent="0.25">
      <c r="A51" s="45" t="s">
        <v>20</v>
      </c>
      <c r="B51" s="46">
        <v>45778</v>
      </c>
      <c r="C51" s="45" t="s">
        <v>114</v>
      </c>
      <c r="D51" s="47" t="s">
        <v>352</v>
      </c>
      <c r="E51" s="45" t="s">
        <v>176</v>
      </c>
      <c r="F51" s="45" t="s">
        <v>177</v>
      </c>
      <c r="G51" s="45" t="s">
        <v>30</v>
      </c>
      <c r="H51" s="45" t="s">
        <v>414</v>
      </c>
      <c r="I51" s="45" t="s">
        <v>2961</v>
      </c>
      <c r="J51" s="45">
        <v>386565995</v>
      </c>
      <c r="K51" s="45" t="s">
        <v>2464</v>
      </c>
      <c r="L51" s="48">
        <v>5</v>
      </c>
      <c r="M51" s="49">
        <v>20241224437</v>
      </c>
      <c r="N51" s="50" t="s">
        <v>28</v>
      </c>
      <c r="O51" s="50"/>
      <c r="P51" s="50"/>
      <c r="Q51" s="51"/>
      <c r="R51" s="50"/>
      <c r="S51" s="50"/>
      <c r="T51" s="51"/>
      <c r="U51" s="50"/>
    </row>
    <row r="52" spans="1:21" x14ac:dyDescent="0.25">
      <c r="A52" s="45" t="s">
        <v>20</v>
      </c>
      <c r="B52" s="46">
        <v>45778</v>
      </c>
      <c r="C52" s="45" t="s">
        <v>114</v>
      </c>
      <c r="D52" s="47" t="s">
        <v>352</v>
      </c>
      <c r="E52" s="45" t="s">
        <v>176</v>
      </c>
      <c r="F52" s="45" t="s">
        <v>177</v>
      </c>
      <c r="G52" s="45" t="s">
        <v>30</v>
      </c>
      <c r="H52" s="45" t="s">
        <v>414</v>
      </c>
      <c r="I52" s="45" t="s">
        <v>2961</v>
      </c>
      <c r="J52" s="45">
        <v>386565995</v>
      </c>
      <c r="K52" s="45" t="s">
        <v>2464</v>
      </c>
      <c r="L52" s="48">
        <v>20.72</v>
      </c>
      <c r="M52" s="49">
        <v>20241224473</v>
      </c>
      <c r="N52" s="50" t="s">
        <v>28</v>
      </c>
      <c r="O52" s="50"/>
      <c r="P52" s="50"/>
      <c r="Q52" s="51"/>
      <c r="R52" s="50"/>
      <c r="S52" s="50"/>
      <c r="T52" s="51"/>
      <c r="U52" s="50"/>
    </row>
    <row r="53" spans="1:21" x14ac:dyDescent="0.25">
      <c r="A53" s="45" t="s">
        <v>29</v>
      </c>
      <c r="B53" s="46">
        <v>45778</v>
      </c>
      <c r="C53" s="45" t="s">
        <v>114</v>
      </c>
      <c r="D53" s="47" t="s">
        <v>352</v>
      </c>
      <c r="E53" s="45" t="s">
        <v>176</v>
      </c>
      <c r="F53" s="45" t="s">
        <v>177</v>
      </c>
      <c r="G53" s="45" t="s">
        <v>2170</v>
      </c>
      <c r="H53" s="45" t="s">
        <v>1321</v>
      </c>
      <c r="I53" s="45" t="s">
        <v>1034</v>
      </c>
      <c r="J53" s="45">
        <v>395119899</v>
      </c>
      <c r="K53" s="45" t="s">
        <v>2735</v>
      </c>
      <c r="L53" s="48">
        <v>333.33</v>
      </c>
      <c r="M53" s="49">
        <v>20241228218</v>
      </c>
      <c r="N53" s="50" t="s">
        <v>28</v>
      </c>
      <c r="O53" s="50"/>
      <c r="P53" s="50"/>
      <c r="Q53" s="51"/>
      <c r="R53" s="50"/>
      <c r="S53" s="50"/>
      <c r="T53" s="51"/>
      <c r="U53" s="50"/>
    </row>
    <row r="54" spans="1:21" x14ac:dyDescent="0.25">
      <c r="A54" s="45" t="s">
        <v>20</v>
      </c>
      <c r="B54" s="46">
        <v>45778</v>
      </c>
      <c r="C54" s="45" t="s">
        <v>114</v>
      </c>
      <c r="D54" s="47" t="s">
        <v>352</v>
      </c>
      <c r="E54" s="45" t="s">
        <v>176</v>
      </c>
      <c r="F54" s="45" t="s">
        <v>177</v>
      </c>
      <c r="G54" s="45" t="s">
        <v>2594</v>
      </c>
      <c r="H54" s="45" t="s">
        <v>142</v>
      </c>
      <c r="I54" s="45" t="s">
        <v>2962</v>
      </c>
      <c r="J54" s="45">
        <v>402089761</v>
      </c>
      <c r="K54" s="45" t="s">
        <v>387</v>
      </c>
      <c r="L54" s="48">
        <v>152</v>
      </c>
      <c r="M54" s="49">
        <v>20241228189</v>
      </c>
      <c r="N54" s="50" t="s">
        <v>28</v>
      </c>
      <c r="O54" s="50"/>
      <c r="P54" s="50"/>
      <c r="Q54" s="51"/>
      <c r="R54" s="50"/>
      <c r="S54" s="50"/>
      <c r="T54" s="51"/>
      <c r="U54" s="50"/>
    </row>
    <row r="55" spans="1:21" x14ac:dyDescent="0.25">
      <c r="A55" s="45" t="s">
        <v>29</v>
      </c>
      <c r="B55" s="46">
        <v>45778</v>
      </c>
      <c r="C55" s="45" t="s">
        <v>114</v>
      </c>
      <c r="D55" s="47" t="s">
        <v>352</v>
      </c>
      <c r="E55" s="45" t="s">
        <v>176</v>
      </c>
      <c r="F55" s="45" t="s">
        <v>177</v>
      </c>
      <c r="G55" s="45" t="s">
        <v>2594</v>
      </c>
      <c r="H55" s="45" t="s">
        <v>142</v>
      </c>
      <c r="I55" s="45" t="s">
        <v>2962</v>
      </c>
      <c r="J55" s="45">
        <v>402089761</v>
      </c>
      <c r="K55" s="45" t="s">
        <v>387</v>
      </c>
      <c r="L55" s="48">
        <v>152</v>
      </c>
      <c r="M55" s="49">
        <v>20241228190</v>
      </c>
      <c r="N55" s="50" t="s">
        <v>28</v>
      </c>
      <c r="O55" s="50"/>
      <c r="P55" s="50"/>
      <c r="Q55" s="51"/>
      <c r="R55" s="50"/>
      <c r="S55" s="50"/>
      <c r="T55" s="51"/>
      <c r="U55" s="50"/>
    </row>
    <row r="56" spans="1:21" x14ac:dyDescent="0.25">
      <c r="A56" s="45" t="s">
        <v>20</v>
      </c>
      <c r="B56" s="46">
        <v>45778</v>
      </c>
      <c r="C56" s="45" t="s">
        <v>114</v>
      </c>
      <c r="D56" s="47" t="s">
        <v>352</v>
      </c>
      <c r="E56" s="45" t="s">
        <v>176</v>
      </c>
      <c r="F56" s="45" t="s">
        <v>177</v>
      </c>
      <c r="G56" s="45" t="s">
        <v>2963</v>
      </c>
      <c r="H56" s="45" t="s">
        <v>2964</v>
      </c>
      <c r="I56" s="45" t="s">
        <v>2965</v>
      </c>
      <c r="J56" s="45">
        <v>422842113</v>
      </c>
      <c r="K56" s="45" t="s">
        <v>2464</v>
      </c>
      <c r="L56" s="48">
        <v>49.48</v>
      </c>
      <c r="M56" s="49">
        <v>20241224510</v>
      </c>
      <c r="N56" s="50" t="s">
        <v>28</v>
      </c>
      <c r="O56" s="50"/>
      <c r="P56" s="50"/>
      <c r="Q56" s="51"/>
      <c r="R56" s="50"/>
      <c r="S56" s="50"/>
      <c r="T56" s="51"/>
      <c r="U56" s="50"/>
    </row>
    <row r="57" spans="1:21" x14ac:dyDescent="0.25">
      <c r="A57" s="45" t="s">
        <v>20</v>
      </c>
      <c r="B57" s="46">
        <v>45778</v>
      </c>
      <c r="C57" s="45" t="s">
        <v>114</v>
      </c>
      <c r="D57" s="47" t="s">
        <v>352</v>
      </c>
      <c r="E57" s="45" t="s">
        <v>176</v>
      </c>
      <c r="F57" s="45" t="s">
        <v>177</v>
      </c>
      <c r="G57" s="45" t="s">
        <v>30</v>
      </c>
      <c r="H57" s="45" t="s">
        <v>2966</v>
      </c>
      <c r="I57" s="45" t="s">
        <v>2967</v>
      </c>
      <c r="J57" s="45">
        <v>425838583</v>
      </c>
      <c r="K57" s="45" t="s">
        <v>2968</v>
      </c>
      <c r="L57" s="48">
        <v>15</v>
      </c>
      <c r="M57" s="49">
        <v>20241227400</v>
      </c>
      <c r="N57" s="50" t="s">
        <v>28</v>
      </c>
      <c r="O57" s="50"/>
      <c r="P57" s="50"/>
      <c r="Q57" s="51"/>
      <c r="R57" s="50"/>
      <c r="S57" s="50"/>
      <c r="T57" s="51"/>
      <c r="U57" s="50"/>
    </row>
    <row r="58" spans="1:21" x14ac:dyDescent="0.25">
      <c r="A58" s="45" t="s">
        <v>20</v>
      </c>
      <c r="B58" s="46">
        <v>45778</v>
      </c>
      <c r="C58" s="45" t="s">
        <v>114</v>
      </c>
      <c r="D58" s="47" t="s">
        <v>352</v>
      </c>
      <c r="E58" s="45" t="s">
        <v>176</v>
      </c>
      <c r="F58" s="45" t="s">
        <v>177</v>
      </c>
      <c r="G58" s="45" t="s">
        <v>2969</v>
      </c>
      <c r="H58" s="45" t="s">
        <v>2970</v>
      </c>
      <c r="I58" s="45" t="s">
        <v>2971</v>
      </c>
      <c r="J58" s="45">
        <v>427730298</v>
      </c>
      <c r="K58" s="45" t="s">
        <v>2767</v>
      </c>
      <c r="L58" s="48">
        <v>102.3</v>
      </c>
      <c r="M58" s="49">
        <v>20241228154</v>
      </c>
      <c r="N58" s="50" t="s">
        <v>28</v>
      </c>
      <c r="O58" s="50"/>
      <c r="P58" s="50"/>
      <c r="Q58" s="51"/>
      <c r="R58" s="50"/>
      <c r="S58" s="50"/>
      <c r="T58" s="51"/>
      <c r="U58" s="50"/>
    </row>
    <row r="59" spans="1:21" x14ac:dyDescent="0.25">
      <c r="A59" s="45" t="s">
        <v>20</v>
      </c>
      <c r="B59" s="46">
        <v>45778</v>
      </c>
      <c r="C59" s="45" t="s">
        <v>114</v>
      </c>
      <c r="D59" s="47" t="s">
        <v>352</v>
      </c>
      <c r="E59" s="45" t="s">
        <v>176</v>
      </c>
      <c r="F59" s="45" t="s">
        <v>177</v>
      </c>
      <c r="G59" s="45" t="s">
        <v>2759</v>
      </c>
      <c r="H59" s="45" t="s">
        <v>2760</v>
      </c>
      <c r="I59" s="45" t="s">
        <v>2761</v>
      </c>
      <c r="J59" s="45">
        <v>436430872</v>
      </c>
      <c r="K59" s="45" t="s">
        <v>2972</v>
      </c>
      <c r="L59" s="48">
        <v>160.85</v>
      </c>
      <c r="M59" s="49">
        <v>20241227581</v>
      </c>
      <c r="N59" s="50" t="s">
        <v>28</v>
      </c>
      <c r="O59" s="50"/>
      <c r="P59" s="50"/>
      <c r="Q59" s="51"/>
      <c r="R59" s="50"/>
      <c r="S59" s="50"/>
      <c r="T59" s="51"/>
      <c r="U59" s="50"/>
    </row>
    <row r="60" spans="1:21" x14ac:dyDescent="0.25">
      <c r="A60" s="45" t="s">
        <v>20</v>
      </c>
      <c r="B60" s="46">
        <v>45778</v>
      </c>
      <c r="C60" s="45" t="s">
        <v>114</v>
      </c>
      <c r="D60" s="47" t="s">
        <v>352</v>
      </c>
      <c r="E60" s="45" t="s">
        <v>176</v>
      </c>
      <c r="F60" s="45" t="s">
        <v>177</v>
      </c>
      <c r="G60" s="45" t="s">
        <v>2973</v>
      </c>
      <c r="H60" s="45" t="s">
        <v>2974</v>
      </c>
      <c r="I60" s="45" t="s">
        <v>2975</v>
      </c>
      <c r="J60" s="45">
        <v>449393441</v>
      </c>
      <c r="K60" s="45" t="s">
        <v>2455</v>
      </c>
      <c r="L60" s="48">
        <v>19.29</v>
      </c>
      <c r="M60" s="49">
        <v>20241228201</v>
      </c>
      <c r="N60" s="50" t="s">
        <v>28</v>
      </c>
      <c r="O60" s="50"/>
      <c r="P60" s="50"/>
      <c r="Q60" s="51"/>
      <c r="R60" s="50"/>
      <c r="S60" s="50"/>
      <c r="T60" s="51"/>
      <c r="U60" s="50"/>
    </row>
    <row r="61" spans="1:21" x14ac:dyDescent="0.25">
      <c r="A61" s="45" t="s">
        <v>20</v>
      </c>
      <c r="B61" s="46">
        <v>45778</v>
      </c>
      <c r="C61" s="45" t="s">
        <v>114</v>
      </c>
      <c r="D61" s="47" t="s">
        <v>352</v>
      </c>
      <c r="E61" s="45" t="s">
        <v>176</v>
      </c>
      <c r="F61" s="45" t="s">
        <v>177</v>
      </c>
      <c r="G61" s="45" t="s">
        <v>2973</v>
      </c>
      <c r="H61" s="45" t="s">
        <v>2974</v>
      </c>
      <c r="I61" s="45" t="s">
        <v>2975</v>
      </c>
      <c r="J61" s="45">
        <v>449393441</v>
      </c>
      <c r="K61" s="45" t="s">
        <v>2767</v>
      </c>
      <c r="L61" s="48">
        <v>150</v>
      </c>
      <c r="M61" s="49">
        <v>20241228202</v>
      </c>
      <c r="N61" s="50" t="s">
        <v>28</v>
      </c>
      <c r="O61" s="50"/>
      <c r="P61" s="50"/>
      <c r="Q61" s="51"/>
      <c r="R61" s="50"/>
      <c r="S61" s="50"/>
      <c r="T61" s="51"/>
      <c r="U61" s="50"/>
    </row>
    <row r="62" spans="1:21" x14ac:dyDescent="0.25">
      <c r="A62" s="45" t="s">
        <v>20</v>
      </c>
      <c r="B62" s="46">
        <v>45778</v>
      </c>
      <c r="C62" s="45" t="s">
        <v>114</v>
      </c>
      <c r="D62" s="47" t="s">
        <v>352</v>
      </c>
      <c r="E62" s="45" t="s">
        <v>176</v>
      </c>
      <c r="F62" s="45" t="s">
        <v>177</v>
      </c>
      <c r="G62" s="45" t="s">
        <v>2976</v>
      </c>
      <c r="H62" s="45" t="s">
        <v>2977</v>
      </c>
      <c r="I62" s="45" t="s">
        <v>2978</v>
      </c>
      <c r="J62" s="45">
        <v>451812510</v>
      </c>
      <c r="K62" s="45" t="s">
        <v>2979</v>
      </c>
      <c r="L62" s="48">
        <v>114.64</v>
      </c>
      <c r="M62" s="49">
        <v>20241224706</v>
      </c>
      <c r="N62" s="50" t="s">
        <v>28</v>
      </c>
      <c r="O62" s="50"/>
      <c r="P62" s="50"/>
      <c r="Q62" s="51"/>
      <c r="R62" s="50"/>
      <c r="S62" s="50"/>
      <c r="T62" s="51"/>
      <c r="U62" s="50"/>
    </row>
    <row r="63" spans="1:21" x14ac:dyDescent="0.25">
      <c r="A63" s="45" t="s">
        <v>20</v>
      </c>
      <c r="B63" s="46">
        <v>45776</v>
      </c>
      <c r="C63" s="45" t="s">
        <v>168</v>
      </c>
      <c r="D63" s="47"/>
      <c r="E63" s="45" t="s">
        <v>208</v>
      </c>
      <c r="F63" s="45" t="s">
        <v>209</v>
      </c>
      <c r="G63" s="45" t="s">
        <v>1979</v>
      </c>
      <c r="H63" s="45" t="s">
        <v>345</v>
      </c>
      <c r="I63" s="45" t="s">
        <v>2980</v>
      </c>
      <c r="J63" s="45">
        <v>226763455</v>
      </c>
      <c r="K63" s="45" t="s">
        <v>897</v>
      </c>
      <c r="L63" s="48">
        <v>80</v>
      </c>
      <c r="M63" s="49">
        <v>20241224541</v>
      </c>
      <c r="N63" s="50" t="s">
        <v>28</v>
      </c>
      <c r="O63" s="50"/>
      <c r="P63" s="50"/>
      <c r="Q63" s="51"/>
      <c r="R63" s="50"/>
      <c r="S63" s="50"/>
      <c r="T63" s="51"/>
      <c r="U63" s="50"/>
    </row>
    <row r="64" spans="1:21" x14ac:dyDescent="0.25">
      <c r="A64" s="45" t="s">
        <v>20</v>
      </c>
      <c r="B64" s="46">
        <v>45776</v>
      </c>
      <c r="C64" s="45" t="s">
        <v>168</v>
      </c>
      <c r="D64" s="47"/>
      <c r="E64" s="45" t="s">
        <v>208</v>
      </c>
      <c r="F64" s="45" t="s">
        <v>209</v>
      </c>
      <c r="G64" s="45" t="s">
        <v>1979</v>
      </c>
      <c r="H64" s="45" t="s">
        <v>345</v>
      </c>
      <c r="I64" s="45" t="s">
        <v>2980</v>
      </c>
      <c r="J64" s="45">
        <v>226763455</v>
      </c>
      <c r="K64" s="45" t="s">
        <v>1296</v>
      </c>
      <c r="L64" s="48">
        <v>20</v>
      </c>
      <c r="M64" s="49">
        <v>20241224537</v>
      </c>
      <c r="N64" s="50" t="s">
        <v>28</v>
      </c>
      <c r="O64" s="50"/>
      <c r="P64" s="50"/>
      <c r="Q64" s="51"/>
      <c r="R64" s="50"/>
      <c r="S64" s="50"/>
      <c r="T64" s="51"/>
      <c r="U64" s="50"/>
    </row>
    <row r="65" spans="1:21" x14ac:dyDescent="0.25">
      <c r="A65" s="45" t="s">
        <v>20</v>
      </c>
      <c r="B65" s="46">
        <v>45776</v>
      </c>
      <c r="C65" s="45" t="s">
        <v>168</v>
      </c>
      <c r="D65" s="47"/>
      <c r="E65" s="45" t="s">
        <v>208</v>
      </c>
      <c r="F65" s="45" t="s">
        <v>209</v>
      </c>
      <c r="G65" s="45" t="s">
        <v>1979</v>
      </c>
      <c r="H65" s="45" t="s">
        <v>345</v>
      </c>
      <c r="I65" s="45" t="s">
        <v>2980</v>
      </c>
      <c r="J65" s="45">
        <v>226763455</v>
      </c>
      <c r="K65" s="45" t="s">
        <v>890</v>
      </c>
      <c r="L65" s="48">
        <v>20</v>
      </c>
      <c r="M65" s="49">
        <v>20241224539</v>
      </c>
      <c r="N65" s="50" t="s">
        <v>28</v>
      </c>
      <c r="O65" s="50"/>
      <c r="P65" s="50"/>
      <c r="Q65" s="51"/>
      <c r="R65" s="50"/>
      <c r="S65" s="50"/>
      <c r="T65" s="51"/>
      <c r="U65" s="50"/>
    </row>
    <row r="66" spans="1:21" x14ac:dyDescent="0.25">
      <c r="A66" s="45" t="s">
        <v>20</v>
      </c>
      <c r="B66" s="46">
        <v>45776</v>
      </c>
      <c r="C66" s="45" t="s">
        <v>168</v>
      </c>
      <c r="D66" s="47"/>
      <c r="E66" s="45" t="s">
        <v>208</v>
      </c>
      <c r="F66" s="45" t="s">
        <v>209</v>
      </c>
      <c r="G66" s="45" t="s">
        <v>1979</v>
      </c>
      <c r="H66" s="45" t="s">
        <v>345</v>
      </c>
      <c r="I66" s="45" t="s">
        <v>2980</v>
      </c>
      <c r="J66" s="45">
        <v>226763455</v>
      </c>
      <c r="K66" s="45" t="s">
        <v>181</v>
      </c>
      <c r="L66" s="48">
        <v>40</v>
      </c>
      <c r="M66" s="49">
        <v>20241224535</v>
      </c>
      <c r="N66" s="50" t="s">
        <v>28</v>
      </c>
      <c r="O66" s="50"/>
      <c r="P66" s="50"/>
      <c r="Q66" s="51"/>
      <c r="R66" s="50"/>
      <c r="S66" s="50"/>
      <c r="T66" s="51"/>
      <c r="U66" s="50"/>
    </row>
    <row r="67" spans="1:21" x14ac:dyDescent="0.25">
      <c r="A67" s="45" t="s">
        <v>20</v>
      </c>
      <c r="B67" s="46">
        <v>45776</v>
      </c>
      <c r="C67" s="45" t="s">
        <v>168</v>
      </c>
      <c r="D67" s="47"/>
      <c r="E67" s="45" t="s">
        <v>208</v>
      </c>
      <c r="F67" s="45" t="s">
        <v>209</v>
      </c>
      <c r="G67" s="45" t="s">
        <v>1979</v>
      </c>
      <c r="H67" s="45" t="s">
        <v>345</v>
      </c>
      <c r="I67" s="45" t="s">
        <v>2980</v>
      </c>
      <c r="J67" s="45">
        <v>226763455</v>
      </c>
      <c r="K67" s="45" t="s">
        <v>2125</v>
      </c>
      <c r="L67" s="48">
        <v>430</v>
      </c>
      <c r="M67" s="49">
        <v>20241224501</v>
      </c>
      <c r="N67" s="50" t="s">
        <v>28</v>
      </c>
      <c r="O67" s="50"/>
      <c r="P67" s="50"/>
      <c r="Q67" s="51"/>
      <c r="R67" s="50"/>
      <c r="S67" s="50"/>
      <c r="T67" s="51"/>
      <c r="U67" s="50"/>
    </row>
    <row r="68" spans="1:21" x14ac:dyDescent="0.25">
      <c r="A68" s="45" t="s">
        <v>20</v>
      </c>
      <c r="B68" s="46">
        <v>45776</v>
      </c>
      <c r="C68" s="45" t="s">
        <v>168</v>
      </c>
      <c r="D68" s="47"/>
      <c r="E68" s="45" t="s">
        <v>208</v>
      </c>
      <c r="F68" s="45" t="s">
        <v>209</v>
      </c>
      <c r="G68" s="45" t="s">
        <v>1979</v>
      </c>
      <c r="H68" s="45" t="s">
        <v>345</v>
      </c>
      <c r="I68" s="45" t="s">
        <v>2980</v>
      </c>
      <c r="J68" s="45">
        <v>226763455</v>
      </c>
      <c r="K68" s="45" t="s">
        <v>1337</v>
      </c>
      <c r="L68" s="48">
        <v>39.86</v>
      </c>
      <c r="M68" s="49">
        <v>20241224504</v>
      </c>
      <c r="N68" s="50" t="s">
        <v>28</v>
      </c>
      <c r="O68" s="50"/>
      <c r="P68" s="50"/>
      <c r="Q68" s="51"/>
      <c r="R68" s="50"/>
      <c r="S68" s="50"/>
      <c r="T68" s="51"/>
      <c r="U68" s="50"/>
    </row>
    <row r="69" spans="1:21" x14ac:dyDescent="0.25">
      <c r="A69" s="45" t="s">
        <v>20</v>
      </c>
      <c r="B69" s="46">
        <v>45776</v>
      </c>
      <c r="C69" s="45" t="s">
        <v>168</v>
      </c>
      <c r="D69" s="47"/>
      <c r="E69" s="45" t="s">
        <v>208</v>
      </c>
      <c r="F69" s="45" t="s">
        <v>209</v>
      </c>
      <c r="G69" s="45" t="s">
        <v>1979</v>
      </c>
      <c r="H69" s="45" t="s">
        <v>345</v>
      </c>
      <c r="I69" s="45" t="s">
        <v>2980</v>
      </c>
      <c r="J69" s="45">
        <v>226763455</v>
      </c>
      <c r="K69" s="45" t="s">
        <v>1734</v>
      </c>
      <c r="L69" s="48">
        <v>50</v>
      </c>
      <c r="M69" s="49">
        <v>20241224508</v>
      </c>
      <c r="N69" s="50" t="s">
        <v>28</v>
      </c>
      <c r="O69" s="50"/>
      <c r="P69" s="50"/>
      <c r="Q69" s="51"/>
      <c r="R69" s="50"/>
      <c r="S69" s="50"/>
      <c r="T69" s="51"/>
      <c r="U69" s="50"/>
    </row>
    <row r="70" spans="1:21" x14ac:dyDescent="0.25">
      <c r="A70" s="45" t="s">
        <v>20</v>
      </c>
      <c r="B70" s="46">
        <v>45776</v>
      </c>
      <c r="C70" s="45" t="s">
        <v>168</v>
      </c>
      <c r="D70" s="47"/>
      <c r="E70" s="45" t="s">
        <v>208</v>
      </c>
      <c r="F70" s="45" t="s">
        <v>209</v>
      </c>
      <c r="G70" s="45" t="s">
        <v>1979</v>
      </c>
      <c r="H70" s="45" t="s">
        <v>345</v>
      </c>
      <c r="I70" s="45" t="s">
        <v>2980</v>
      </c>
      <c r="J70" s="45">
        <v>226763455</v>
      </c>
      <c r="K70" s="45" t="s">
        <v>889</v>
      </c>
      <c r="L70" s="48">
        <v>25</v>
      </c>
      <c r="M70" s="49">
        <v>20241224531</v>
      </c>
      <c r="N70" s="50" t="s">
        <v>28</v>
      </c>
      <c r="O70" s="50"/>
      <c r="P70" s="50"/>
      <c r="Q70" s="51"/>
      <c r="R70" s="50"/>
      <c r="S70" s="50"/>
      <c r="T70" s="51"/>
      <c r="U70" s="50"/>
    </row>
    <row r="71" spans="1:21" x14ac:dyDescent="0.25">
      <c r="A71" s="45" t="s">
        <v>20</v>
      </c>
      <c r="B71" s="46">
        <v>45776</v>
      </c>
      <c r="C71" s="45" t="s">
        <v>168</v>
      </c>
      <c r="D71" s="47"/>
      <c r="E71" s="45" t="s">
        <v>208</v>
      </c>
      <c r="F71" s="45" t="s">
        <v>209</v>
      </c>
      <c r="G71" s="45" t="s">
        <v>1979</v>
      </c>
      <c r="H71" s="45" t="s">
        <v>345</v>
      </c>
      <c r="I71" s="45" t="s">
        <v>2980</v>
      </c>
      <c r="J71" s="45">
        <v>226763455</v>
      </c>
      <c r="K71" s="45" t="s">
        <v>1774</v>
      </c>
      <c r="L71" s="48">
        <v>20</v>
      </c>
      <c r="M71" s="49">
        <v>20241224545</v>
      </c>
      <c r="N71" s="50" t="s">
        <v>28</v>
      </c>
      <c r="O71" s="50"/>
      <c r="P71" s="50"/>
      <c r="Q71" s="51"/>
      <c r="R71" s="50"/>
      <c r="S71" s="50"/>
      <c r="T71" s="51"/>
      <c r="U71" s="50"/>
    </row>
    <row r="72" spans="1:21" x14ac:dyDescent="0.25">
      <c r="A72" s="45" t="s">
        <v>20</v>
      </c>
      <c r="B72" s="46">
        <v>45776</v>
      </c>
      <c r="C72" s="45" t="s">
        <v>168</v>
      </c>
      <c r="D72" s="47"/>
      <c r="E72" s="45" t="s">
        <v>208</v>
      </c>
      <c r="F72" s="45" t="s">
        <v>209</v>
      </c>
      <c r="G72" s="45" t="s">
        <v>1979</v>
      </c>
      <c r="H72" s="45" t="s">
        <v>345</v>
      </c>
      <c r="I72" s="45" t="s">
        <v>2980</v>
      </c>
      <c r="J72" s="45">
        <v>226763455</v>
      </c>
      <c r="K72" s="45" t="s">
        <v>1230</v>
      </c>
      <c r="L72" s="48">
        <v>20</v>
      </c>
      <c r="M72" s="49">
        <v>20241224546</v>
      </c>
      <c r="N72" s="50" t="s">
        <v>28</v>
      </c>
      <c r="O72" s="50"/>
      <c r="P72" s="50"/>
      <c r="Q72" s="51"/>
      <c r="R72" s="50"/>
      <c r="S72" s="50"/>
      <c r="T72" s="51"/>
      <c r="U72" s="50"/>
    </row>
    <row r="73" spans="1:21" x14ac:dyDescent="0.25">
      <c r="A73" s="45" t="s">
        <v>20</v>
      </c>
      <c r="B73" s="46">
        <v>45776</v>
      </c>
      <c r="C73" s="45" t="s">
        <v>168</v>
      </c>
      <c r="D73" s="47"/>
      <c r="E73" s="45" t="s">
        <v>208</v>
      </c>
      <c r="F73" s="45" t="s">
        <v>209</v>
      </c>
      <c r="G73" s="45" t="s">
        <v>1979</v>
      </c>
      <c r="H73" s="45" t="s">
        <v>345</v>
      </c>
      <c r="I73" s="45" t="s">
        <v>2980</v>
      </c>
      <c r="J73" s="45">
        <v>226763455</v>
      </c>
      <c r="K73" s="45" t="s">
        <v>1943</v>
      </c>
      <c r="L73" s="48">
        <v>40</v>
      </c>
      <c r="M73" s="49">
        <v>20241224548</v>
      </c>
      <c r="N73" s="50" t="s">
        <v>28</v>
      </c>
      <c r="O73" s="50"/>
      <c r="P73" s="50"/>
      <c r="Q73" s="51"/>
      <c r="R73" s="50"/>
      <c r="S73" s="50"/>
      <c r="T73" s="51"/>
      <c r="U73" s="50"/>
    </row>
    <row r="74" spans="1:21" x14ac:dyDescent="0.25">
      <c r="A74" s="45" t="s">
        <v>20</v>
      </c>
      <c r="B74" s="46">
        <v>45776</v>
      </c>
      <c r="C74" s="45" t="s">
        <v>168</v>
      </c>
      <c r="D74" s="47"/>
      <c r="E74" s="45" t="s">
        <v>208</v>
      </c>
      <c r="F74" s="45" t="s">
        <v>209</v>
      </c>
      <c r="G74" s="45" t="s">
        <v>1979</v>
      </c>
      <c r="H74" s="45" t="s">
        <v>345</v>
      </c>
      <c r="I74" s="45" t="s">
        <v>2980</v>
      </c>
      <c r="J74" s="45">
        <v>226763455</v>
      </c>
      <c r="K74" s="45" t="s">
        <v>1543</v>
      </c>
      <c r="L74" s="48">
        <v>59.96</v>
      </c>
      <c r="M74" s="49">
        <v>20241224490</v>
      </c>
      <c r="N74" s="50" t="s">
        <v>28</v>
      </c>
      <c r="O74" s="50"/>
      <c r="P74" s="50"/>
      <c r="Q74" s="51"/>
      <c r="R74" s="50"/>
      <c r="S74" s="50"/>
      <c r="T74" s="51"/>
      <c r="U74" s="50"/>
    </row>
    <row r="75" spans="1:21" x14ac:dyDescent="0.25">
      <c r="A75" s="45" t="s">
        <v>20</v>
      </c>
      <c r="B75" s="46">
        <v>45776</v>
      </c>
      <c r="C75" s="45" t="s">
        <v>168</v>
      </c>
      <c r="D75" s="47"/>
      <c r="E75" s="45" t="s">
        <v>208</v>
      </c>
      <c r="F75" s="45" t="s">
        <v>209</v>
      </c>
      <c r="G75" s="45" t="s">
        <v>202</v>
      </c>
      <c r="H75" s="45" t="s">
        <v>1330</v>
      </c>
      <c r="I75" s="45" t="s">
        <v>2981</v>
      </c>
      <c r="J75" s="45">
        <v>270800963</v>
      </c>
      <c r="K75" s="45" t="s">
        <v>2447</v>
      </c>
      <c r="L75" s="48">
        <v>116</v>
      </c>
      <c r="M75" s="49">
        <v>20241227835</v>
      </c>
      <c r="N75" s="50" t="s">
        <v>28</v>
      </c>
      <c r="O75" s="50"/>
      <c r="P75" s="50"/>
      <c r="Q75" s="51"/>
      <c r="R75" s="50"/>
      <c r="S75" s="50"/>
      <c r="T75" s="51"/>
      <c r="U75" s="50"/>
    </row>
    <row r="76" spans="1:21" x14ac:dyDescent="0.25">
      <c r="A76" s="45" t="s">
        <v>29</v>
      </c>
      <c r="B76" s="46">
        <v>45776</v>
      </c>
      <c r="C76" s="45" t="s">
        <v>168</v>
      </c>
      <c r="D76" s="47"/>
      <c r="E76" s="45" t="s">
        <v>208</v>
      </c>
      <c r="F76" s="45" t="s">
        <v>209</v>
      </c>
      <c r="G76" s="45" t="s">
        <v>202</v>
      </c>
      <c r="H76" s="45" t="s">
        <v>2828</v>
      </c>
      <c r="I76" s="45" t="s">
        <v>2982</v>
      </c>
      <c r="J76" s="45">
        <v>273822089</v>
      </c>
      <c r="K76" s="45" t="s">
        <v>83</v>
      </c>
      <c r="L76" s="48">
        <v>206</v>
      </c>
      <c r="M76" s="49">
        <v>20241227836</v>
      </c>
      <c r="N76" s="50" t="s">
        <v>28</v>
      </c>
      <c r="O76" s="50"/>
      <c r="P76" s="50"/>
      <c r="Q76" s="51"/>
      <c r="R76" s="50"/>
      <c r="S76" s="50"/>
      <c r="T76" s="51"/>
      <c r="U76" s="50"/>
    </row>
    <row r="77" spans="1:21" x14ac:dyDescent="0.25">
      <c r="A77" s="45" t="s">
        <v>29</v>
      </c>
      <c r="B77" s="46">
        <v>45776</v>
      </c>
      <c r="C77" s="45" t="s">
        <v>168</v>
      </c>
      <c r="D77" s="47"/>
      <c r="E77" s="45" t="s">
        <v>208</v>
      </c>
      <c r="F77" s="45" t="s">
        <v>209</v>
      </c>
      <c r="G77" s="45" t="s">
        <v>202</v>
      </c>
      <c r="H77" s="45" t="s">
        <v>2828</v>
      </c>
      <c r="I77" s="45" t="s">
        <v>2982</v>
      </c>
      <c r="J77" s="45">
        <v>273822089</v>
      </c>
      <c r="K77" s="45" t="s">
        <v>1907</v>
      </c>
      <c r="L77" s="48">
        <v>206</v>
      </c>
      <c r="M77" s="49">
        <v>20241227840</v>
      </c>
      <c r="N77" s="50" t="s">
        <v>28</v>
      </c>
      <c r="O77" s="50"/>
      <c r="P77" s="50"/>
      <c r="Q77" s="51"/>
      <c r="R77" s="50"/>
      <c r="S77" s="50"/>
      <c r="T77" s="51"/>
      <c r="U77" s="50"/>
    </row>
    <row r="78" spans="1:21" x14ac:dyDescent="0.25">
      <c r="A78" s="45" t="s">
        <v>233</v>
      </c>
      <c r="B78" s="46">
        <v>45778</v>
      </c>
      <c r="C78" s="45" t="s">
        <v>175</v>
      </c>
      <c r="D78" s="47" t="s">
        <v>352</v>
      </c>
      <c r="E78" s="45" t="s">
        <v>245</v>
      </c>
      <c r="F78" s="45" t="s">
        <v>246</v>
      </c>
      <c r="G78" s="45" t="s">
        <v>247</v>
      </c>
      <c r="H78" s="45" t="s">
        <v>2983</v>
      </c>
      <c r="I78" s="45" t="s">
        <v>2984</v>
      </c>
      <c r="J78" s="45">
        <v>494800934</v>
      </c>
      <c r="K78" s="45" t="s">
        <v>399</v>
      </c>
      <c r="L78" s="48">
        <v>148</v>
      </c>
      <c r="M78" s="49">
        <v>20241219779</v>
      </c>
      <c r="N78" s="50" t="s">
        <v>28</v>
      </c>
      <c r="O78" s="50"/>
      <c r="P78" s="50"/>
      <c r="Q78" s="51"/>
      <c r="R78" s="50"/>
      <c r="S78" s="50"/>
      <c r="T78" s="51"/>
      <c r="U78" s="50"/>
    </row>
    <row r="79" spans="1:21" x14ac:dyDescent="0.25">
      <c r="A79" s="45" t="s">
        <v>407</v>
      </c>
      <c r="B79" s="46">
        <v>45778</v>
      </c>
      <c r="C79" s="45" t="s">
        <v>175</v>
      </c>
      <c r="D79" s="47" t="s">
        <v>352</v>
      </c>
      <c r="E79" s="45" t="s">
        <v>245</v>
      </c>
      <c r="F79" s="45" t="s">
        <v>246</v>
      </c>
      <c r="G79" s="45" t="s">
        <v>2985</v>
      </c>
      <c r="H79" s="45" t="s">
        <v>556</v>
      </c>
      <c r="I79" s="45" t="s">
        <v>2986</v>
      </c>
      <c r="J79" s="45">
        <v>517173587</v>
      </c>
      <c r="K79" s="45" t="s">
        <v>2501</v>
      </c>
      <c r="L79" s="48">
        <v>2250</v>
      </c>
      <c r="M79" s="49">
        <v>202412231413</v>
      </c>
      <c r="N79" s="50" t="s">
        <v>28</v>
      </c>
      <c r="O79" s="50"/>
      <c r="P79" s="50"/>
      <c r="Q79" s="51"/>
      <c r="R79" s="50"/>
      <c r="S79" s="50"/>
      <c r="T79" s="51"/>
      <c r="U79" s="50"/>
    </row>
    <row r="80" spans="1:21" x14ac:dyDescent="0.25">
      <c r="A80" s="45" t="s">
        <v>1138</v>
      </c>
      <c r="B80" s="46">
        <v>45778</v>
      </c>
      <c r="C80" s="45" t="s">
        <v>175</v>
      </c>
      <c r="D80" s="47" t="s">
        <v>352</v>
      </c>
      <c r="E80" s="45" t="s">
        <v>245</v>
      </c>
      <c r="F80" s="45" t="s">
        <v>246</v>
      </c>
      <c r="G80" s="45" t="s">
        <v>2985</v>
      </c>
      <c r="H80" s="45" t="s">
        <v>556</v>
      </c>
      <c r="I80" s="45" t="s">
        <v>2986</v>
      </c>
      <c r="J80" s="45">
        <v>517173587</v>
      </c>
      <c r="K80" s="45" t="s">
        <v>2501</v>
      </c>
      <c r="L80" s="48">
        <v>2250</v>
      </c>
      <c r="M80" s="49">
        <v>202412231413</v>
      </c>
      <c r="N80" s="50" t="s">
        <v>28</v>
      </c>
      <c r="O80" s="50"/>
      <c r="P80" s="50"/>
      <c r="Q80" s="51"/>
      <c r="R80" s="50"/>
      <c r="S80" s="50"/>
      <c r="T80" s="51"/>
      <c r="U80" s="50"/>
    </row>
    <row r="81" spans="1:21" x14ac:dyDescent="0.25">
      <c r="A81" s="45" t="s">
        <v>407</v>
      </c>
      <c r="B81" s="46">
        <v>45778</v>
      </c>
      <c r="C81" s="45" t="s">
        <v>175</v>
      </c>
      <c r="D81" s="47" t="s">
        <v>352</v>
      </c>
      <c r="E81" s="45" t="s">
        <v>245</v>
      </c>
      <c r="F81" s="45" t="s">
        <v>246</v>
      </c>
      <c r="G81" s="45" t="s">
        <v>2987</v>
      </c>
      <c r="H81" s="45" t="s">
        <v>1393</v>
      </c>
      <c r="I81" s="45" t="s">
        <v>2988</v>
      </c>
      <c r="J81" s="45">
        <v>519177972</v>
      </c>
      <c r="K81" s="45" t="s">
        <v>2989</v>
      </c>
      <c r="L81" s="48">
        <v>2.5499999999999998</v>
      </c>
      <c r="M81" s="49">
        <v>20241224926</v>
      </c>
      <c r="N81" s="50" t="s">
        <v>28</v>
      </c>
      <c r="O81" s="50"/>
      <c r="P81" s="50"/>
      <c r="Q81" s="51"/>
      <c r="R81" s="50"/>
      <c r="S81" s="50"/>
      <c r="T81" s="51"/>
      <c r="U81" s="50"/>
    </row>
    <row r="82" spans="1:21" x14ac:dyDescent="0.25">
      <c r="A82" s="45" t="s">
        <v>407</v>
      </c>
      <c r="B82" s="46">
        <v>45778</v>
      </c>
      <c r="C82" s="45" t="s">
        <v>175</v>
      </c>
      <c r="D82" s="47" t="s">
        <v>352</v>
      </c>
      <c r="E82" s="45" t="s">
        <v>245</v>
      </c>
      <c r="F82" s="45" t="s">
        <v>246</v>
      </c>
      <c r="G82" s="45" t="s">
        <v>2987</v>
      </c>
      <c r="H82" s="45" t="s">
        <v>1393</v>
      </c>
      <c r="I82" s="45" t="s">
        <v>2988</v>
      </c>
      <c r="J82" s="45">
        <v>519177972</v>
      </c>
      <c r="K82" s="45" t="s">
        <v>384</v>
      </c>
      <c r="L82" s="48">
        <v>30</v>
      </c>
      <c r="M82" s="49">
        <v>20241224942</v>
      </c>
      <c r="N82" s="50" t="s">
        <v>28</v>
      </c>
      <c r="O82" s="50"/>
      <c r="P82" s="50"/>
      <c r="Q82" s="51"/>
      <c r="R82" s="50"/>
      <c r="S82" s="50"/>
      <c r="T82" s="51"/>
      <c r="U82" s="50"/>
    </row>
    <row r="83" spans="1:21" x14ac:dyDescent="0.25">
      <c r="A83" s="45" t="s">
        <v>407</v>
      </c>
      <c r="B83" s="46">
        <v>45778</v>
      </c>
      <c r="C83" s="45" t="s">
        <v>175</v>
      </c>
      <c r="D83" s="47" t="s">
        <v>352</v>
      </c>
      <c r="E83" s="45" t="s">
        <v>245</v>
      </c>
      <c r="F83" s="45" t="s">
        <v>246</v>
      </c>
      <c r="G83" s="45" t="s">
        <v>2987</v>
      </c>
      <c r="H83" s="45" t="s">
        <v>1393</v>
      </c>
      <c r="I83" s="45" t="s">
        <v>2988</v>
      </c>
      <c r="J83" s="45">
        <v>519177972</v>
      </c>
      <c r="K83" s="45" t="s">
        <v>384</v>
      </c>
      <c r="L83" s="48">
        <v>1.64</v>
      </c>
      <c r="M83" s="49">
        <v>20241224957</v>
      </c>
      <c r="N83" s="50" t="s">
        <v>28</v>
      </c>
      <c r="O83" s="50"/>
      <c r="P83" s="50"/>
      <c r="Q83" s="51"/>
      <c r="R83" s="50"/>
      <c r="S83" s="50"/>
      <c r="T83" s="51"/>
      <c r="U83" s="50"/>
    </row>
    <row r="84" spans="1:21" x14ac:dyDescent="0.25">
      <c r="A84" s="45" t="s">
        <v>1138</v>
      </c>
      <c r="B84" s="46">
        <v>45778</v>
      </c>
      <c r="C84" s="45" t="s">
        <v>175</v>
      </c>
      <c r="D84" s="47" t="s">
        <v>352</v>
      </c>
      <c r="E84" s="45" t="s">
        <v>245</v>
      </c>
      <c r="F84" s="45" t="s">
        <v>246</v>
      </c>
      <c r="G84" s="45" t="s">
        <v>2987</v>
      </c>
      <c r="H84" s="45" t="s">
        <v>1393</v>
      </c>
      <c r="I84" s="45" t="s">
        <v>2988</v>
      </c>
      <c r="J84" s="45">
        <v>519177972</v>
      </c>
      <c r="K84" s="45" t="s">
        <v>2989</v>
      </c>
      <c r="L84" s="48">
        <v>2.5499999999999998</v>
      </c>
      <c r="M84" s="49">
        <v>20241224926</v>
      </c>
      <c r="N84" s="50" t="s">
        <v>28</v>
      </c>
      <c r="O84" s="50"/>
      <c r="P84" s="50"/>
      <c r="Q84" s="51"/>
      <c r="R84" s="50"/>
      <c r="S84" s="50"/>
      <c r="T84" s="51"/>
      <c r="U84" s="50"/>
    </row>
    <row r="85" spans="1:21" x14ac:dyDescent="0.25">
      <c r="A85" s="45" t="s">
        <v>1138</v>
      </c>
      <c r="B85" s="46">
        <v>45778</v>
      </c>
      <c r="C85" s="45" t="s">
        <v>175</v>
      </c>
      <c r="D85" s="47" t="s">
        <v>352</v>
      </c>
      <c r="E85" s="45" t="s">
        <v>245</v>
      </c>
      <c r="F85" s="45" t="s">
        <v>246</v>
      </c>
      <c r="G85" s="45" t="s">
        <v>2987</v>
      </c>
      <c r="H85" s="45" t="s">
        <v>1393</v>
      </c>
      <c r="I85" s="45" t="s">
        <v>2988</v>
      </c>
      <c r="J85" s="45">
        <v>519177972</v>
      </c>
      <c r="K85" s="45" t="s">
        <v>384</v>
      </c>
      <c r="L85" s="48">
        <v>1.64</v>
      </c>
      <c r="M85" s="49">
        <v>20241224957</v>
      </c>
      <c r="N85" s="50" t="s">
        <v>28</v>
      </c>
      <c r="O85" s="50"/>
      <c r="P85" s="50"/>
      <c r="Q85" s="51"/>
      <c r="R85" s="50"/>
      <c r="S85" s="50"/>
      <c r="T85" s="51"/>
      <c r="U85" s="50"/>
    </row>
    <row r="86" spans="1:21" x14ac:dyDescent="0.25">
      <c r="A86" s="45" t="s">
        <v>1138</v>
      </c>
      <c r="B86" s="46">
        <v>45778</v>
      </c>
      <c r="C86" s="45" t="s">
        <v>175</v>
      </c>
      <c r="D86" s="47" t="s">
        <v>352</v>
      </c>
      <c r="E86" s="45" t="s">
        <v>245</v>
      </c>
      <c r="F86" s="45" t="s">
        <v>246</v>
      </c>
      <c r="G86" s="45" t="s">
        <v>2987</v>
      </c>
      <c r="H86" s="45" t="s">
        <v>1393</v>
      </c>
      <c r="I86" s="45" t="s">
        <v>2988</v>
      </c>
      <c r="J86" s="45">
        <v>519177972</v>
      </c>
      <c r="K86" s="45" t="s">
        <v>53</v>
      </c>
      <c r="L86" s="48">
        <v>1012.12</v>
      </c>
      <c r="M86" s="49">
        <v>20241224956</v>
      </c>
      <c r="N86" s="50" t="s">
        <v>28</v>
      </c>
      <c r="O86" s="50"/>
      <c r="P86" s="50"/>
      <c r="Q86" s="51"/>
      <c r="R86" s="50"/>
      <c r="S86" s="50"/>
      <c r="T86" s="51"/>
      <c r="U86" s="50"/>
    </row>
    <row r="87" spans="1:21" x14ac:dyDescent="0.25">
      <c r="A87" s="45" t="s">
        <v>1138</v>
      </c>
      <c r="B87" s="46">
        <v>45778</v>
      </c>
      <c r="C87" s="45" t="s">
        <v>175</v>
      </c>
      <c r="D87" s="47" t="s">
        <v>352</v>
      </c>
      <c r="E87" s="45" t="s">
        <v>245</v>
      </c>
      <c r="F87" s="45" t="s">
        <v>246</v>
      </c>
      <c r="G87" s="45" t="s">
        <v>2987</v>
      </c>
      <c r="H87" s="45" t="s">
        <v>1393</v>
      </c>
      <c r="I87" s="45" t="s">
        <v>2988</v>
      </c>
      <c r="J87" s="45">
        <v>519177972</v>
      </c>
      <c r="K87" s="45" t="s">
        <v>53</v>
      </c>
      <c r="L87" s="48">
        <v>299.33</v>
      </c>
      <c r="M87" s="49">
        <v>20241224938</v>
      </c>
      <c r="N87" s="50" t="s">
        <v>28</v>
      </c>
      <c r="O87" s="50"/>
      <c r="P87" s="50"/>
      <c r="Q87" s="51"/>
      <c r="R87" s="50"/>
      <c r="S87" s="50"/>
      <c r="T87" s="51"/>
      <c r="U87" s="50"/>
    </row>
    <row r="88" spans="1:21" x14ac:dyDescent="0.25">
      <c r="A88" s="45" t="s">
        <v>1138</v>
      </c>
      <c r="B88" s="46">
        <v>45778</v>
      </c>
      <c r="C88" s="45" t="s">
        <v>175</v>
      </c>
      <c r="D88" s="47" t="s">
        <v>352</v>
      </c>
      <c r="E88" s="45" t="s">
        <v>245</v>
      </c>
      <c r="F88" s="45" t="s">
        <v>246</v>
      </c>
      <c r="G88" s="45" t="s">
        <v>2987</v>
      </c>
      <c r="H88" s="45" t="s">
        <v>1393</v>
      </c>
      <c r="I88" s="45" t="s">
        <v>2988</v>
      </c>
      <c r="J88" s="45">
        <v>519177972</v>
      </c>
      <c r="K88" s="45" t="s">
        <v>384</v>
      </c>
      <c r="L88" s="48">
        <v>30</v>
      </c>
      <c r="M88" s="49">
        <v>20241224942</v>
      </c>
      <c r="N88" s="50" t="s">
        <v>28</v>
      </c>
      <c r="O88" s="50"/>
      <c r="P88" s="50"/>
      <c r="Q88" s="51"/>
      <c r="R88" s="50"/>
      <c r="S88" s="50"/>
      <c r="T88" s="51"/>
      <c r="U88" s="50"/>
    </row>
    <row r="89" spans="1:21" x14ac:dyDescent="0.25">
      <c r="A89" s="45" t="s">
        <v>1138</v>
      </c>
      <c r="B89" s="46">
        <v>45778</v>
      </c>
      <c r="C89" s="45" t="s">
        <v>175</v>
      </c>
      <c r="D89" s="47" t="s">
        <v>352</v>
      </c>
      <c r="E89" s="45" t="s">
        <v>245</v>
      </c>
      <c r="F89" s="45" t="s">
        <v>246</v>
      </c>
      <c r="G89" s="45" t="s">
        <v>2987</v>
      </c>
      <c r="H89" s="45" t="s">
        <v>1393</v>
      </c>
      <c r="I89" s="45" t="s">
        <v>2988</v>
      </c>
      <c r="J89" s="45">
        <v>519177972</v>
      </c>
      <c r="K89" s="45" t="s">
        <v>1491</v>
      </c>
      <c r="L89" s="48">
        <v>1256.6500000000001</v>
      </c>
      <c r="M89" s="49">
        <v>20241224935</v>
      </c>
      <c r="N89" s="50" t="s">
        <v>28</v>
      </c>
      <c r="O89" s="50"/>
      <c r="P89" s="50"/>
      <c r="Q89" s="51"/>
      <c r="R89" s="50"/>
      <c r="S89" s="50"/>
      <c r="T89" s="51"/>
      <c r="U89" s="50"/>
    </row>
    <row r="90" spans="1:21" x14ac:dyDescent="0.25">
      <c r="A90" s="45" t="s">
        <v>407</v>
      </c>
      <c r="B90" s="46">
        <v>45778</v>
      </c>
      <c r="C90" s="45" t="s">
        <v>175</v>
      </c>
      <c r="D90" s="47" t="s">
        <v>352</v>
      </c>
      <c r="E90" s="45" t="s">
        <v>245</v>
      </c>
      <c r="F90" s="45" t="s">
        <v>246</v>
      </c>
      <c r="G90" s="45" t="s">
        <v>2987</v>
      </c>
      <c r="H90" s="45" t="s">
        <v>1393</v>
      </c>
      <c r="I90" s="45" t="s">
        <v>2988</v>
      </c>
      <c r="J90" s="45">
        <v>519177972</v>
      </c>
      <c r="K90" s="45" t="s">
        <v>53</v>
      </c>
      <c r="L90" s="48">
        <v>1012.12</v>
      </c>
      <c r="M90" s="49">
        <v>20241224956</v>
      </c>
      <c r="N90" s="50" t="s">
        <v>28</v>
      </c>
      <c r="O90" s="50"/>
      <c r="P90" s="50"/>
      <c r="Q90" s="51"/>
      <c r="R90" s="50"/>
      <c r="S90" s="50"/>
      <c r="T90" s="51"/>
      <c r="U90" s="50"/>
    </row>
    <row r="91" spans="1:21" x14ac:dyDescent="0.25">
      <c r="A91" s="45" t="s">
        <v>407</v>
      </c>
      <c r="B91" s="46">
        <v>45778</v>
      </c>
      <c r="C91" s="45" t="s">
        <v>175</v>
      </c>
      <c r="D91" s="47" t="s">
        <v>352</v>
      </c>
      <c r="E91" s="45" t="s">
        <v>245</v>
      </c>
      <c r="F91" s="45" t="s">
        <v>246</v>
      </c>
      <c r="G91" s="45" t="s">
        <v>2511</v>
      </c>
      <c r="H91" s="45" t="s">
        <v>2990</v>
      </c>
      <c r="I91" s="45" t="s">
        <v>1034</v>
      </c>
      <c r="J91" s="45">
        <v>519330857</v>
      </c>
      <c r="K91" s="45" t="s">
        <v>1540</v>
      </c>
      <c r="L91" s="48">
        <v>2443.0500000000002</v>
      </c>
      <c r="M91" s="49">
        <v>202412271174</v>
      </c>
      <c r="N91" s="50" t="s">
        <v>28</v>
      </c>
      <c r="O91" s="50"/>
      <c r="P91" s="50"/>
      <c r="Q91" s="51"/>
      <c r="R91" s="50"/>
      <c r="S91" s="50"/>
      <c r="T91" s="51"/>
      <c r="U91" s="50"/>
    </row>
    <row r="92" spans="1:21" x14ac:dyDescent="0.25">
      <c r="A92" s="45" t="s">
        <v>1138</v>
      </c>
      <c r="B92" s="46">
        <v>45778</v>
      </c>
      <c r="C92" s="45" t="s">
        <v>175</v>
      </c>
      <c r="D92" s="47" t="s">
        <v>352</v>
      </c>
      <c r="E92" s="45" t="s">
        <v>245</v>
      </c>
      <c r="F92" s="45" t="s">
        <v>246</v>
      </c>
      <c r="G92" s="45" t="s">
        <v>2511</v>
      </c>
      <c r="H92" s="45" t="s">
        <v>2990</v>
      </c>
      <c r="I92" s="45" t="s">
        <v>1034</v>
      </c>
      <c r="J92" s="45">
        <v>519330857</v>
      </c>
      <c r="K92" s="45" t="s">
        <v>1540</v>
      </c>
      <c r="L92" s="48">
        <v>2443.0500000000002</v>
      </c>
      <c r="M92" s="49">
        <v>202412271174</v>
      </c>
      <c r="N92" s="50" t="s">
        <v>28</v>
      </c>
      <c r="O92" s="50"/>
      <c r="P92" s="50"/>
      <c r="Q92" s="51"/>
      <c r="R92" s="50"/>
      <c r="S92" s="50"/>
      <c r="T92" s="51"/>
      <c r="U92" s="50"/>
    </row>
    <row r="93" spans="1:21" x14ac:dyDescent="0.25">
      <c r="A93" s="45" t="s">
        <v>20</v>
      </c>
      <c r="B93" s="46">
        <v>45776</v>
      </c>
      <c r="C93" s="45" t="s">
        <v>168</v>
      </c>
      <c r="D93" s="47" t="s">
        <v>352</v>
      </c>
      <c r="E93" s="45" t="s">
        <v>277</v>
      </c>
      <c r="F93" s="45" t="s">
        <v>278</v>
      </c>
      <c r="G93" s="45" t="s">
        <v>1212</v>
      </c>
      <c r="H93" s="45" t="s">
        <v>2991</v>
      </c>
      <c r="I93" s="45" t="s">
        <v>2992</v>
      </c>
      <c r="J93" s="45">
        <v>451298638</v>
      </c>
      <c r="K93" s="45" t="s">
        <v>2830</v>
      </c>
      <c r="L93" s="48">
        <v>1128.47</v>
      </c>
      <c r="M93" s="49">
        <v>20241226378</v>
      </c>
      <c r="N93" s="50" t="s">
        <v>28</v>
      </c>
      <c r="O93" s="50"/>
      <c r="P93" s="50"/>
      <c r="Q93" s="51"/>
      <c r="R93" s="50"/>
      <c r="S93" s="50"/>
      <c r="T93" s="51"/>
      <c r="U93" s="50"/>
    </row>
    <row r="94" spans="1:21" x14ac:dyDescent="0.25">
      <c r="A94" s="45" t="s">
        <v>20</v>
      </c>
      <c r="B94" s="46">
        <v>45776</v>
      </c>
      <c r="C94" s="45" t="s">
        <v>168</v>
      </c>
      <c r="D94" s="47" t="s">
        <v>352</v>
      </c>
      <c r="E94" s="45" t="s">
        <v>277</v>
      </c>
      <c r="F94" s="45" t="s">
        <v>278</v>
      </c>
      <c r="G94" s="45" t="s">
        <v>171</v>
      </c>
      <c r="H94" s="45" t="s">
        <v>2993</v>
      </c>
      <c r="I94" s="45" t="s">
        <v>2994</v>
      </c>
      <c r="J94" s="45">
        <v>451891334</v>
      </c>
      <c r="K94" s="45" t="s">
        <v>2255</v>
      </c>
      <c r="L94" s="48">
        <v>174</v>
      </c>
      <c r="M94" s="49">
        <v>20241209328</v>
      </c>
      <c r="N94" s="50" t="s">
        <v>28</v>
      </c>
      <c r="O94" s="50"/>
      <c r="P94" s="50"/>
      <c r="Q94" s="51"/>
      <c r="R94" s="50"/>
      <c r="S94" s="50"/>
      <c r="T94" s="51"/>
      <c r="U94" s="50"/>
    </row>
    <row r="95" spans="1:21" x14ac:dyDescent="0.25">
      <c r="A95" s="45" t="s">
        <v>20</v>
      </c>
      <c r="B95" s="46">
        <v>45776</v>
      </c>
      <c r="C95" s="45" t="s">
        <v>168</v>
      </c>
      <c r="D95" s="47" t="s">
        <v>352</v>
      </c>
      <c r="E95" s="45" t="s">
        <v>277</v>
      </c>
      <c r="F95" s="45" t="s">
        <v>278</v>
      </c>
      <c r="G95" s="45" t="s">
        <v>2995</v>
      </c>
      <c r="H95" s="45" t="s">
        <v>1970</v>
      </c>
      <c r="I95" s="45" t="s">
        <v>2996</v>
      </c>
      <c r="J95" s="45">
        <v>453271260</v>
      </c>
      <c r="K95" s="45" t="s">
        <v>1371</v>
      </c>
      <c r="L95" s="48">
        <v>24.99</v>
      </c>
      <c r="M95" s="49">
        <v>20241227710</v>
      </c>
      <c r="N95" s="50" t="s">
        <v>28</v>
      </c>
      <c r="O95" s="50"/>
      <c r="P95" s="50"/>
      <c r="Q95" s="51"/>
      <c r="R95" s="50"/>
      <c r="S95" s="50"/>
      <c r="T95" s="51"/>
      <c r="U95" s="50"/>
    </row>
    <row r="96" spans="1:21" x14ac:dyDescent="0.25">
      <c r="A96" s="45" t="s">
        <v>20</v>
      </c>
      <c r="B96" s="46">
        <v>45776</v>
      </c>
      <c r="C96" s="45" t="s">
        <v>168</v>
      </c>
      <c r="D96" s="47" t="s">
        <v>352</v>
      </c>
      <c r="E96" s="45" t="s">
        <v>277</v>
      </c>
      <c r="F96" s="45" t="s">
        <v>278</v>
      </c>
      <c r="G96" s="45" t="s">
        <v>2995</v>
      </c>
      <c r="H96" s="45" t="s">
        <v>1970</v>
      </c>
      <c r="I96" s="45" t="s">
        <v>2996</v>
      </c>
      <c r="J96" s="45">
        <v>453271260</v>
      </c>
      <c r="K96" s="45" t="s">
        <v>1853</v>
      </c>
      <c r="L96" s="48">
        <v>24.99</v>
      </c>
      <c r="M96" s="49">
        <v>20241227706</v>
      </c>
      <c r="N96" s="50" t="s">
        <v>28</v>
      </c>
      <c r="O96" s="50"/>
      <c r="P96" s="50"/>
      <c r="Q96" s="51"/>
      <c r="R96" s="50"/>
      <c r="S96" s="50"/>
      <c r="T96" s="51"/>
      <c r="U96" s="50"/>
    </row>
    <row r="97" spans="1:21" ht="30" x14ac:dyDescent="0.25">
      <c r="A97" s="45" t="s">
        <v>20</v>
      </c>
      <c r="B97" s="46">
        <v>45777</v>
      </c>
      <c r="C97" s="45" t="s">
        <v>168</v>
      </c>
      <c r="D97" s="47" t="s">
        <v>34</v>
      </c>
      <c r="E97" s="45" t="s">
        <v>277</v>
      </c>
      <c r="F97" s="45" t="s">
        <v>278</v>
      </c>
      <c r="G97" s="45" t="s">
        <v>2995</v>
      </c>
      <c r="H97" s="45" t="s">
        <v>1970</v>
      </c>
      <c r="I97" s="45" t="s">
        <v>2996</v>
      </c>
      <c r="J97" s="45">
        <v>453271260</v>
      </c>
      <c r="K97" s="45" t="s">
        <v>1358</v>
      </c>
      <c r="L97" s="48">
        <v>30</v>
      </c>
      <c r="M97" s="79">
        <v>20241227745</v>
      </c>
      <c r="N97" s="50"/>
      <c r="O97" s="50" t="s">
        <v>124</v>
      </c>
      <c r="P97" s="50"/>
      <c r="Q97" s="51" t="s">
        <v>2997</v>
      </c>
      <c r="R97" s="50"/>
      <c r="S97" s="50"/>
      <c r="T97" s="51"/>
      <c r="U97" s="50"/>
    </row>
    <row r="98" spans="1:21" ht="30" x14ac:dyDescent="0.25">
      <c r="A98" s="45" t="s">
        <v>20</v>
      </c>
      <c r="B98" s="80">
        <v>45777</v>
      </c>
      <c r="C98" s="45" t="s">
        <v>352</v>
      </c>
      <c r="D98" s="47" t="s">
        <v>34</v>
      </c>
      <c r="E98" s="45" t="s">
        <v>277</v>
      </c>
      <c r="F98" s="45" t="s">
        <v>278</v>
      </c>
      <c r="G98" s="45" t="s">
        <v>2995</v>
      </c>
      <c r="H98" s="45" t="s">
        <v>1970</v>
      </c>
      <c r="I98" s="45" t="s">
        <v>2996</v>
      </c>
      <c r="J98" s="45">
        <v>453271260</v>
      </c>
      <c r="K98" s="45" t="s">
        <v>2597</v>
      </c>
      <c r="L98" s="48">
        <v>30</v>
      </c>
      <c r="M98" s="79">
        <v>20241227746</v>
      </c>
      <c r="N98" s="50"/>
      <c r="O98" s="50" t="s">
        <v>124</v>
      </c>
      <c r="P98" s="50"/>
      <c r="Q98" s="51" t="s">
        <v>2997</v>
      </c>
      <c r="R98" s="50"/>
      <c r="S98" s="50"/>
      <c r="T98" s="51"/>
      <c r="U98" s="50"/>
    </row>
    <row r="99" spans="1:21" ht="30" x14ac:dyDescent="0.25">
      <c r="A99" s="45" t="s">
        <v>20</v>
      </c>
      <c r="B99" s="46">
        <v>45777</v>
      </c>
      <c r="C99" s="45" t="s">
        <v>352</v>
      </c>
      <c r="D99" s="47" t="s">
        <v>34</v>
      </c>
      <c r="E99" s="45" t="s">
        <v>277</v>
      </c>
      <c r="F99" s="45" t="s">
        <v>278</v>
      </c>
      <c r="G99" s="45" t="s">
        <v>2995</v>
      </c>
      <c r="H99" s="45" t="s">
        <v>1970</v>
      </c>
      <c r="I99" s="45" t="s">
        <v>2996</v>
      </c>
      <c r="J99" s="45">
        <v>453271260</v>
      </c>
      <c r="K99" s="45" t="s">
        <v>1908</v>
      </c>
      <c r="L99" s="48">
        <v>40</v>
      </c>
      <c r="M99" s="79">
        <v>20241227747</v>
      </c>
      <c r="N99" s="50"/>
      <c r="O99" s="50" t="s">
        <v>124</v>
      </c>
      <c r="P99" s="50"/>
      <c r="Q99" s="51" t="s">
        <v>2997</v>
      </c>
      <c r="R99" s="50"/>
      <c r="S99" s="50"/>
      <c r="T99" s="51"/>
      <c r="U99" s="50"/>
    </row>
    <row r="100" spans="1:21" ht="30" x14ac:dyDescent="0.25">
      <c r="A100" s="45" t="s">
        <v>20</v>
      </c>
      <c r="B100" s="80">
        <v>45777</v>
      </c>
      <c r="C100" s="45" t="s">
        <v>352</v>
      </c>
      <c r="D100" s="47" t="s">
        <v>34</v>
      </c>
      <c r="E100" s="45" t="s">
        <v>277</v>
      </c>
      <c r="F100" s="45" t="s">
        <v>278</v>
      </c>
      <c r="G100" s="45" t="s">
        <v>2995</v>
      </c>
      <c r="H100" s="45" t="s">
        <v>1970</v>
      </c>
      <c r="I100" s="45" t="s">
        <v>2996</v>
      </c>
      <c r="J100" s="45">
        <v>453271260</v>
      </c>
      <c r="K100" s="45" t="s">
        <v>1990</v>
      </c>
      <c r="L100" s="48">
        <v>40</v>
      </c>
      <c r="M100" s="79">
        <v>20241227747</v>
      </c>
      <c r="N100" s="50"/>
      <c r="O100" s="50" t="s">
        <v>124</v>
      </c>
      <c r="P100" s="50"/>
      <c r="Q100" s="51" t="s">
        <v>2997</v>
      </c>
      <c r="R100" s="50"/>
      <c r="S100" s="50"/>
      <c r="T100" s="51"/>
      <c r="U100" s="50"/>
    </row>
    <row r="101" spans="1:21" ht="30" x14ac:dyDescent="0.25">
      <c r="A101" s="45" t="s">
        <v>20</v>
      </c>
      <c r="B101" s="46">
        <v>45777</v>
      </c>
      <c r="C101" s="45" t="s">
        <v>352</v>
      </c>
      <c r="D101" s="47" t="s">
        <v>34</v>
      </c>
      <c r="E101" s="45" t="s">
        <v>277</v>
      </c>
      <c r="F101" s="45" t="s">
        <v>278</v>
      </c>
      <c r="G101" s="45" t="s">
        <v>2995</v>
      </c>
      <c r="H101" s="45" t="s">
        <v>1970</v>
      </c>
      <c r="I101" s="45" t="s">
        <v>2996</v>
      </c>
      <c r="J101" s="45">
        <v>453271260</v>
      </c>
      <c r="K101" s="45" t="s">
        <v>301</v>
      </c>
      <c r="L101" s="48">
        <v>24.99</v>
      </c>
      <c r="M101" s="79">
        <v>20241227747</v>
      </c>
      <c r="N101" s="50"/>
      <c r="O101" s="50" t="s">
        <v>124</v>
      </c>
      <c r="P101" s="50"/>
      <c r="Q101" s="51" t="s">
        <v>2997</v>
      </c>
      <c r="R101" s="50"/>
      <c r="S101" s="50"/>
      <c r="T101" s="51"/>
      <c r="U101" s="50"/>
    </row>
    <row r="102" spans="1:21" ht="30" x14ac:dyDescent="0.25">
      <c r="A102" s="45" t="s">
        <v>20</v>
      </c>
      <c r="B102" s="80">
        <v>45777</v>
      </c>
      <c r="C102" s="45" t="s">
        <v>352</v>
      </c>
      <c r="D102" s="47" t="s">
        <v>34</v>
      </c>
      <c r="E102" s="45" t="s">
        <v>277</v>
      </c>
      <c r="F102" s="45" t="s">
        <v>278</v>
      </c>
      <c r="G102" s="45" t="s">
        <v>2995</v>
      </c>
      <c r="H102" s="45" t="s">
        <v>1970</v>
      </c>
      <c r="I102" s="45" t="s">
        <v>2996</v>
      </c>
      <c r="J102" s="45">
        <v>453271260</v>
      </c>
      <c r="K102" s="45" t="s">
        <v>1179</v>
      </c>
      <c r="L102" s="48">
        <v>27.95</v>
      </c>
      <c r="M102" s="79">
        <v>20241227747</v>
      </c>
      <c r="N102" s="50"/>
      <c r="O102" s="50" t="s">
        <v>124</v>
      </c>
      <c r="P102" s="50"/>
      <c r="Q102" s="51" t="s">
        <v>2997</v>
      </c>
      <c r="R102" s="50"/>
      <c r="S102" s="50"/>
      <c r="T102" s="51"/>
      <c r="U102" s="50"/>
    </row>
    <row r="103" spans="1:21" ht="30" x14ac:dyDescent="0.25">
      <c r="A103" s="45" t="s">
        <v>20</v>
      </c>
      <c r="B103" s="46">
        <v>45777</v>
      </c>
      <c r="C103" s="45" t="s">
        <v>352</v>
      </c>
      <c r="D103" s="47" t="s">
        <v>34</v>
      </c>
      <c r="E103" s="45" t="s">
        <v>277</v>
      </c>
      <c r="F103" s="45" t="s">
        <v>278</v>
      </c>
      <c r="G103" s="45" t="s">
        <v>2995</v>
      </c>
      <c r="H103" s="45" t="s">
        <v>1970</v>
      </c>
      <c r="I103" s="45" t="s">
        <v>2996</v>
      </c>
      <c r="J103" s="45">
        <v>453271260</v>
      </c>
      <c r="K103" s="45" t="s">
        <v>891</v>
      </c>
      <c r="L103" s="48">
        <v>24.99</v>
      </c>
      <c r="M103" s="79">
        <v>20241227747</v>
      </c>
      <c r="N103" s="50"/>
      <c r="O103" s="50" t="s">
        <v>124</v>
      </c>
      <c r="P103" s="50"/>
      <c r="Q103" s="51" t="s">
        <v>2997</v>
      </c>
      <c r="R103" s="50"/>
      <c r="S103" s="50"/>
      <c r="T103" s="51"/>
      <c r="U103" s="50"/>
    </row>
    <row r="104" spans="1:21" ht="30" x14ac:dyDescent="0.25">
      <c r="A104" s="45" t="s">
        <v>20</v>
      </c>
      <c r="B104" s="80">
        <v>45777</v>
      </c>
      <c r="C104" s="45" t="s">
        <v>352</v>
      </c>
      <c r="D104" s="47" t="s">
        <v>34</v>
      </c>
      <c r="E104" s="45" t="s">
        <v>277</v>
      </c>
      <c r="F104" s="45" t="s">
        <v>278</v>
      </c>
      <c r="G104" s="45" t="s">
        <v>2995</v>
      </c>
      <c r="H104" s="45" t="s">
        <v>1970</v>
      </c>
      <c r="I104" s="45" t="s">
        <v>2996</v>
      </c>
      <c r="J104" s="45">
        <v>453271260</v>
      </c>
      <c r="K104" s="45" t="s">
        <v>1005</v>
      </c>
      <c r="L104" s="48">
        <v>24.99</v>
      </c>
      <c r="M104" s="79">
        <v>20241227747</v>
      </c>
      <c r="N104" s="50"/>
      <c r="O104" s="50" t="s">
        <v>124</v>
      </c>
      <c r="P104" s="50"/>
      <c r="Q104" s="51" t="s">
        <v>2997</v>
      </c>
      <c r="R104" s="50"/>
      <c r="S104" s="50"/>
      <c r="T104" s="51"/>
      <c r="U104" s="50"/>
    </row>
    <row r="105" spans="1:21" ht="30" x14ac:dyDescent="0.25">
      <c r="A105" s="45" t="s">
        <v>20</v>
      </c>
      <c r="B105" s="46">
        <v>45777</v>
      </c>
      <c r="C105" s="45" t="s">
        <v>352</v>
      </c>
      <c r="D105" s="47" t="s">
        <v>34</v>
      </c>
      <c r="E105" s="45" t="s">
        <v>277</v>
      </c>
      <c r="F105" s="45" t="s">
        <v>278</v>
      </c>
      <c r="G105" s="45" t="s">
        <v>2995</v>
      </c>
      <c r="H105" s="45" t="s">
        <v>1970</v>
      </c>
      <c r="I105" s="45" t="s">
        <v>2996</v>
      </c>
      <c r="J105" s="45">
        <v>453271260</v>
      </c>
      <c r="K105" s="45" t="s">
        <v>2321</v>
      </c>
      <c r="L105" s="48">
        <v>24.99</v>
      </c>
      <c r="M105" s="79">
        <v>20241227747</v>
      </c>
      <c r="N105" s="50"/>
      <c r="O105" s="50" t="s">
        <v>124</v>
      </c>
      <c r="P105" s="50"/>
      <c r="Q105" s="51" t="s">
        <v>2997</v>
      </c>
      <c r="R105" s="50"/>
      <c r="S105" s="50"/>
      <c r="T105" s="51"/>
      <c r="U105" s="50"/>
    </row>
    <row r="106" spans="1:21" ht="30" x14ac:dyDescent="0.25">
      <c r="A106" s="45" t="s">
        <v>20</v>
      </c>
      <c r="B106" s="80">
        <v>45777</v>
      </c>
      <c r="C106" s="45" t="s">
        <v>352</v>
      </c>
      <c r="D106" s="47" t="s">
        <v>34</v>
      </c>
      <c r="E106" s="45" t="s">
        <v>277</v>
      </c>
      <c r="F106" s="45" t="s">
        <v>278</v>
      </c>
      <c r="G106" s="45" t="s">
        <v>2995</v>
      </c>
      <c r="H106" s="45" t="s">
        <v>1970</v>
      </c>
      <c r="I106" s="45" t="s">
        <v>2996</v>
      </c>
      <c r="J106" s="45">
        <v>453271260</v>
      </c>
      <c r="K106" s="45" t="s">
        <v>1734</v>
      </c>
      <c r="L106" s="48">
        <v>10</v>
      </c>
      <c r="M106" s="79">
        <v>20241227747</v>
      </c>
      <c r="N106" s="50"/>
      <c r="O106" s="50" t="s">
        <v>124</v>
      </c>
      <c r="P106" s="50"/>
      <c r="Q106" s="51" t="s">
        <v>2997</v>
      </c>
      <c r="R106" s="50"/>
      <c r="S106" s="50"/>
      <c r="T106" s="51"/>
      <c r="U106" s="50"/>
    </row>
    <row r="107" spans="1:21" ht="30" x14ac:dyDescent="0.25">
      <c r="A107" s="45" t="s">
        <v>20</v>
      </c>
      <c r="B107" s="46">
        <v>45777</v>
      </c>
      <c r="C107" s="45" t="s">
        <v>352</v>
      </c>
      <c r="D107" s="47" t="s">
        <v>34</v>
      </c>
      <c r="E107" s="45" t="s">
        <v>277</v>
      </c>
      <c r="F107" s="45" t="s">
        <v>278</v>
      </c>
      <c r="G107" s="45" t="s">
        <v>2995</v>
      </c>
      <c r="H107" s="45" t="s">
        <v>1970</v>
      </c>
      <c r="I107" s="45" t="s">
        <v>2996</v>
      </c>
      <c r="J107" s="45">
        <v>453271260</v>
      </c>
      <c r="K107" s="45" t="s">
        <v>2849</v>
      </c>
      <c r="L107" s="48">
        <v>10</v>
      </c>
      <c r="M107" s="79">
        <v>20241227747</v>
      </c>
      <c r="N107" s="50"/>
      <c r="O107" s="50" t="s">
        <v>124</v>
      </c>
      <c r="P107" s="50"/>
      <c r="Q107" s="51" t="s">
        <v>2997</v>
      </c>
      <c r="R107" s="50"/>
      <c r="S107" s="50"/>
      <c r="T107" s="51"/>
      <c r="U107" s="50"/>
    </row>
    <row r="108" spans="1:21" x14ac:dyDescent="0.25">
      <c r="A108" s="45" t="s">
        <v>324</v>
      </c>
      <c r="B108" s="80">
        <v>45778</v>
      </c>
      <c r="C108" s="45" t="s">
        <v>352</v>
      </c>
      <c r="D108" s="47" t="s">
        <v>34</v>
      </c>
      <c r="E108" s="45" t="s">
        <v>616</v>
      </c>
      <c r="F108" s="45" t="s">
        <v>617</v>
      </c>
      <c r="G108" s="45" t="s">
        <v>1489</v>
      </c>
      <c r="H108" s="45" t="s">
        <v>1490</v>
      </c>
      <c r="I108" s="45" t="s">
        <v>779</v>
      </c>
      <c r="J108" s="45">
        <v>570045212</v>
      </c>
      <c r="K108" s="45" t="s">
        <v>318</v>
      </c>
      <c r="L108" s="48">
        <v>1435.64</v>
      </c>
      <c r="M108" s="49">
        <v>20241216235</v>
      </c>
      <c r="N108" s="50" t="s">
        <v>28</v>
      </c>
      <c r="O108" s="50"/>
      <c r="P108" s="50"/>
      <c r="Q108" s="51"/>
      <c r="R108" s="50"/>
      <c r="S108" s="50"/>
      <c r="T108" s="51"/>
      <c r="U108" s="50"/>
    </row>
    <row r="109" spans="1:21" x14ac:dyDescent="0.25">
      <c r="A109" s="45" t="s">
        <v>20</v>
      </c>
      <c r="B109" s="46">
        <v>45777</v>
      </c>
      <c r="C109" s="45" t="s">
        <v>352</v>
      </c>
      <c r="D109" s="47" t="s">
        <v>168</v>
      </c>
      <c r="E109" s="45" t="s">
        <v>296</v>
      </c>
      <c r="F109" s="45" t="s">
        <v>297</v>
      </c>
      <c r="G109" s="45" t="s">
        <v>2547</v>
      </c>
      <c r="H109" s="45" t="s">
        <v>2581</v>
      </c>
      <c r="I109" s="45" t="s">
        <v>2998</v>
      </c>
      <c r="J109" s="45">
        <v>607404266</v>
      </c>
      <c r="K109" s="45" t="s">
        <v>2079</v>
      </c>
      <c r="L109" s="48">
        <v>5.22</v>
      </c>
      <c r="M109" s="79">
        <v>20241224378</v>
      </c>
      <c r="N109" s="50" t="s">
        <v>28</v>
      </c>
      <c r="O109" s="50"/>
      <c r="P109" s="50"/>
      <c r="Q109" s="51"/>
      <c r="R109" s="50"/>
      <c r="S109" s="50"/>
      <c r="T109" s="51"/>
      <c r="U109" s="50"/>
    </row>
    <row r="110" spans="1:21" x14ac:dyDescent="0.25">
      <c r="A110" s="45" t="s">
        <v>20</v>
      </c>
      <c r="B110" s="80">
        <v>45777</v>
      </c>
      <c r="C110" s="45" t="s">
        <v>352</v>
      </c>
      <c r="D110" s="47" t="s">
        <v>168</v>
      </c>
      <c r="E110" s="45" t="s">
        <v>296</v>
      </c>
      <c r="F110" s="45" t="s">
        <v>297</v>
      </c>
      <c r="G110" s="45" t="s">
        <v>2547</v>
      </c>
      <c r="H110" s="45" t="s">
        <v>2581</v>
      </c>
      <c r="I110" s="45" t="s">
        <v>2998</v>
      </c>
      <c r="J110" s="45">
        <v>607404266</v>
      </c>
      <c r="K110" s="45" t="s">
        <v>2999</v>
      </c>
      <c r="L110" s="48">
        <v>25.79</v>
      </c>
      <c r="M110" s="49">
        <v>20241224382</v>
      </c>
      <c r="N110" s="50" t="s">
        <v>28</v>
      </c>
      <c r="O110" s="50"/>
      <c r="P110" s="50"/>
      <c r="Q110" s="51"/>
      <c r="R110" s="50"/>
      <c r="S110" s="50"/>
      <c r="T110" s="51"/>
      <c r="U110" s="50"/>
    </row>
    <row r="111" spans="1:21" x14ac:dyDescent="0.25">
      <c r="A111" s="45" t="s">
        <v>20</v>
      </c>
      <c r="B111" s="80">
        <v>45777</v>
      </c>
      <c r="C111" s="45" t="s">
        <v>352</v>
      </c>
      <c r="D111" s="47" t="s">
        <v>168</v>
      </c>
      <c r="E111" s="45" t="s">
        <v>296</v>
      </c>
      <c r="F111" s="45" t="s">
        <v>297</v>
      </c>
      <c r="G111" s="45" t="s">
        <v>1646</v>
      </c>
      <c r="H111" s="45" t="s">
        <v>3000</v>
      </c>
      <c r="I111" s="45" t="s">
        <v>259</v>
      </c>
      <c r="J111" s="45">
        <v>607569858</v>
      </c>
      <c r="K111" s="45" t="s">
        <v>358</v>
      </c>
      <c r="L111" s="48">
        <v>200.3</v>
      </c>
      <c r="M111" s="49">
        <v>20241223669</v>
      </c>
      <c r="N111" s="50" t="s">
        <v>28</v>
      </c>
      <c r="O111" s="50"/>
      <c r="P111" s="50"/>
      <c r="Q111" s="51"/>
      <c r="R111" s="50"/>
      <c r="S111" s="50"/>
      <c r="T111" s="51"/>
      <c r="U111" s="50"/>
    </row>
    <row r="112" spans="1:21" x14ac:dyDescent="0.25">
      <c r="A112" s="45" t="s">
        <v>20</v>
      </c>
      <c r="B112" s="80">
        <v>45777</v>
      </c>
      <c r="C112" s="45" t="s">
        <v>352</v>
      </c>
      <c r="D112" s="47" t="s">
        <v>168</v>
      </c>
      <c r="E112" s="45" t="s">
        <v>296</v>
      </c>
      <c r="F112" s="45" t="s">
        <v>297</v>
      </c>
      <c r="G112" s="45" t="s">
        <v>2344</v>
      </c>
      <c r="H112" s="45" t="s">
        <v>3001</v>
      </c>
      <c r="I112" s="45" t="s">
        <v>3002</v>
      </c>
      <c r="J112" s="45">
        <v>607588097</v>
      </c>
      <c r="K112" s="45" t="s">
        <v>2424</v>
      </c>
      <c r="L112" s="48">
        <v>125</v>
      </c>
      <c r="M112" s="49">
        <v>20241223725</v>
      </c>
      <c r="N112" s="50" t="s">
        <v>28</v>
      </c>
      <c r="O112" s="50"/>
      <c r="P112" s="50"/>
      <c r="Q112" s="51"/>
      <c r="R112" s="50"/>
      <c r="S112" s="50"/>
      <c r="T112" s="51"/>
      <c r="U112" s="50"/>
    </row>
    <row r="113" spans="1:21" ht="30" x14ac:dyDescent="0.25">
      <c r="A113" s="45" t="s">
        <v>20</v>
      </c>
      <c r="B113" s="80">
        <v>45777</v>
      </c>
      <c r="C113" s="45" t="s">
        <v>352</v>
      </c>
      <c r="D113" s="47" t="s">
        <v>168</v>
      </c>
      <c r="E113" s="45" t="s">
        <v>296</v>
      </c>
      <c r="F113" s="45" t="s">
        <v>297</v>
      </c>
      <c r="G113" s="45" t="s">
        <v>2344</v>
      </c>
      <c r="H113" s="45" t="s">
        <v>3001</v>
      </c>
      <c r="I113" s="45" t="s">
        <v>3002</v>
      </c>
      <c r="J113" s="45">
        <v>607588097</v>
      </c>
      <c r="K113" s="45" t="s">
        <v>2008</v>
      </c>
      <c r="L113" s="48">
        <v>125</v>
      </c>
      <c r="M113" s="49">
        <v>20241223728</v>
      </c>
      <c r="N113" s="50"/>
      <c r="O113" s="50"/>
      <c r="P113" s="50" t="s">
        <v>304</v>
      </c>
      <c r="Q113" s="51" t="s">
        <v>3003</v>
      </c>
      <c r="R113" s="50"/>
      <c r="S113" s="50"/>
      <c r="T113" s="51"/>
      <c r="U113" s="50"/>
    </row>
    <row r="114" spans="1:21" ht="60" x14ac:dyDescent="0.25">
      <c r="A114" s="45" t="s">
        <v>20</v>
      </c>
      <c r="B114" s="80">
        <v>45777</v>
      </c>
      <c r="C114" s="45" t="s">
        <v>352</v>
      </c>
      <c r="D114" s="47" t="s">
        <v>168</v>
      </c>
      <c r="E114" s="45" t="s">
        <v>296</v>
      </c>
      <c r="F114" s="45" t="s">
        <v>297</v>
      </c>
      <c r="G114" s="45" t="s">
        <v>376</v>
      </c>
      <c r="H114" s="45" t="s">
        <v>2566</v>
      </c>
      <c r="I114" s="45" t="s">
        <v>3004</v>
      </c>
      <c r="J114" s="45">
        <v>607606331</v>
      </c>
      <c r="K114" s="45" t="s">
        <v>3005</v>
      </c>
      <c r="L114" s="48">
        <v>60</v>
      </c>
      <c r="M114" s="49">
        <v>20241223136</v>
      </c>
      <c r="N114" s="50" t="s">
        <v>28</v>
      </c>
      <c r="O114" s="50"/>
      <c r="P114" s="50"/>
      <c r="Q114" s="51" t="s">
        <v>3006</v>
      </c>
      <c r="R114" s="50"/>
      <c r="S114" s="50"/>
      <c r="T114" s="51"/>
      <c r="U114" s="50"/>
    </row>
    <row r="115" spans="1:21" x14ac:dyDescent="0.25">
      <c r="A115" s="45" t="s">
        <v>20</v>
      </c>
      <c r="B115" s="80">
        <v>45777</v>
      </c>
      <c r="C115" s="45" t="s">
        <v>352</v>
      </c>
      <c r="D115" s="47" t="s">
        <v>168</v>
      </c>
      <c r="E115" s="45" t="s">
        <v>296</v>
      </c>
      <c r="F115" s="45" t="s">
        <v>297</v>
      </c>
      <c r="G115" s="45" t="s">
        <v>376</v>
      </c>
      <c r="H115" s="45" t="s">
        <v>2566</v>
      </c>
      <c r="I115" s="45" t="s">
        <v>3004</v>
      </c>
      <c r="J115" s="45">
        <v>607606331</v>
      </c>
      <c r="K115" s="45" t="s">
        <v>1126</v>
      </c>
      <c r="L115" s="48">
        <v>35</v>
      </c>
      <c r="M115" s="49">
        <v>20241223161</v>
      </c>
      <c r="N115" s="50" t="s">
        <v>28</v>
      </c>
      <c r="O115" s="50"/>
      <c r="P115" s="50"/>
      <c r="Q115" s="51"/>
      <c r="R115" s="50"/>
      <c r="S115" s="50"/>
      <c r="T115" s="51"/>
      <c r="U115" s="50"/>
    </row>
    <row r="116" spans="1:21" x14ac:dyDescent="0.25">
      <c r="A116" s="45" t="s">
        <v>20</v>
      </c>
      <c r="B116" s="80">
        <v>45777</v>
      </c>
      <c r="C116" s="45" t="s">
        <v>352</v>
      </c>
      <c r="D116" s="47" t="s">
        <v>168</v>
      </c>
      <c r="E116" s="45" t="s">
        <v>296</v>
      </c>
      <c r="F116" s="45" t="s">
        <v>297</v>
      </c>
      <c r="G116" s="45" t="s">
        <v>376</v>
      </c>
      <c r="H116" s="45" t="s">
        <v>2566</v>
      </c>
      <c r="I116" s="45" t="s">
        <v>3004</v>
      </c>
      <c r="J116" s="45">
        <v>607606331</v>
      </c>
      <c r="K116" s="45" t="s">
        <v>406</v>
      </c>
      <c r="L116" s="48">
        <v>35</v>
      </c>
      <c r="M116" s="49">
        <v>20241223158</v>
      </c>
      <c r="N116" s="50" t="s">
        <v>28</v>
      </c>
      <c r="O116" s="50"/>
      <c r="P116" s="50"/>
      <c r="Q116" s="51"/>
      <c r="R116" s="50"/>
      <c r="S116" s="50"/>
      <c r="T116" s="51"/>
      <c r="U116" s="50"/>
    </row>
    <row r="117" spans="1:21" x14ac:dyDescent="0.25">
      <c r="A117" s="45" t="s">
        <v>20</v>
      </c>
      <c r="B117" s="80">
        <v>45777</v>
      </c>
      <c r="C117" s="45" t="s">
        <v>352</v>
      </c>
      <c r="D117" s="47" t="s">
        <v>168</v>
      </c>
      <c r="E117" s="45" t="s">
        <v>296</v>
      </c>
      <c r="F117" s="45" t="s">
        <v>297</v>
      </c>
      <c r="G117" s="45" t="s">
        <v>376</v>
      </c>
      <c r="H117" s="45" t="s">
        <v>2566</v>
      </c>
      <c r="I117" s="45" t="s">
        <v>3004</v>
      </c>
      <c r="J117" s="45">
        <v>607606331</v>
      </c>
      <c r="K117" s="45" t="s">
        <v>123</v>
      </c>
      <c r="L117" s="48">
        <v>35</v>
      </c>
      <c r="M117" s="49">
        <v>20241223164</v>
      </c>
      <c r="N117" s="50" t="s">
        <v>28</v>
      </c>
      <c r="O117" s="50"/>
      <c r="P117" s="50"/>
      <c r="Q117" s="51"/>
      <c r="R117" s="50"/>
      <c r="S117" s="50"/>
      <c r="T117" s="51"/>
      <c r="U117" s="50"/>
    </row>
    <row r="118" spans="1:21" x14ac:dyDescent="0.25">
      <c r="A118" s="45" t="s">
        <v>20</v>
      </c>
      <c r="B118" s="80">
        <v>45777</v>
      </c>
      <c r="C118" s="45" t="s">
        <v>352</v>
      </c>
      <c r="D118" s="47" t="s">
        <v>168</v>
      </c>
      <c r="E118" s="45" t="s">
        <v>296</v>
      </c>
      <c r="F118" s="45" t="s">
        <v>297</v>
      </c>
      <c r="G118" s="45" t="s">
        <v>376</v>
      </c>
      <c r="H118" s="45" t="s">
        <v>2566</v>
      </c>
      <c r="I118" s="45" t="s">
        <v>3004</v>
      </c>
      <c r="J118" s="45">
        <v>607606331</v>
      </c>
      <c r="K118" s="45" t="s">
        <v>1973</v>
      </c>
      <c r="L118" s="48">
        <v>60</v>
      </c>
      <c r="M118" s="49">
        <v>20241223155</v>
      </c>
      <c r="N118" s="50" t="s">
        <v>28</v>
      </c>
      <c r="O118" s="50"/>
      <c r="P118" s="50"/>
      <c r="Q118" s="51"/>
      <c r="R118" s="50"/>
      <c r="S118" s="50"/>
      <c r="T118" s="51"/>
      <c r="U118" s="50"/>
    </row>
    <row r="119" spans="1:21" x14ac:dyDescent="0.25">
      <c r="A119" s="45" t="s">
        <v>20</v>
      </c>
      <c r="B119" s="80">
        <v>45777</v>
      </c>
      <c r="C119" s="45" t="s">
        <v>352</v>
      </c>
      <c r="D119" s="47" t="s">
        <v>168</v>
      </c>
      <c r="E119" s="45" t="s">
        <v>296</v>
      </c>
      <c r="F119" s="45" t="s">
        <v>297</v>
      </c>
      <c r="G119" s="45" t="s">
        <v>376</v>
      </c>
      <c r="H119" s="45" t="s">
        <v>2566</v>
      </c>
      <c r="I119" s="45" t="s">
        <v>3004</v>
      </c>
      <c r="J119" s="45">
        <v>607606331</v>
      </c>
      <c r="K119" s="45" t="s">
        <v>2140</v>
      </c>
      <c r="L119" s="48">
        <v>60</v>
      </c>
      <c r="M119" s="49">
        <v>20241223149</v>
      </c>
      <c r="N119" s="50" t="s">
        <v>28</v>
      </c>
      <c r="O119" s="50"/>
      <c r="P119" s="50"/>
      <c r="Q119" s="51"/>
      <c r="R119" s="50"/>
      <c r="S119" s="50"/>
      <c r="T119" s="51"/>
      <c r="U119" s="50"/>
    </row>
    <row r="120" spans="1:21" x14ac:dyDescent="0.25">
      <c r="A120" s="45" t="s">
        <v>20</v>
      </c>
      <c r="B120" s="80">
        <v>45777</v>
      </c>
      <c r="C120" s="45" t="s">
        <v>352</v>
      </c>
      <c r="D120" s="47" t="s">
        <v>168</v>
      </c>
      <c r="E120" s="45" t="s">
        <v>296</v>
      </c>
      <c r="F120" s="45" t="s">
        <v>297</v>
      </c>
      <c r="G120" s="45" t="s">
        <v>376</v>
      </c>
      <c r="H120" s="45" t="s">
        <v>2566</v>
      </c>
      <c r="I120" s="45" t="s">
        <v>3004</v>
      </c>
      <c r="J120" s="45">
        <v>607606331</v>
      </c>
      <c r="K120" s="45" t="s">
        <v>1296</v>
      </c>
      <c r="L120" s="48">
        <v>35</v>
      </c>
      <c r="M120" s="49">
        <v>20241223151</v>
      </c>
      <c r="N120" s="50" t="s">
        <v>28</v>
      </c>
      <c r="O120" s="50"/>
      <c r="P120" s="50"/>
      <c r="Q120" s="51"/>
      <c r="R120" s="50"/>
      <c r="S120" s="50"/>
      <c r="T120" s="51"/>
      <c r="U120" s="50"/>
    </row>
    <row r="121" spans="1:21" x14ac:dyDescent="0.25">
      <c r="A121" s="45" t="s">
        <v>20</v>
      </c>
      <c r="B121" s="80">
        <v>45777</v>
      </c>
      <c r="C121" s="45" t="s">
        <v>352</v>
      </c>
      <c r="D121" s="47" t="s">
        <v>168</v>
      </c>
      <c r="E121" s="45" t="s">
        <v>296</v>
      </c>
      <c r="F121" s="45" t="s">
        <v>297</v>
      </c>
      <c r="G121" s="45" t="s">
        <v>376</v>
      </c>
      <c r="H121" s="45" t="s">
        <v>2566</v>
      </c>
      <c r="I121" s="45" t="s">
        <v>3004</v>
      </c>
      <c r="J121" s="45">
        <v>607606331</v>
      </c>
      <c r="K121" s="45" t="s">
        <v>256</v>
      </c>
      <c r="L121" s="48">
        <v>700</v>
      </c>
      <c r="M121" s="49">
        <v>20241223148</v>
      </c>
      <c r="N121" s="50" t="s">
        <v>28</v>
      </c>
      <c r="O121" s="50"/>
      <c r="P121" s="50"/>
      <c r="Q121" s="51"/>
      <c r="R121" s="50"/>
      <c r="S121" s="50"/>
      <c r="T121" s="51"/>
      <c r="U121" s="50"/>
    </row>
    <row r="122" spans="1:21" ht="45" x14ac:dyDescent="0.25">
      <c r="A122" s="45" t="s">
        <v>20</v>
      </c>
      <c r="B122" s="80">
        <v>45777</v>
      </c>
      <c r="C122" s="45" t="s">
        <v>352</v>
      </c>
      <c r="D122" s="47" t="s">
        <v>168</v>
      </c>
      <c r="E122" s="45" t="s">
        <v>296</v>
      </c>
      <c r="F122" s="45" t="s">
        <v>297</v>
      </c>
      <c r="G122" s="45" t="s">
        <v>1454</v>
      </c>
      <c r="H122" s="45" t="s">
        <v>3007</v>
      </c>
      <c r="I122" s="45" t="s">
        <v>943</v>
      </c>
      <c r="J122" s="45">
        <v>608830278</v>
      </c>
      <c r="K122" s="45" t="s">
        <v>2864</v>
      </c>
      <c r="L122" s="48">
        <v>679</v>
      </c>
      <c r="M122" s="49">
        <v>20241202427</v>
      </c>
      <c r="N122" s="50" t="s">
        <v>28</v>
      </c>
      <c r="O122" s="50"/>
      <c r="P122" s="50"/>
      <c r="Q122" s="51" t="s">
        <v>3008</v>
      </c>
      <c r="R122" s="50"/>
      <c r="S122" s="50"/>
      <c r="T122" s="51"/>
      <c r="U122" s="50"/>
    </row>
    <row r="123" spans="1:21" x14ac:dyDescent="0.25">
      <c r="A123" s="45" t="s">
        <v>20</v>
      </c>
      <c r="B123" s="80">
        <v>45777</v>
      </c>
      <c r="C123" s="45" t="s">
        <v>352</v>
      </c>
      <c r="D123" s="47" t="s">
        <v>168</v>
      </c>
      <c r="E123" s="45" t="s">
        <v>296</v>
      </c>
      <c r="F123" s="45" t="s">
        <v>297</v>
      </c>
      <c r="G123" s="45" t="s">
        <v>1454</v>
      </c>
      <c r="H123" s="45" t="s">
        <v>3007</v>
      </c>
      <c r="I123" s="45" t="s">
        <v>943</v>
      </c>
      <c r="J123" s="45">
        <v>608830278</v>
      </c>
      <c r="K123" s="45" t="s">
        <v>2864</v>
      </c>
      <c r="L123" s="48">
        <v>679</v>
      </c>
      <c r="M123" s="49">
        <v>202412271196</v>
      </c>
      <c r="N123" s="50" t="s">
        <v>28</v>
      </c>
      <c r="O123" s="50"/>
      <c r="P123" s="50"/>
      <c r="Q123" s="51"/>
      <c r="R123" s="50"/>
      <c r="S123" s="50"/>
      <c r="T123" s="51"/>
      <c r="U123" s="50"/>
    </row>
    <row r="124" spans="1:21" x14ac:dyDescent="0.25">
      <c r="A124" s="45" t="s">
        <v>756</v>
      </c>
      <c r="B124" s="46">
        <v>45778</v>
      </c>
      <c r="C124" s="45" t="s">
        <v>352</v>
      </c>
      <c r="D124" s="47" t="s">
        <v>34</v>
      </c>
      <c r="E124" s="45" t="s">
        <v>622</v>
      </c>
      <c r="F124" s="45" t="s">
        <v>267</v>
      </c>
      <c r="G124" s="45" t="s">
        <v>430</v>
      </c>
      <c r="H124" s="45" t="s">
        <v>2730</v>
      </c>
      <c r="I124" s="45" t="s">
        <v>3009</v>
      </c>
      <c r="J124" s="45">
        <v>295821152</v>
      </c>
      <c r="K124" s="45" t="s">
        <v>232</v>
      </c>
      <c r="L124" s="48">
        <v>10</v>
      </c>
      <c r="M124" s="49">
        <v>20241015513</v>
      </c>
      <c r="N124" s="50" t="s">
        <v>28</v>
      </c>
      <c r="O124" s="50"/>
      <c r="P124" s="50"/>
      <c r="Q124" s="51"/>
      <c r="R124" s="50"/>
      <c r="S124" s="50"/>
      <c r="T124" s="51"/>
      <c r="U124" s="50"/>
    </row>
    <row r="125" spans="1:21" x14ac:dyDescent="0.25">
      <c r="A125" s="45" t="s">
        <v>233</v>
      </c>
      <c r="B125" s="46">
        <v>45778</v>
      </c>
      <c r="C125" s="45" t="s">
        <v>352</v>
      </c>
      <c r="D125" s="47" t="s">
        <v>34</v>
      </c>
      <c r="E125" s="45" t="s">
        <v>325</v>
      </c>
      <c r="F125" s="45" t="s">
        <v>278</v>
      </c>
      <c r="G125" s="45" t="s">
        <v>333</v>
      </c>
      <c r="H125" s="45" t="s">
        <v>2744</v>
      </c>
      <c r="I125" s="45" t="s">
        <v>2407</v>
      </c>
      <c r="J125" s="45">
        <v>134604370</v>
      </c>
      <c r="K125" s="45" t="s">
        <v>1907</v>
      </c>
      <c r="L125" s="48">
        <v>300.76</v>
      </c>
      <c r="M125" s="49">
        <v>20241224997</v>
      </c>
      <c r="N125" s="50" t="s">
        <v>28</v>
      </c>
      <c r="O125" s="50"/>
      <c r="P125" s="50"/>
      <c r="Q125" s="51"/>
      <c r="R125" s="50"/>
      <c r="S125" s="50"/>
      <c r="T125" s="51"/>
      <c r="U125" s="50"/>
    </row>
    <row r="126" spans="1:21" x14ac:dyDescent="0.25">
      <c r="A126" s="45" t="s">
        <v>324</v>
      </c>
      <c r="B126" s="80">
        <v>45778</v>
      </c>
      <c r="C126" s="45" t="s">
        <v>352</v>
      </c>
      <c r="D126" s="47" t="s">
        <v>34</v>
      </c>
      <c r="E126" s="45" t="s">
        <v>325</v>
      </c>
      <c r="F126" s="45" t="s">
        <v>278</v>
      </c>
      <c r="G126" s="45" t="s">
        <v>326</v>
      </c>
      <c r="H126" s="45" t="s">
        <v>329</v>
      </c>
      <c r="I126" s="45" t="s">
        <v>330</v>
      </c>
      <c r="J126" s="45">
        <v>237936224</v>
      </c>
      <c r="K126" s="45" t="s">
        <v>2767</v>
      </c>
      <c r="L126" s="48">
        <v>140</v>
      </c>
      <c r="M126" s="49">
        <v>20241223577</v>
      </c>
      <c r="N126" s="50" t="s">
        <v>28</v>
      </c>
      <c r="O126" s="50"/>
      <c r="P126" s="50"/>
      <c r="Q126" s="51"/>
      <c r="R126" s="50"/>
      <c r="S126" s="50"/>
      <c r="T126" s="51"/>
      <c r="U126" s="50"/>
    </row>
    <row r="127" spans="1:21" x14ac:dyDescent="0.25">
      <c r="A127" s="45" t="s">
        <v>407</v>
      </c>
      <c r="B127" s="80">
        <v>45778</v>
      </c>
      <c r="C127" s="45" t="s">
        <v>352</v>
      </c>
      <c r="D127" s="47" t="s">
        <v>34</v>
      </c>
      <c r="E127" s="45" t="s">
        <v>325</v>
      </c>
      <c r="F127" s="45" t="s">
        <v>278</v>
      </c>
      <c r="G127" s="45" t="s">
        <v>3010</v>
      </c>
      <c r="H127" s="45" t="s">
        <v>121</v>
      </c>
      <c r="I127" s="45" t="s">
        <v>3011</v>
      </c>
      <c r="J127" s="45">
        <v>277705844</v>
      </c>
      <c r="K127" s="45" t="s">
        <v>237</v>
      </c>
      <c r="L127" s="48">
        <v>2080</v>
      </c>
      <c r="M127" s="49">
        <v>202412241031</v>
      </c>
      <c r="N127" s="50" t="s">
        <v>28</v>
      </c>
      <c r="O127" s="50"/>
      <c r="P127" s="50"/>
      <c r="Q127" s="51"/>
      <c r="R127" s="50"/>
      <c r="S127" s="50"/>
      <c r="T127" s="51"/>
      <c r="U127" s="50"/>
    </row>
    <row r="128" spans="1:21" x14ac:dyDescent="0.25">
      <c r="A128" s="45" t="s">
        <v>1138</v>
      </c>
      <c r="B128" s="80">
        <v>45778</v>
      </c>
      <c r="C128" s="45" t="s">
        <v>352</v>
      </c>
      <c r="D128" s="47" t="s">
        <v>34</v>
      </c>
      <c r="E128" s="45" t="s">
        <v>325</v>
      </c>
      <c r="F128" s="45" t="s">
        <v>278</v>
      </c>
      <c r="G128" s="45" t="s">
        <v>3010</v>
      </c>
      <c r="H128" s="45" t="s">
        <v>121</v>
      </c>
      <c r="I128" s="45" t="s">
        <v>3011</v>
      </c>
      <c r="J128" s="45">
        <v>277705844</v>
      </c>
      <c r="K128" s="45" t="s">
        <v>237</v>
      </c>
      <c r="L128" s="48">
        <v>2080</v>
      </c>
      <c r="M128" s="49">
        <v>202412241031</v>
      </c>
      <c r="N128" s="50" t="s">
        <v>28</v>
      </c>
      <c r="O128" s="50"/>
      <c r="P128" s="50"/>
      <c r="Q128" s="51"/>
      <c r="R128" s="50"/>
      <c r="S128" s="50"/>
      <c r="T128" s="51"/>
      <c r="U128" s="50"/>
    </row>
    <row r="129" spans="1:21" x14ac:dyDescent="0.25">
      <c r="A129" s="45" t="s">
        <v>20</v>
      </c>
      <c r="B129" s="46">
        <v>45777</v>
      </c>
      <c r="C129" s="45" t="s">
        <v>352</v>
      </c>
      <c r="D129" s="47" t="s">
        <v>168</v>
      </c>
      <c r="E129" s="45" t="s">
        <v>325</v>
      </c>
      <c r="F129" s="45" t="s">
        <v>278</v>
      </c>
      <c r="G129" s="45" t="s">
        <v>347</v>
      </c>
      <c r="H129" s="45" t="s">
        <v>3012</v>
      </c>
      <c r="I129" s="45" t="s">
        <v>3013</v>
      </c>
      <c r="J129" s="45">
        <v>280823904</v>
      </c>
      <c r="K129" s="45" t="s">
        <v>1912</v>
      </c>
      <c r="L129" s="48">
        <v>748.22</v>
      </c>
      <c r="M129" s="49">
        <v>20241223430</v>
      </c>
      <c r="N129" s="50" t="s">
        <v>28</v>
      </c>
      <c r="O129" s="50"/>
      <c r="P129" s="50"/>
      <c r="Q129" s="51"/>
      <c r="R129" s="50"/>
      <c r="S129" s="50"/>
      <c r="T129" s="51"/>
      <c r="U129" s="50"/>
    </row>
    <row r="130" spans="1:21" x14ac:dyDescent="0.25">
      <c r="A130" s="45" t="s">
        <v>20</v>
      </c>
      <c r="B130" s="46">
        <v>45775</v>
      </c>
      <c r="C130" s="45" t="s">
        <v>21</v>
      </c>
      <c r="D130" s="47"/>
      <c r="E130" s="45" t="s">
        <v>325</v>
      </c>
      <c r="F130" s="45" t="s">
        <v>278</v>
      </c>
      <c r="G130" s="45" t="s">
        <v>347</v>
      </c>
      <c r="H130" s="45" t="s">
        <v>3012</v>
      </c>
      <c r="I130" s="45" t="s">
        <v>3013</v>
      </c>
      <c r="J130" s="45">
        <v>280823904</v>
      </c>
      <c r="K130" s="45" t="s">
        <v>1734</v>
      </c>
      <c r="L130" s="48">
        <v>127.53</v>
      </c>
      <c r="M130" s="49">
        <v>20241223427</v>
      </c>
      <c r="N130" s="50" t="s">
        <v>28</v>
      </c>
      <c r="O130" s="50"/>
      <c r="P130" s="50"/>
      <c r="Q130" s="51"/>
      <c r="R130" s="50"/>
      <c r="S130" s="50"/>
      <c r="T130" s="51"/>
      <c r="U130" s="50"/>
    </row>
    <row r="131" spans="1:21" x14ac:dyDescent="0.25">
      <c r="A131" s="45" t="s">
        <v>20</v>
      </c>
      <c r="B131" s="46">
        <v>45775</v>
      </c>
      <c r="C131" s="45" t="s">
        <v>21</v>
      </c>
      <c r="D131" s="47"/>
      <c r="E131" s="45" t="s">
        <v>325</v>
      </c>
      <c r="F131" s="45" t="s">
        <v>278</v>
      </c>
      <c r="G131" s="45" t="s">
        <v>347</v>
      </c>
      <c r="H131" s="45" t="s">
        <v>3012</v>
      </c>
      <c r="I131" s="45" t="s">
        <v>3013</v>
      </c>
      <c r="J131" s="45">
        <v>280823904</v>
      </c>
      <c r="K131" s="45" t="s">
        <v>1338</v>
      </c>
      <c r="L131" s="48">
        <v>223.82</v>
      </c>
      <c r="M131" s="49">
        <v>20241223406</v>
      </c>
      <c r="N131" s="50" t="s">
        <v>28</v>
      </c>
      <c r="O131" s="50"/>
      <c r="P131" s="50"/>
      <c r="Q131" s="51"/>
      <c r="R131" s="50"/>
      <c r="S131" s="50"/>
      <c r="T131" s="51"/>
      <c r="U131" s="50"/>
    </row>
    <row r="132" spans="1:21" x14ac:dyDescent="0.25">
      <c r="A132" s="45" t="s">
        <v>20</v>
      </c>
      <c r="B132" s="46">
        <v>45775</v>
      </c>
      <c r="C132" s="45" t="s">
        <v>21</v>
      </c>
      <c r="D132" s="47"/>
      <c r="E132" s="45" t="s">
        <v>325</v>
      </c>
      <c r="F132" s="45" t="s">
        <v>278</v>
      </c>
      <c r="G132" s="45" t="s">
        <v>347</v>
      </c>
      <c r="H132" s="45" t="s">
        <v>3012</v>
      </c>
      <c r="I132" s="45" t="s">
        <v>3013</v>
      </c>
      <c r="J132" s="45">
        <v>280823904</v>
      </c>
      <c r="K132" s="45" t="s">
        <v>1227</v>
      </c>
      <c r="L132" s="48">
        <v>504.03</v>
      </c>
      <c r="M132" s="49">
        <v>20241223425</v>
      </c>
      <c r="N132" s="50" t="s">
        <v>28</v>
      </c>
      <c r="O132" s="50"/>
      <c r="P132" s="50"/>
      <c r="Q132" s="51"/>
      <c r="R132" s="50"/>
      <c r="S132" s="50"/>
      <c r="T132" s="51"/>
      <c r="U132" s="50"/>
    </row>
    <row r="133" spans="1:21" x14ac:dyDescent="0.25">
      <c r="A133" s="45" t="s">
        <v>20</v>
      </c>
      <c r="B133" s="46">
        <v>45775</v>
      </c>
      <c r="C133" s="45" t="s">
        <v>21</v>
      </c>
      <c r="D133" s="47"/>
      <c r="E133" s="45" t="s">
        <v>325</v>
      </c>
      <c r="F133" s="45" t="s">
        <v>278</v>
      </c>
      <c r="G133" s="45" t="s">
        <v>326</v>
      </c>
      <c r="H133" s="45" t="s">
        <v>1988</v>
      </c>
      <c r="I133" s="45" t="s">
        <v>1989</v>
      </c>
      <c r="J133" s="45">
        <v>283485320</v>
      </c>
      <c r="K133" s="45" t="s">
        <v>1187</v>
      </c>
      <c r="L133" s="48">
        <v>95</v>
      </c>
      <c r="M133" s="49">
        <v>20241223623</v>
      </c>
      <c r="N133" s="50" t="s">
        <v>28</v>
      </c>
      <c r="O133" s="50"/>
      <c r="P133" s="50"/>
      <c r="Q133" s="51"/>
      <c r="R133" s="50"/>
      <c r="S133" s="50"/>
      <c r="T133" s="51"/>
      <c r="U133" s="50"/>
    </row>
    <row r="134" spans="1:21" x14ac:dyDescent="0.25">
      <c r="A134" s="45" t="s">
        <v>20</v>
      </c>
      <c r="B134" s="46">
        <v>45775</v>
      </c>
      <c r="C134" s="45" t="s">
        <v>21</v>
      </c>
      <c r="D134" s="47"/>
      <c r="E134" s="45" t="s">
        <v>325</v>
      </c>
      <c r="F134" s="45" t="s">
        <v>278</v>
      </c>
      <c r="G134" s="45" t="s">
        <v>326</v>
      </c>
      <c r="H134" s="45" t="s">
        <v>1988</v>
      </c>
      <c r="I134" s="45" t="s">
        <v>1989</v>
      </c>
      <c r="J134" s="45">
        <v>283485320</v>
      </c>
      <c r="K134" s="45" t="s">
        <v>2044</v>
      </c>
      <c r="L134" s="48">
        <v>95</v>
      </c>
      <c r="M134" s="49">
        <v>20241223628</v>
      </c>
      <c r="N134" s="50" t="s">
        <v>28</v>
      </c>
      <c r="O134" s="50"/>
      <c r="P134" s="50"/>
      <c r="Q134" s="51"/>
      <c r="R134" s="50"/>
      <c r="S134" s="50"/>
      <c r="T134" s="51"/>
      <c r="U134" s="50"/>
    </row>
    <row r="135" spans="1:21" x14ac:dyDescent="0.25">
      <c r="A135" s="45" t="s">
        <v>233</v>
      </c>
      <c r="B135" s="46">
        <v>45775</v>
      </c>
      <c r="C135" s="45" t="s">
        <v>21</v>
      </c>
      <c r="D135" s="47"/>
      <c r="E135" s="45" t="s">
        <v>325</v>
      </c>
      <c r="F135" s="45" t="s">
        <v>278</v>
      </c>
      <c r="G135" s="45" t="s">
        <v>347</v>
      </c>
      <c r="H135" s="45" t="s">
        <v>3014</v>
      </c>
      <c r="I135" s="45" t="s">
        <v>3015</v>
      </c>
      <c r="J135" s="45">
        <v>286849504</v>
      </c>
      <c r="K135" s="45" t="s">
        <v>2905</v>
      </c>
      <c r="L135" s="48">
        <v>110.97</v>
      </c>
      <c r="M135" s="49">
        <v>202412271197</v>
      </c>
      <c r="N135" s="50" t="s">
        <v>28</v>
      </c>
      <c r="O135" s="50"/>
      <c r="P135" s="50"/>
      <c r="Q135" s="51"/>
      <c r="R135" s="50"/>
      <c r="S135" s="50"/>
      <c r="T135" s="51"/>
      <c r="U135" s="50"/>
    </row>
    <row r="136" spans="1:21" x14ac:dyDescent="0.25">
      <c r="A136" s="45" t="s">
        <v>233</v>
      </c>
      <c r="B136" s="46">
        <v>45775</v>
      </c>
      <c r="C136" s="45" t="s">
        <v>21</v>
      </c>
      <c r="D136" s="47"/>
      <c r="E136" s="45" t="s">
        <v>325</v>
      </c>
      <c r="F136" s="45" t="s">
        <v>278</v>
      </c>
      <c r="G136" s="45" t="s">
        <v>333</v>
      </c>
      <c r="H136" s="45" t="s">
        <v>1746</v>
      </c>
      <c r="I136" s="45" t="s">
        <v>1991</v>
      </c>
      <c r="J136" s="45">
        <v>295647017</v>
      </c>
      <c r="K136" s="45" t="s">
        <v>2931</v>
      </c>
      <c r="L136" s="48">
        <v>9.56</v>
      </c>
      <c r="M136" s="49">
        <v>202412241021</v>
      </c>
      <c r="N136" s="50" t="s">
        <v>28</v>
      </c>
      <c r="O136" s="50"/>
      <c r="P136" s="50"/>
      <c r="Q136" s="51"/>
      <c r="R136" s="50"/>
      <c r="S136" s="50"/>
      <c r="T136" s="51"/>
      <c r="U136" s="50"/>
    </row>
    <row r="137" spans="1:21" x14ac:dyDescent="0.25">
      <c r="A137" s="45" t="s">
        <v>233</v>
      </c>
      <c r="B137" s="46">
        <v>45775</v>
      </c>
      <c r="C137" s="45" t="s">
        <v>21</v>
      </c>
      <c r="D137" s="47"/>
      <c r="E137" s="45" t="s">
        <v>325</v>
      </c>
      <c r="F137" s="45" t="s">
        <v>278</v>
      </c>
      <c r="G137" s="45" t="s">
        <v>333</v>
      </c>
      <c r="H137" s="45" t="s">
        <v>1746</v>
      </c>
      <c r="I137" s="45" t="s">
        <v>1991</v>
      </c>
      <c r="J137" s="45">
        <v>295647017</v>
      </c>
      <c r="K137" s="45" t="s">
        <v>2946</v>
      </c>
      <c r="L137" s="48">
        <v>1.1299999999999999</v>
      </c>
      <c r="M137" s="49">
        <v>202412241022</v>
      </c>
      <c r="N137" s="50" t="s">
        <v>28</v>
      </c>
      <c r="O137" s="50"/>
      <c r="P137" s="50"/>
      <c r="Q137" s="51"/>
      <c r="R137" s="50"/>
      <c r="S137" s="50"/>
      <c r="T137" s="51"/>
      <c r="U137" s="50"/>
    </row>
    <row r="138" spans="1:21" x14ac:dyDescent="0.25">
      <c r="A138" s="45" t="s">
        <v>324</v>
      </c>
      <c r="B138" s="46">
        <v>45775</v>
      </c>
      <c r="C138" s="45" t="s">
        <v>21</v>
      </c>
      <c r="D138" s="47"/>
      <c r="E138" s="45" t="s">
        <v>325</v>
      </c>
      <c r="F138" s="45" t="s">
        <v>278</v>
      </c>
      <c r="G138" s="45" t="s">
        <v>326</v>
      </c>
      <c r="H138" s="45" t="s">
        <v>341</v>
      </c>
      <c r="I138" s="45" t="s">
        <v>342</v>
      </c>
      <c r="J138" s="45">
        <v>413574518</v>
      </c>
      <c r="K138" s="45" t="s">
        <v>2957</v>
      </c>
      <c r="L138" s="48">
        <v>416.5</v>
      </c>
      <c r="M138" s="49">
        <v>202412271202</v>
      </c>
      <c r="N138" s="50" t="s">
        <v>28</v>
      </c>
      <c r="O138" s="50"/>
      <c r="P138" s="50"/>
      <c r="Q138" s="51"/>
      <c r="R138" s="50"/>
      <c r="S138" s="50"/>
      <c r="T138" s="51"/>
      <c r="U138" s="50"/>
    </row>
    <row r="139" spans="1:21" x14ac:dyDescent="0.25">
      <c r="A139" s="45" t="s">
        <v>324</v>
      </c>
      <c r="B139" s="46">
        <v>45775</v>
      </c>
      <c r="C139" s="45" t="s">
        <v>21</v>
      </c>
      <c r="D139" s="47"/>
      <c r="E139" s="45" t="s">
        <v>325</v>
      </c>
      <c r="F139" s="45" t="s">
        <v>278</v>
      </c>
      <c r="G139" s="45" t="s">
        <v>326</v>
      </c>
      <c r="H139" s="45" t="s">
        <v>3016</v>
      </c>
      <c r="I139" s="45" t="s">
        <v>2678</v>
      </c>
      <c r="J139" s="45">
        <v>459715960</v>
      </c>
      <c r="K139" s="45" t="s">
        <v>184</v>
      </c>
      <c r="L139" s="48">
        <v>16.420000000000002</v>
      </c>
      <c r="M139" s="49">
        <v>202412271201</v>
      </c>
      <c r="N139" s="50" t="s">
        <v>28</v>
      </c>
      <c r="O139" s="50"/>
      <c r="P139" s="50"/>
      <c r="Q139" s="51"/>
      <c r="R139" s="50"/>
      <c r="S139" s="50"/>
      <c r="T139" s="51"/>
      <c r="U139" s="50"/>
    </row>
    <row r="140" spans="1:21" x14ac:dyDescent="0.25">
      <c r="A140" s="45" t="s">
        <v>233</v>
      </c>
      <c r="B140" s="46">
        <v>45775</v>
      </c>
      <c r="C140" s="45" t="s">
        <v>21</v>
      </c>
      <c r="D140" s="47"/>
      <c r="E140" s="45" t="s">
        <v>371</v>
      </c>
      <c r="F140" s="45" t="s">
        <v>372</v>
      </c>
      <c r="G140" s="45" t="s">
        <v>2224</v>
      </c>
      <c r="H140" s="45" t="s">
        <v>3017</v>
      </c>
      <c r="I140" s="45" t="s">
        <v>3018</v>
      </c>
      <c r="J140" s="45">
        <v>216495773</v>
      </c>
      <c r="K140" s="45" t="s">
        <v>1888</v>
      </c>
      <c r="L140" s="48">
        <v>20</v>
      </c>
      <c r="M140" s="49">
        <v>20241224609</v>
      </c>
      <c r="N140" s="50" t="s">
        <v>28</v>
      </c>
      <c r="O140" s="50"/>
      <c r="P140" s="50"/>
      <c r="Q140" s="51"/>
      <c r="R140" s="50"/>
      <c r="S140" s="50"/>
      <c r="T140" s="51"/>
      <c r="U140" s="50"/>
    </row>
    <row r="141" spans="1:21" x14ac:dyDescent="0.25">
      <c r="A141" s="45" t="s">
        <v>233</v>
      </c>
      <c r="B141" s="46">
        <v>45775</v>
      </c>
      <c r="C141" s="45" t="s">
        <v>21</v>
      </c>
      <c r="D141" s="47"/>
      <c r="E141" s="45" t="s">
        <v>371</v>
      </c>
      <c r="F141" s="45" t="s">
        <v>372</v>
      </c>
      <c r="G141" s="45" t="s">
        <v>2224</v>
      </c>
      <c r="H141" s="45" t="s">
        <v>3017</v>
      </c>
      <c r="I141" s="45" t="s">
        <v>3018</v>
      </c>
      <c r="J141" s="45">
        <v>216495773</v>
      </c>
      <c r="K141" s="45" t="s">
        <v>1784</v>
      </c>
      <c r="L141" s="48">
        <v>1414.85</v>
      </c>
      <c r="M141" s="49">
        <v>20241224606</v>
      </c>
      <c r="N141" s="50" t="s">
        <v>28</v>
      </c>
      <c r="O141" s="50"/>
      <c r="P141" s="50"/>
      <c r="Q141" s="51"/>
      <c r="R141" s="50"/>
      <c r="S141" s="50"/>
      <c r="T141" s="51"/>
      <c r="U141" s="50"/>
    </row>
    <row r="142" spans="1:21" x14ac:dyDescent="0.25">
      <c r="A142" s="45" t="s">
        <v>233</v>
      </c>
      <c r="B142" s="46">
        <v>45775</v>
      </c>
      <c r="C142" s="45" t="s">
        <v>21</v>
      </c>
      <c r="D142" s="47"/>
      <c r="E142" s="45" t="s">
        <v>371</v>
      </c>
      <c r="F142" s="45" t="s">
        <v>372</v>
      </c>
      <c r="G142" s="45" t="s">
        <v>2224</v>
      </c>
      <c r="H142" s="45" t="s">
        <v>3017</v>
      </c>
      <c r="I142" s="45" t="s">
        <v>3018</v>
      </c>
      <c r="J142" s="45">
        <v>216495773</v>
      </c>
      <c r="K142" s="45" t="s">
        <v>1112</v>
      </c>
      <c r="L142" s="48">
        <v>75</v>
      </c>
      <c r="M142" s="49">
        <v>20241224585</v>
      </c>
      <c r="N142" s="50" t="s">
        <v>28</v>
      </c>
      <c r="O142" s="50"/>
      <c r="P142" s="50"/>
      <c r="Q142" s="51"/>
      <c r="R142" s="50"/>
      <c r="S142" s="50"/>
      <c r="T142" s="51"/>
      <c r="U142" s="50"/>
    </row>
    <row r="143" spans="1:21" x14ac:dyDescent="0.25">
      <c r="A143" s="45" t="s">
        <v>233</v>
      </c>
      <c r="B143" s="46">
        <v>45775</v>
      </c>
      <c r="C143" s="45" t="s">
        <v>21</v>
      </c>
      <c r="D143" s="47"/>
      <c r="E143" s="45" t="s">
        <v>371</v>
      </c>
      <c r="F143" s="45" t="s">
        <v>372</v>
      </c>
      <c r="G143" s="45" t="s">
        <v>2224</v>
      </c>
      <c r="H143" s="45" t="s">
        <v>3017</v>
      </c>
      <c r="I143" s="45" t="s">
        <v>3018</v>
      </c>
      <c r="J143" s="45">
        <v>216495773</v>
      </c>
      <c r="K143" s="45" t="s">
        <v>999</v>
      </c>
      <c r="L143" s="48">
        <v>86.17</v>
      </c>
      <c r="M143" s="49">
        <v>20241224589</v>
      </c>
      <c r="N143" s="50" t="s">
        <v>28</v>
      </c>
      <c r="O143" s="50"/>
      <c r="P143" s="50"/>
      <c r="Q143" s="51"/>
      <c r="R143" s="50"/>
      <c r="S143" s="50"/>
      <c r="T143" s="51"/>
      <c r="U143" s="50"/>
    </row>
    <row r="144" spans="1:21" x14ac:dyDescent="0.25">
      <c r="A144" s="45" t="s">
        <v>233</v>
      </c>
      <c r="B144" s="46">
        <v>45775</v>
      </c>
      <c r="C144" s="45" t="s">
        <v>21</v>
      </c>
      <c r="D144" s="47"/>
      <c r="E144" s="45" t="s">
        <v>371</v>
      </c>
      <c r="F144" s="45" t="s">
        <v>372</v>
      </c>
      <c r="G144" s="45" t="s">
        <v>2224</v>
      </c>
      <c r="H144" s="45" t="s">
        <v>3017</v>
      </c>
      <c r="I144" s="45" t="s">
        <v>3018</v>
      </c>
      <c r="J144" s="45">
        <v>216495773</v>
      </c>
      <c r="K144" s="45" t="s">
        <v>987</v>
      </c>
      <c r="L144" s="48">
        <v>75</v>
      </c>
      <c r="M144" s="49">
        <v>20241224594</v>
      </c>
      <c r="N144" s="50" t="s">
        <v>28</v>
      </c>
      <c r="O144" s="50"/>
      <c r="P144" s="50"/>
      <c r="Q144" s="51"/>
      <c r="R144" s="50"/>
      <c r="S144" s="50"/>
      <c r="T144" s="51"/>
      <c r="U144" s="50"/>
    </row>
    <row r="145" spans="1:21" x14ac:dyDescent="0.25">
      <c r="A145" s="45" t="s">
        <v>233</v>
      </c>
      <c r="B145" s="46">
        <v>45775</v>
      </c>
      <c r="C145" s="45" t="s">
        <v>21</v>
      </c>
      <c r="D145" s="47"/>
      <c r="E145" s="45" t="s">
        <v>371</v>
      </c>
      <c r="F145" s="45" t="s">
        <v>372</v>
      </c>
      <c r="G145" s="45" t="s">
        <v>2224</v>
      </c>
      <c r="H145" s="45" t="s">
        <v>3017</v>
      </c>
      <c r="I145" s="45" t="s">
        <v>3018</v>
      </c>
      <c r="J145" s="45">
        <v>216495773</v>
      </c>
      <c r="K145" s="45" t="s">
        <v>987</v>
      </c>
      <c r="L145" s="48">
        <v>75</v>
      </c>
      <c r="M145" s="49">
        <v>20241224579</v>
      </c>
      <c r="N145" s="50" t="s">
        <v>28</v>
      </c>
      <c r="O145" s="50"/>
      <c r="P145" s="50"/>
      <c r="Q145" s="51"/>
      <c r="R145" s="50"/>
      <c r="S145" s="50"/>
      <c r="T145" s="51"/>
      <c r="U145" s="50"/>
    </row>
    <row r="146" spans="1:21" x14ac:dyDescent="0.25">
      <c r="A146" s="45" t="s">
        <v>233</v>
      </c>
      <c r="B146" s="46">
        <v>45775</v>
      </c>
      <c r="C146" s="45" t="s">
        <v>21</v>
      </c>
      <c r="D146" s="47"/>
      <c r="E146" s="45" t="s">
        <v>371</v>
      </c>
      <c r="F146" s="45" t="s">
        <v>372</v>
      </c>
      <c r="G146" s="45" t="s">
        <v>2224</v>
      </c>
      <c r="H146" s="45" t="s">
        <v>3017</v>
      </c>
      <c r="I146" s="45" t="s">
        <v>3018</v>
      </c>
      <c r="J146" s="45">
        <v>216495773</v>
      </c>
      <c r="K146" s="45" t="s">
        <v>1230</v>
      </c>
      <c r="L146" s="48">
        <v>24.74</v>
      </c>
      <c r="M146" s="49">
        <v>20241224581</v>
      </c>
      <c r="N146" s="50" t="s">
        <v>28</v>
      </c>
      <c r="O146" s="50"/>
      <c r="P146" s="50"/>
      <c r="Q146" s="51"/>
      <c r="R146" s="50"/>
      <c r="S146" s="50"/>
      <c r="T146" s="51"/>
      <c r="U146" s="50"/>
    </row>
    <row r="147" spans="1:21" x14ac:dyDescent="0.25">
      <c r="A147" s="45" t="s">
        <v>233</v>
      </c>
      <c r="B147" s="46">
        <v>45775</v>
      </c>
      <c r="C147" s="45" t="s">
        <v>21</v>
      </c>
      <c r="D147" s="47"/>
      <c r="E147" s="45" t="s">
        <v>371</v>
      </c>
      <c r="F147" s="45" t="s">
        <v>372</v>
      </c>
      <c r="G147" s="45" t="s">
        <v>2224</v>
      </c>
      <c r="H147" s="45" t="s">
        <v>3017</v>
      </c>
      <c r="I147" s="45" t="s">
        <v>3018</v>
      </c>
      <c r="J147" s="45">
        <v>216495773</v>
      </c>
      <c r="K147" s="45" t="s">
        <v>301</v>
      </c>
      <c r="L147" s="48">
        <v>386.98</v>
      </c>
      <c r="M147" s="49">
        <v>20241224583</v>
      </c>
      <c r="N147" s="50" t="s">
        <v>28</v>
      </c>
      <c r="O147" s="50"/>
      <c r="P147" s="50"/>
      <c r="Q147" s="51"/>
      <c r="R147" s="50"/>
      <c r="S147" s="50"/>
      <c r="T147" s="51"/>
      <c r="U147" s="50"/>
    </row>
    <row r="148" spans="1:21" ht="25.5" x14ac:dyDescent="0.25">
      <c r="A148" s="45" t="s">
        <v>233</v>
      </c>
      <c r="B148" s="46">
        <v>45775</v>
      </c>
      <c r="C148" s="45" t="s">
        <v>21</v>
      </c>
      <c r="D148" s="47"/>
      <c r="E148" s="45" t="s">
        <v>371</v>
      </c>
      <c r="F148" s="45" t="s">
        <v>372</v>
      </c>
      <c r="G148" s="45" t="s">
        <v>934</v>
      </c>
      <c r="H148" s="45" t="s">
        <v>1266</v>
      </c>
      <c r="I148" s="45" t="s">
        <v>3019</v>
      </c>
      <c r="J148" s="45">
        <v>216601233</v>
      </c>
      <c r="K148" s="45" t="s">
        <v>76</v>
      </c>
      <c r="L148" s="48">
        <v>829.04</v>
      </c>
      <c r="M148" s="49">
        <v>20241224543</v>
      </c>
      <c r="N148" s="50" t="s">
        <v>28</v>
      </c>
      <c r="O148" s="50"/>
      <c r="P148" s="50"/>
      <c r="Q148" s="51"/>
      <c r="R148" s="50"/>
      <c r="S148" s="50"/>
      <c r="T148" s="51"/>
      <c r="U148" s="50"/>
    </row>
    <row r="149" spans="1:21" ht="25.5" x14ac:dyDescent="0.25">
      <c r="A149" s="45" t="s">
        <v>233</v>
      </c>
      <c r="B149" s="46">
        <v>45775</v>
      </c>
      <c r="C149" s="45" t="s">
        <v>21</v>
      </c>
      <c r="D149" s="47"/>
      <c r="E149" s="45" t="s">
        <v>371</v>
      </c>
      <c r="F149" s="45" t="s">
        <v>372</v>
      </c>
      <c r="G149" s="45" t="s">
        <v>934</v>
      </c>
      <c r="H149" s="45" t="s">
        <v>1266</v>
      </c>
      <c r="I149" s="45" t="s">
        <v>3019</v>
      </c>
      <c r="J149" s="45">
        <v>216601233</v>
      </c>
      <c r="K149" s="45" t="s">
        <v>932</v>
      </c>
      <c r="L149" s="48">
        <v>4125</v>
      </c>
      <c r="M149" s="49">
        <v>20241224536</v>
      </c>
      <c r="N149" s="50" t="s">
        <v>28</v>
      </c>
      <c r="O149" s="50"/>
      <c r="P149" s="50"/>
      <c r="Q149" s="51"/>
      <c r="R149" s="50"/>
      <c r="S149" s="50"/>
      <c r="T149" s="51"/>
      <c r="U149" s="50"/>
    </row>
    <row r="150" spans="1:21" ht="25.5" x14ac:dyDescent="0.25">
      <c r="A150" s="45" t="s">
        <v>233</v>
      </c>
      <c r="B150" s="46">
        <v>45775</v>
      </c>
      <c r="C150" s="45" t="s">
        <v>21</v>
      </c>
      <c r="D150" s="47"/>
      <c r="E150" s="45" t="s">
        <v>371</v>
      </c>
      <c r="F150" s="45" t="s">
        <v>372</v>
      </c>
      <c r="G150" s="45" t="s">
        <v>934</v>
      </c>
      <c r="H150" s="45" t="s">
        <v>1266</v>
      </c>
      <c r="I150" s="45" t="s">
        <v>3019</v>
      </c>
      <c r="J150" s="45">
        <v>216601233</v>
      </c>
      <c r="K150" s="45" t="s">
        <v>1734</v>
      </c>
      <c r="L150" s="48">
        <v>780</v>
      </c>
      <c r="M150" s="49">
        <v>20241224532</v>
      </c>
      <c r="N150" s="50" t="s">
        <v>28</v>
      </c>
      <c r="O150" s="50"/>
      <c r="P150" s="50"/>
      <c r="Q150" s="51"/>
      <c r="R150" s="50"/>
      <c r="S150" s="50"/>
      <c r="T150" s="51"/>
      <c r="U150" s="50"/>
    </row>
    <row r="151" spans="1:21" ht="25.5" x14ac:dyDescent="0.25">
      <c r="A151" s="45" t="s">
        <v>233</v>
      </c>
      <c r="B151" s="46">
        <v>45775</v>
      </c>
      <c r="C151" s="45" t="s">
        <v>21</v>
      </c>
      <c r="D151" s="47"/>
      <c r="E151" s="45" t="s">
        <v>371</v>
      </c>
      <c r="F151" s="45" t="s">
        <v>372</v>
      </c>
      <c r="G151" s="45" t="s">
        <v>934</v>
      </c>
      <c r="H151" s="45" t="s">
        <v>1266</v>
      </c>
      <c r="I151" s="45" t="s">
        <v>3019</v>
      </c>
      <c r="J151" s="45">
        <v>216601233</v>
      </c>
      <c r="K151" s="45" t="s">
        <v>250</v>
      </c>
      <c r="L151" s="48">
        <v>1040</v>
      </c>
      <c r="M151" s="49">
        <v>20241224528</v>
      </c>
      <c r="N151" s="50" t="s">
        <v>28</v>
      </c>
      <c r="O151" s="50"/>
      <c r="P151" s="50"/>
      <c r="Q151" s="51"/>
      <c r="R151" s="50"/>
      <c r="S151" s="50"/>
      <c r="T151" s="51"/>
      <c r="U151" s="50"/>
    </row>
    <row r="152" spans="1:21" ht="25.5" x14ac:dyDescent="0.25">
      <c r="A152" s="45" t="s">
        <v>233</v>
      </c>
      <c r="B152" s="46">
        <v>45775</v>
      </c>
      <c r="C152" s="45" t="s">
        <v>21</v>
      </c>
      <c r="D152" s="47"/>
      <c r="E152" s="45" t="s">
        <v>371</v>
      </c>
      <c r="F152" s="45" t="s">
        <v>372</v>
      </c>
      <c r="G152" s="45" t="s">
        <v>934</v>
      </c>
      <c r="H152" s="45" t="s">
        <v>1266</v>
      </c>
      <c r="I152" s="45" t="s">
        <v>3019</v>
      </c>
      <c r="J152" s="45">
        <v>216601233</v>
      </c>
      <c r="K152" s="45" t="s">
        <v>147</v>
      </c>
      <c r="L152" s="48">
        <v>1300</v>
      </c>
      <c r="M152" s="49">
        <v>20241224530</v>
      </c>
      <c r="N152" s="50" t="s">
        <v>28</v>
      </c>
      <c r="O152" s="50"/>
      <c r="P152" s="50"/>
      <c r="Q152" s="51"/>
      <c r="R152" s="50"/>
      <c r="S152" s="50"/>
      <c r="T152" s="51"/>
      <c r="U152" s="50"/>
    </row>
    <row r="153" spans="1:21" x14ac:dyDescent="0.25">
      <c r="A153" s="45" t="s">
        <v>324</v>
      </c>
      <c r="B153" s="46">
        <v>45775</v>
      </c>
      <c r="C153" s="45" t="s">
        <v>21</v>
      </c>
      <c r="D153" s="47"/>
      <c r="E153" s="45" t="s">
        <v>371</v>
      </c>
      <c r="F153" s="45" t="s">
        <v>372</v>
      </c>
      <c r="G153" s="45" t="s">
        <v>274</v>
      </c>
      <c r="H153" s="45" t="s">
        <v>385</v>
      </c>
      <c r="I153" s="45" t="s">
        <v>386</v>
      </c>
      <c r="J153" s="45">
        <v>219337254</v>
      </c>
      <c r="K153" s="45" t="s">
        <v>1460</v>
      </c>
      <c r="L153" s="48">
        <v>200</v>
      </c>
      <c r="M153" s="49">
        <v>20241223881</v>
      </c>
      <c r="N153" s="50" t="s">
        <v>28</v>
      </c>
      <c r="O153" s="50"/>
      <c r="P153" s="50"/>
      <c r="Q153" s="51"/>
      <c r="R153" s="50"/>
      <c r="S153" s="50"/>
      <c r="T153" s="51"/>
      <c r="U153" s="50"/>
    </row>
    <row r="154" spans="1:21" x14ac:dyDescent="0.25">
      <c r="A154" s="45" t="s">
        <v>324</v>
      </c>
      <c r="B154" s="46">
        <v>45775</v>
      </c>
      <c r="C154" s="45" t="s">
        <v>21</v>
      </c>
      <c r="D154" s="47"/>
      <c r="E154" s="45" t="s">
        <v>371</v>
      </c>
      <c r="F154" s="45" t="s">
        <v>372</v>
      </c>
      <c r="G154" s="45" t="s">
        <v>274</v>
      </c>
      <c r="H154" s="45" t="s">
        <v>1564</v>
      </c>
      <c r="I154" s="45" t="s">
        <v>3020</v>
      </c>
      <c r="J154" s="45">
        <v>225516007</v>
      </c>
      <c r="K154" s="45" t="s">
        <v>56</v>
      </c>
      <c r="L154" s="48">
        <v>90</v>
      </c>
      <c r="M154" s="49">
        <v>202412271109</v>
      </c>
      <c r="N154" s="50" t="s">
        <v>28</v>
      </c>
      <c r="O154" s="50"/>
      <c r="P154" s="50"/>
      <c r="Q154" s="51"/>
      <c r="R154" s="50"/>
      <c r="S154" s="50"/>
      <c r="T154" s="51"/>
      <c r="U154" s="50"/>
    </row>
    <row r="155" spans="1:21" x14ac:dyDescent="0.25">
      <c r="A155" s="45" t="s">
        <v>324</v>
      </c>
      <c r="B155" s="46">
        <v>45775</v>
      </c>
      <c r="C155" s="45" t="s">
        <v>21</v>
      </c>
      <c r="D155" s="47"/>
      <c r="E155" s="45" t="s">
        <v>362</v>
      </c>
      <c r="F155" s="45" t="s">
        <v>394</v>
      </c>
      <c r="G155" s="45" t="s">
        <v>837</v>
      </c>
      <c r="H155" s="45" t="s">
        <v>1675</v>
      </c>
      <c r="I155" s="45" t="s">
        <v>871</v>
      </c>
      <c r="J155" s="45">
        <v>565729236</v>
      </c>
      <c r="K155" s="45" t="s">
        <v>2601</v>
      </c>
      <c r="L155" s="48">
        <v>30</v>
      </c>
      <c r="M155" s="49">
        <v>202412231005</v>
      </c>
      <c r="N155" s="50" t="s">
        <v>28</v>
      </c>
      <c r="O155" s="50"/>
      <c r="P155" s="50"/>
      <c r="Q155" s="51"/>
      <c r="R155" s="50"/>
      <c r="S155" s="50"/>
      <c r="T155" s="51"/>
      <c r="U155" s="50"/>
    </row>
    <row r="156" spans="1:21" x14ac:dyDescent="0.25">
      <c r="A156" s="45" t="s">
        <v>324</v>
      </c>
      <c r="B156" s="46">
        <v>45775</v>
      </c>
      <c r="C156" s="45" t="s">
        <v>21</v>
      </c>
      <c r="D156" s="47"/>
      <c r="E156" s="45" t="s">
        <v>362</v>
      </c>
      <c r="F156" s="45" t="s">
        <v>394</v>
      </c>
      <c r="G156" s="45" t="s">
        <v>837</v>
      </c>
      <c r="H156" s="45" t="s">
        <v>1675</v>
      </c>
      <c r="I156" s="45" t="s">
        <v>871</v>
      </c>
      <c r="J156" s="45">
        <v>565729236</v>
      </c>
      <c r="K156" s="45" t="s">
        <v>2601</v>
      </c>
      <c r="L156" s="48">
        <v>30</v>
      </c>
      <c r="M156" s="49">
        <v>202412231011</v>
      </c>
      <c r="N156" s="50" t="s">
        <v>28</v>
      </c>
      <c r="O156" s="50"/>
      <c r="P156" s="50"/>
      <c r="Q156" s="51"/>
      <c r="R156" s="50"/>
      <c r="S156" s="50"/>
      <c r="T156" s="51"/>
      <c r="U156" s="50"/>
    </row>
    <row r="157" spans="1:21" x14ac:dyDescent="0.25">
      <c r="A157" s="45" t="s">
        <v>324</v>
      </c>
      <c r="B157" s="46">
        <v>45775</v>
      </c>
      <c r="C157" s="45" t="s">
        <v>21</v>
      </c>
      <c r="D157" s="47"/>
      <c r="E157" s="45" t="s">
        <v>362</v>
      </c>
      <c r="F157" s="45" t="s">
        <v>394</v>
      </c>
      <c r="G157" s="45" t="s">
        <v>837</v>
      </c>
      <c r="H157" s="45" t="s">
        <v>1675</v>
      </c>
      <c r="I157" s="45" t="s">
        <v>871</v>
      </c>
      <c r="J157" s="45">
        <v>565729236</v>
      </c>
      <c r="K157" s="45" t="s">
        <v>2475</v>
      </c>
      <c r="L157" s="48">
        <v>1129</v>
      </c>
      <c r="M157" s="49">
        <v>202412231000</v>
      </c>
      <c r="N157" s="50" t="s">
        <v>28</v>
      </c>
      <c r="O157" s="50"/>
      <c r="P157" s="50"/>
      <c r="Q157" s="51"/>
      <c r="R157" s="50"/>
      <c r="S157" s="50"/>
      <c r="T157" s="51"/>
      <c r="U157" s="50"/>
    </row>
    <row r="158" spans="1:21" x14ac:dyDescent="0.25">
      <c r="A158" s="45" t="s">
        <v>324</v>
      </c>
      <c r="B158" s="46">
        <v>45775</v>
      </c>
      <c r="C158" s="45" t="s">
        <v>21</v>
      </c>
      <c r="D158" s="47"/>
      <c r="E158" s="45" t="s">
        <v>362</v>
      </c>
      <c r="F158" s="45" t="s">
        <v>394</v>
      </c>
      <c r="G158" s="45" t="s">
        <v>837</v>
      </c>
      <c r="H158" s="45" t="s">
        <v>1675</v>
      </c>
      <c r="I158" s="45" t="s">
        <v>871</v>
      </c>
      <c r="J158" s="45">
        <v>565729236</v>
      </c>
      <c r="K158" s="45" t="s">
        <v>288</v>
      </c>
      <c r="L158" s="48">
        <v>45</v>
      </c>
      <c r="M158" s="49">
        <v>20241223996</v>
      </c>
      <c r="N158" s="50" t="s">
        <v>28</v>
      </c>
      <c r="O158" s="50"/>
      <c r="P158" s="50"/>
      <c r="Q158" s="51"/>
      <c r="R158" s="50"/>
      <c r="S158" s="50"/>
      <c r="T158" s="51"/>
      <c r="U158" s="50"/>
    </row>
    <row r="159" spans="1:21" ht="25.5" x14ac:dyDescent="0.25">
      <c r="A159" s="45" t="s">
        <v>324</v>
      </c>
      <c r="B159" s="46">
        <v>45775</v>
      </c>
      <c r="C159" s="45" t="s">
        <v>21</v>
      </c>
      <c r="D159" s="47"/>
      <c r="E159" s="45" t="s">
        <v>362</v>
      </c>
      <c r="F159" s="45" t="s">
        <v>394</v>
      </c>
      <c r="G159" s="45" t="s">
        <v>3021</v>
      </c>
      <c r="H159" s="45" t="s">
        <v>230</v>
      </c>
      <c r="I159" s="45" t="s">
        <v>3022</v>
      </c>
      <c r="J159" s="45">
        <v>570740593</v>
      </c>
      <c r="K159" s="45" t="s">
        <v>387</v>
      </c>
      <c r="L159" s="48">
        <v>6.87</v>
      </c>
      <c r="M159" s="49">
        <v>202412231096</v>
      </c>
      <c r="N159" s="50" t="s">
        <v>28</v>
      </c>
      <c r="O159" s="50"/>
      <c r="P159" s="50"/>
      <c r="Q159" s="51"/>
      <c r="R159" s="50"/>
      <c r="S159" s="50"/>
      <c r="T159" s="51"/>
      <c r="U159" s="50"/>
    </row>
    <row r="160" spans="1:21" ht="25.5" x14ac:dyDescent="0.25">
      <c r="A160" s="45" t="s">
        <v>324</v>
      </c>
      <c r="B160" s="46">
        <v>45775</v>
      </c>
      <c r="C160" s="45" t="s">
        <v>21</v>
      </c>
      <c r="D160" s="47"/>
      <c r="E160" s="45" t="s">
        <v>362</v>
      </c>
      <c r="F160" s="45" t="s">
        <v>394</v>
      </c>
      <c r="G160" s="45" t="s">
        <v>3021</v>
      </c>
      <c r="H160" s="45" t="s">
        <v>230</v>
      </c>
      <c r="I160" s="45" t="s">
        <v>3022</v>
      </c>
      <c r="J160" s="45">
        <v>570740593</v>
      </c>
      <c r="K160" s="45" t="s">
        <v>154</v>
      </c>
      <c r="L160" s="48">
        <v>30</v>
      </c>
      <c r="M160" s="49">
        <v>202412231098</v>
      </c>
      <c r="N160" s="50" t="s">
        <v>28</v>
      </c>
      <c r="O160" s="50"/>
      <c r="P160" s="50"/>
      <c r="Q160" s="51"/>
      <c r="R160" s="50"/>
      <c r="S160" s="50"/>
      <c r="T160" s="51"/>
      <c r="U160" s="50"/>
    </row>
    <row r="161" spans="1:21" ht="25.5" x14ac:dyDescent="0.25">
      <c r="A161" s="45" t="s">
        <v>324</v>
      </c>
      <c r="B161" s="46">
        <v>45775</v>
      </c>
      <c r="C161" s="45" t="s">
        <v>21</v>
      </c>
      <c r="D161" s="47"/>
      <c r="E161" s="45" t="s">
        <v>362</v>
      </c>
      <c r="F161" s="45" t="s">
        <v>394</v>
      </c>
      <c r="G161" s="45" t="s">
        <v>3021</v>
      </c>
      <c r="H161" s="45" t="s">
        <v>230</v>
      </c>
      <c r="I161" s="45" t="s">
        <v>3022</v>
      </c>
      <c r="J161" s="45">
        <v>570740593</v>
      </c>
      <c r="K161" s="45" t="s">
        <v>1535</v>
      </c>
      <c r="L161" s="48">
        <v>1.28</v>
      </c>
      <c r="M161" s="49">
        <v>202412231100</v>
      </c>
      <c r="N161" s="50" t="s">
        <v>28</v>
      </c>
      <c r="O161" s="50"/>
      <c r="P161" s="50"/>
      <c r="Q161" s="51"/>
      <c r="R161" s="50"/>
      <c r="S161" s="50"/>
      <c r="T161" s="51"/>
      <c r="U161" s="50"/>
    </row>
    <row r="162" spans="1:21" ht="25.5" x14ac:dyDescent="0.25">
      <c r="A162" s="45" t="s">
        <v>324</v>
      </c>
      <c r="B162" s="46">
        <v>45778</v>
      </c>
      <c r="C162" s="45" t="s">
        <v>244</v>
      </c>
      <c r="D162" s="47" t="s">
        <v>34</v>
      </c>
      <c r="E162" s="45" t="s">
        <v>362</v>
      </c>
      <c r="F162" s="45" t="s">
        <v>394</v>
      </c>
      <c r="G162" s="45" t="s">
        <v>3021</v>
      </c>
      <c r="H162" s="45" t="s">
        <v>230</v>
      </c>
      <c r="I162" s="45" t="s">
        <v>3022</v>
      </c>
      <c r="J162" s="45">
        <v>570740593</v>
      </c>
      <c r="K162" s="45" t="s">
        <v>1535</v>
      </c>
      <c r="L162" s="48">
        <v>22.86</v>
      </c>
      <c r="M162" s="49">
        <v>202412231101</v>
      </c>
      <c r="N162" s="50" t="s">
        <v>28</v>
      </c>
      <c r="O162" s="50"/>
      <c r="P162" s="50"/>
      <c r="Q162" s="51"/>
      <c r="R162" s="50"/>
      <c r="S162" s="50"/>
      <c r="T162" s="51"/>
      <c r="U162" s="50"/>
    </row>
    <row r="163" spans="1:21" ht="25.5" x14ac:dyDescent="0.25">
      <c r="A163" s="45" t="s">
        <v>324</v>
      </c>
      <c r="B163" s="46">
        <v>45778</v>
      </c>
      <c r="C163" s="45" t="s">
        <v>244</v>
      </c>
      <c r="D163" s="47" t="s">
        <v>34</v>
      </c>
      <c r="E163" s="45" t="s">
        <v>362</v>
      </c>
      <c r="F163" s="45" t="s">
        <v>394</v>
      </c>
      <c r="G163" s="45" t="s">
        <v>3021</v>
      </c>
      <c r="H163" s="45" t="s">
        <v>230</v>
      </c>
      <c r="I163" s="45" t="s">
        <v>3022</v>
      </c>
      <c r="J163" s="45">
        <v>570740593</v>
      </c>
      <c r="K163" s="45" t="s">
        <v>1491</v>
      </c>
      <c r="L163" s="48">
        <v>18.07</v>
      </c>
      <c r="M163" s="49">
        <v>202412231102</v>
      </c>
      <c r="N163" s="50" t="s">
        <v>28</v>
      </c>
      <c r="O163" s="50"/>
      <c r="P163" s="50"/>
      <c r="Q163" s="51"/>
      <c r="R163" s="50"/>
      <c r="S163" s="50"/>
      <c r="T163" s="51"/>
      <c r="U163" s="50"/>
    </row>
    <row r="164" spans="1:21" ht="25.5" x14ac:dyDescent="0.25">
      <c r="A164" s="45" t="s">
        <v>324</v>
      </c>
      <c r="B164" s="46">
        <v>45778</v>
      </c>
      <c r="C164" s="45" t="s">
        <v>244</v>
      </c>
      <c r="D164" s="47" t="s">
        <v>34</v>
      </c>
      <c r="E164" s="45" t="s">
        <v>362</v>
      </c>
      <c r="F164" s="45" t="s">
        <v>394</v>
      </c>
      <c r="G164" s="45" t="s">
        <v>3021</v>
      </c>
      <c r="H164" s="45" t="s">
        <v>230</v>
      </c>
      <c r="I164" s="45" t="s">
        <v>3022</v>
      </c>
      <c r="J164" s="45">
        <v>570740593</v>
      </c>
      <c r="K164" s="45" t="s">
        <v>1146</v>
      </c>
      <c r="L164" s="48">
        <v>174.74</v>
      </c>
      <c r="M164" s="49">
        <v>202412231105</v>
      </c>
      <c r="N164" s="50" t="s">
        <v>28</v>
      </c>
      <c r="O164" s="50"/>
      <c r="P164" s="50"/>
      <c r="Q164" s="51"/>
      <c r="R164" s="50"/>
      <c r="S164" s="50"/>
      <c r="T164" s="51"/>
      <c r="U164" s="50"/>
    </row>
    <row r="165" spans="1:21" ht="25.5" x14ac:dyDescent="0.25">
      <c r="A165" s="45" t="s">
        <v>324</v>
      </c>
      <c r="B165" s="46">
        <v>45778</v>
      </c>
      <c r="C165" s="45" t="s">
        <v>244</v>
      </c>
      <c r="D165" s="47" t="s">
        <v>34</v>
      </c>
      <c r="E165" s="45" t="s">
        <v>362</v>
      </c>
      <c r="F165" s="45" t="s">
        <v>394</v>
      </c>
      <c r="G165" s="45" t="s">
        <v>3021</v>
      </c>
      <c r="H165" s="45" t="s">
        <v>230</v>
      </c>
      <c r="I165" s="45" t="s">
        <v>3022</v>
      </c>
      <c r="J165" s="45">
        <v>570740593</v>
      </c>
      <c r="K165" s="45" t="s">
        <v>387</v>
      </c>
      <c r="L165" s="48">
        <v>3.57</v>
      </c>
      <c r="M165" s="49">
        <v>202412231091</v>
      </c>
      <c r="N165" s="50" t="s">
        <v>28</v>
      </c>
      <c r="O165" s="50"/>
      <c r="P165" s="50"/>
      <c r="Q165" s="51"/>
      <c r="R165" s="50"/>
      <c r="S165" s="50"/>
      <c r="T165" s="51"/>
      <c r="U165" s="50"/>
    </row>
    <row r="166" spans="1:21" ht="25.5" x14ac:dyDescent="0.25">
      <c r="A166" s="45" t="s">
        <v>324</v>
      </c>
      <c r="B166" s="46">
        <v>45778</v>
      </c>
      <c r="C166" s="45" t="s">
        <v>244</v>
      </c>
      <c r="D166" s="47" t="s">
        <v>34</v>
      </c>
      <c r="E166" s="45" t="s">
        <v>362</v>
      </c>
      <c r="F166" s="45" t="s">
        <v>394</v>
      </c>
      <c r="G166" s="45" t="s">
        <v>3021</v>
      </c>
      <c r="H166" s="45" t="s">
        <v>230</v>
      </c>
      <c r="I166" s="45" t="s">
        <v>3022</v>
      </c>
      <c r="J166" s="45">
        <v>570740593</v>
      </c>
      <c r="K166" s="45" t="s">
        <v>2164</v>
      </c>
      <c r="L166" s="48">
        <v>4.24</v>
      </c>
      <c r="M166" s="49">
        <v>202412231088</v>
      </c>
      <c r="N166" s="50" t="s">
        <v>28</v>
      </c>
      <c r="O166" s="50"/>
      <c r="P166" s="50"/>
      <c r="Q166" s="51"/>
      <c r="R166" s="50"/>
      <c r="S166" s="50"/>
      <c r="T166" s="51"/>
      <c r="U166" s="50"/>
    </row>
    <row r="167" spans="1:21" x14ac:dyDescent="0.25">
      <c r="A167" s="45" t="s">
        <v>20</v>
      </c>
      <c r="B167" s="46">
        <v>45777</v>
      </c>
      <c r="C167" s="45" t="s">
        <v>244</v>
      </c>
      <c r="D167" s="47" t="s">
        <v>168</v>
      </c>
      <c r="E167" s="45" t="s">
        <v>362</v>
      </c>
      <c r="F167" s="45" t="s">
        <v>394</v>
      </c>
      <c r="G167" s="45" t="s">
        <v>71</v>
      </c>
      <c r="H167" s="45" t="s">
        <v>3023</v>
      </c>
      <c r="I167" s="45" t="s">
        <v>3024</v>
      </c>
      <c r="J167" s="45">
        <v>575219042</v>
      </c>
      <c r="K167" s="45" t="s">
        <v>2735</v>
      </c>
      <c r="L167" s="48">
        <v>60.85</v>
      </c>
      <c r="M167" s="49">
        <v>202412231239</v>
      </c>
      <c r="N167" s="50" t="s">
        <v>28</v>
      </c>
      <c r="O167" s="50"/>
      <c r="P167" s="50"/>
      <c r="Q167" s="51"/>
      <c r="R167" s="50"/>
      <c r="S167" s="50"/>
      <c r="T167" s="51"/>
      <c r="U167" s="50"/>
    </row>
    <row r="168" spans="1:21" x14ac:dyDescent="0.25">
      <c r="A168" s="45" t="s">
        <v>233</v>
      </c>
      <c r="B168" s="46">
        <v>45778</v>
      </c>
      <c r="C168" s="45" t="s">
        <v>244</v>
      </c>
      <c r="D168" s="47" t="s">
        <v>34</v>
      </c>
      <c r="E168" s="45" t="s">
        <v>362</v>
      </c>
      <c r="F168" s="45" t="s">
        <v>394</v>
      </c>
      <c r="G168" s="45" t="s">
        <v>1339</v>
      </c>
      <c r="H168" s="45" t="s">
        <v>3025</v>
      </c>
      <c r="I168" s="45" t="s">
        <v>3026</v>
      </c>
      <c r="J168" s="45">
        <v>575805958</v>
      </c>
      <c r="K168" s="45" t="s">
        <v>999</v>
      </c>
      <c r="L168" s="48">
        <v>7.9</v>
      </c>
      <c r="M168" s="49">
        <v>20241224918</v>
      </c>
      <c r="N168" s="50" t="s">
        <v>28</v>
      </c>
      <c r="O168" s="50"/>
      <c r="P168" s="50"/>
      <c r="Q168" s="51"/>
      <c r="R168" s="50"/>
      <c r="S168" s="50"/>
      <c r="T168" s="51"/>
      <c r="U168" s="50"/>
    </row>
    <row r="169" spans="1:21" x14ac:dyDescent="0.25">
      <c r="A169" s="45" t="s">
        <v>233</v>
      </c>
      <c r="B169" s="46">
        <v>45778</v>
      </c>
      <c r="C169" s="45" t="s">
        <v>244</v>
      </c>
      <c r="D169" s="47" t="s">
        <v>34</v>
      </c>
      <c r="E169" s="45" t="s">
        <v>362</v>
      </c>
      <c r="F169" s="45" t="s">
        <v>394</v>
      </c>
      <c r="G169" s="45" t="s">
        <v>1339</v>
      </c>
      <c r="H169" s="45" t="s">
        <v>3025</v>
      </c>
      <c r="I169" s="45" t="s">
        <v>3026</v>
      </c>
      <c r="J169" s="45">
        <v>575805958</v>
      </c>
      <c r="K169" s="45" t="s">
        <v>106</v>
      </c>
      <c r="L169" s="48">
        <v>82.39</v>
      </c>
      <c r="M169" s="49">
        <v>20241224917</v>
      </c>
      <c r="N169" s="50" t="s">
        <v>28</v>
      </c>
      <c r="O169" s="50"/>
      <c r="P169" s="50"/>
      <c r="Q169" s="51"/>
      <c r="R169" s="50"/>
      <c r="S169" s="50"/>
      <c r="T169" s="51"/>
      <c r="U169" s="50"/>
    </row>
    <row r="170" spans="1:21" x14ac:dyDescent="0.25">
      <c r="A170" s="45" t="s">
        <v>29</v>
      </c>
      <c r="B170" s="46">
        <v>45777</v>
      </c>
      <c r="C170" s="45" t="s">
        <v>244</v>
      </c>
      <c r="D170" s="47" t="s">
        <v>168</v>
      </c>
      <c r="E170" s="45" t="s">
        <v>362</v>
      </c>
      <c r="F170" s="45" t="s">
        <v>409</v>
      </c>
      <c r="G170" s="45" t="s">
        <v>995</v>
      </c>
      <c r="H170" s="45" t="s">
        <v>3027</v>
      </c>
      <c r="I170" s="45" t="s">
        <v>3028</v>
      </c>
      <c r="J170" s="45">
        <v>431534867</v>
      </c>
      <c r="K170" s="45" t="s">
        <v>2372</v>
      </c>
      <c r="L170" s="48">
        <v>225</v>
      </c>
      <c r="M170" s="49">
        <v>20241216703</v>
      </c>
      <c r="N170" s="50" t="s">
        <v>28</v>
      </c>
      <c r="O170" s="50"/>
      <c r="P170" s="50"/>
      <c r="Q170" s="51"/>
      <c r="R170" s="50"/>
      <c r="S170" s="50"/>
      <c r="T170" s="51"/>
      <c r="U170" s="50"/>
    </row>
    <row r="171" spans="1:21" x14ac:dyDescent="0.25">
      <c r="A171" s="45" t="s">
        <v>29</v>
      </c>
      <c r="B171" s="80">
        <v>45777</v>
      </c>
      <c r="C171" s="45" t="s">
        <v>244</v>
      </c>
      <c r="D171" s="47" t="s">
        <v>168</v>
      </c>
      <c r="E171" s="45" t="s">
        <v>411</v>
      </c>
      <c r="F171" s="45" t="s">
        <v>412</v>
      </c>
      <c r="G171" s="45" t="s">
        <v>3029</v>
      </c>
      <c r="H171" s="45" t="s">
        <v>411</v>
      </c>
      <c r="I171" s="45" t="s">
        <v>3030</v>
      </c>
      <c r="J171" s="45">
        <v>644099074</v>
      </c>
      <c r="K171" s="45" t="s">
        <v>301</v>
      </c>
      <c r="L171" s="48">
        <v>3809.6</v>
      </c>
      <c r="M171" s="49">
        <v>20241220711</v>
      </c>
      <c r="N171" s="50" t="s">
        <v>28</v>
      </c>
      <c r="O171" s="50"/>
      <c r="P171" s="50"/>
      <c r="Q171" s="51"/>
      <c r="R171" s="50"/>
      <c r="S171" s="50"/>
      <c r="T171" s="51"/>
      <c r="U171" s="50"/>
    </row>
    <row r="172" spans="1:21" ht="60" x14ac:dyDescent="0.25">
      <c r="A172" s="45" t="s">
        <v>849</v>
      </c>
      <c r="B172" s="46">
        <v>45778</v>
      </c>
      <c r="C172" s="45" t="s">
        <v>244</v>
      </c>
      <c r="D172" s="47" t="s">
        <v>34</v>
      </c>
      <c r="E172" s="45" t="s">
        <v>417</v>
      </c>
      <c r="F172" s="45" t="s">
        <v>418</v>
      </c>
      <c r="G172" s="45" t="s">
        <v>1171</v>
      </c>
      <c r="H172" s="45" t="s">
        <v>3031</v>
      </c>
      <c r="I172" s="45" t="s">
        <v>3032</v>
      </c>
      <c r="J172" s="45">
        <v>571510404</v>
      </c>
      <c r="K172" s="45" t="s">
        <v>2125</v>
      </c>
      <c r="L172" s="48">
        <v>10</v>
      </c>
      <c r="M172" s="49">
        <v>20241202719</v>
      </c>
      <c r="N172" s="50"/>
      <c r="O172" s="50" t="s">
        <v>124</v>
      </c>
      <c r="P172" s="50"/>
      <c r="Q172" s="51" t="s">
        <v>3033</v>
      </c>
      <c r="R172" s="50"/>
      <c r="S172" s="50"/>
      <c r="T172" s="51"/>
      <c r="U172" s="50"/>
    </row>
    <row r="173" spans="1:21" x14ac:dyDescent="0.25">
      <c r="A173" s="45" t="s">
        <v>29</v>
      </c>
      <c r="B173" s="80">
        <v>45777</v>
      </c>
      <c r="C173" s="45" t="s">
        <v>244</v>
      </c>
      <c r="D173" s="47" t="s">
        <v>168</v>
      </c>
      <c r="E173" s="45" t="s">
        <v>696</v>
      </c>
      <c r="F173" s="45" t="s">
        <v>697</v>
      </c>
      <c r="G173" s="45" t="s">
        <v>178</v>
      </c>
      <c r="H173" s="45" t="s">
        <v>1814</v>
      </c>
      <c r="I173" s="45" t="s">
        <v>549</v>
      </c>
      <c r="J173" s="45">
        <v>224475519</v>
      </c>
      <c r="K173" s="45" t="s">
        <v>1358</v>
      </c>
      <c r="L173" s="48">
        <v>1700</v>
      </c>
      <c r="M173" s="49">
        <v>20241204670</v>
      </c>
      <c r="N173" s="50" t="s">
        <v>28</v>
      </c>
      <c r="O173" s="50"/>
      <c r="P173" s="50"/>
      <c r="Q173" s="51"/>
      <c r="R173" s="50"/>
      <c r="S173" s="50"/>
      <c r="T173" s="51"/>
      <c r="U173" s="50"/>
    </row>
  </sheetData>
  <sortState xmlns:xlrd2="http://schemas.microsoft.com/office/spreadsheetml/2017/richdata2" ref="A2:U173">
    <sortCondition ref="J2:J173"/>
  </sortState>
  <conditionalFormatting sqref="N1:N1048576">
    <cfRule type="cellIs" priority="13" stopIfTrue="1" operator="equal">
      <formula>""</formula>
    </cfRule>
    <cfRule type="cellIs" priority="14" stopIfTrue="1" operator="equal">
      <formula>"Correct = C"</formula>
    </cfRule>
    <cfRule type="cellIs" dxfId="43" priority="15" operator="notEqual">
      <formula>"C"</formula>
    </cfRule>
  </conditionalFormatting>
  <conditionalFormatting sqref="O1:O1048576">
    <cfRule type="cellIs" priority="10" stopIfTrue="1" operator="equal">
      <formula>""</formula>
    </cfRule>
    <cfRule type="cellIs" priority="11" stopIfTrue="1" operator="equal">
      <formula>"Major = M"</formula>
    </cfRule>
    <cfRule type="cellIs" dxfId="42" priority="12" operator="notEqual">
      <formula>"M"</formula>
    </cfRule>
  </conditionalFormatting>
  <conditionalFormatting sqref="P1:P1048576">
    <cfRule type="cellIs" priority="7" stopIfTrue="1" operator="equal">
      <formula>""</formula>
    </cfRule>
    <cfRule type="cellIs" priority="8" stopIfTrue="1" operator="equal">
      <formula>"Minor = E"</formula>
    </cfRule>
    <cfRule type="cellIs" dxfId="41" priority="9" operator="notEqual">
      <formula>"E"</formula>
    </cfRule>
  </conditionalFormatting>
  <conditionalFormatting sqref="R1:R1048576">
    <cfRule type="cellIs" priority="4" stopIfTrue="1" operator="equal">
      <formula>""</formula>
    </cfRule>
    <cfRule type="cellIs" priority="5" stopIfTrue="1" operator="equal">
      <formula>"Inserted Major = M"</formula>
    </cfRule>
    <cfRule type="cellIs" dxfId="40" priority="6" operator="notEqual">
      <formula>"M"</formula>
    </cfRule>
  </conditionalFormatting>
  <conditionalFormatting sqref="S1:S1048576">
    <cfRule type="cellIs" priority="1" stopIfTrue="1" operator="equal">
      <formula>""</formula>
    </cfRule>
    <cfRule type="cellIs" priority="2" stopIfTrue="1" operator="equal">
      <formula>"Inserted Minor = E"</formula>
    </cfRule>
    <cfRule type="cellIs" dxfId="39" priority="3" operator="notEqual">
      <formula>"E"</formula>
    </cfRule>
  </conditionalFormatting>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E774D8-1F8A-4936-9AAD-8308642DA1B2}">
  <sheetPr codeName="Sheet28"/>
  <dimension ref="B2:AA50"/>
  <sheetViews>
    <sheetView topLeftCell="AH1" workbookViewId="0"/>
  </sheetViews>
  <sheetFormatPr defaultRowHeight="15" x14ac:dyDescent="0.25"/>
  <cols>
    <col min="1" max="1" width="2.7109375" customWidth="1"/>
    <col min="2" max="2" width="28.140625" style="1" bestFit="1" customWidth="1"/>
    <col min="3" max="3" width="19.140625" style="1" hidden="1" customWidth="1"/>
    <col min="4" max="4" width="21.7109375" style="1" hidden="1" customWidth="1"/>
    <col min="5" max="5" width="11" style="1" hidden="1" customWidth="1"/>
    <col min="6" max="6" width="9.5703125" style="1" hidden="1" customWidth="1"/>
    <col min="7" max="7" width="16.140625" style="1" hidden="1" customWidth="1"/>
    <col min="8" max="8" width="17.140625" style="1" customWidth="1"/>
    <col min="9" max="9" width="33.85546875" style="1" hidden="1" customWidth="1"/>
    <col min="10" max="10" width="16.140625" style="1" customWidth="1"/>
    <col min="11" max="11" width="20.85546875" style="1" hidden="1" customWidth="1"/>
    <col min="12" max="12" width="19.85546875" style="1" hidden="1" customWidth="1"/>
    <col min="13" max="13" width="9.140625" style="1"/>
    <col min="14" max="16" width="0" style="1" hidden="1" customWidth="1"/>
    <col min="17" max="17" width="9.140625" style="1"/>
    <col min="18" max="19" width="9.140625" style="27"/>
    <col min="20" max="20" width="9.140625" style="1"/>
    <col min="21" max="22" width="9.140625" style="2"/>
    <col min="23" max="23" width="9.140625" style="1"/>
    <col min="24" max="24" width="18.85546875" style="1" bestFit="1" customWidth="1"/>
    <col min="25" max="27" width="9.140625" style="1"/>
  </cols>
  <sheetData>
    <row r="2" spans="2:24" s="1" customFormat="1" ht="52.5" x14ac:dyDescent="0.25">
      <c r="B2" s="22" t="s">
        <v>437</v>
      </c>
      <c r="C2" s="22" t="s">
        <v>438</v>
      </c>
      <c r="D2" s="22" t="s">
        <v>439</v>
      </c>
      <c r="E2" s="23" t="s">
        <v>440</v>
      </c>
      <c r="F2" s="23" t="s">
        <v>441</v>
      </c>
      <c r="G2" s="23" t="s">
        <v>442</v>
      </c>
      <c r="H2" s="23" t="s">
        <v>443</v>
      </c>
      <c r="I2" s="23" t="s">
        <v>444</v>
      </c>
      <c r="J2" s="23" t="s">
        <v>445</v>
      </c>
      <c r="K2" s="23" t="s">
        <v>446</v>
      </c>
      <c r="L2" s="23" t="s">
        <v>447</v>
      </c>
      <c r="M2" s="24" t="s">
        <v>448</v>
      </c>
      <c r="N2" s="24"/>
      <c r="O2" s="24"/>
      <c r="P2" s="24" t="s">
        <v>449</v>
      </c>
      <c r="Q2" s="24" t="s">
        <v>450</v>
      </c>
      <c r="R2" s="25" t="s">
        <v>451</v>
      </c>
      <c r="S2" s="25" t="s">
        <v>452</v>
      </c>
      <c r="T2" s="24" t="s">
        <v>453</v>
      </c>
      <c r="U2" s="26" t="s">
        <v>454</v>
      </c>
      <c r="V2" s="2"/>
    </row>
    <row r="3" spans="2:24" s="1" customFormat="1" ht="15" customHeight="1" x14ac:dyDescent="0.25">
      <c r="B3" s="1" t="s">
        <v>455</v>
      </c>
      <c r="C3" s="1" t="s">
        <v>456</v>
      </c>
      <c r="D3" s="1" t="s">
        <v>297</v>
      </c>
      <c r="E3" t="s">
        <v>457</v>
      </c>
      <c r="F3" t="s">
        <v>458</v>
      </c>
      <c r="G3" t="s">
        <v>459</v>
      </c>
      <c r="H3" t="s">
        <v>460</v>
      </c>
      <c r="I3" t="s">
        <v>461</v>
      </c>
      <c r="J3" t="s">
        <v>462</v>
      </c>
      <c r="K3"/>
      <c r="L3" t="s">
        <v>463</v>
      </c>
      <c r="M3">
        <v>0</v>
      </c>
      <c r="N3" t="s">
        <v>464</v>
      </c>
      <c r="O3"/>
      <c r="P3"/>
      <c r="Q3" s="7"/>
      <c r="R3" s="27" t="str">
        <f t="shared" ref="R3:R48" si="0">IF(Q3-SUM(S3:T3)=0,"",Q3-SUM(S3:T3))</f>
        <v/>
      </c>
      <c r="S3" s="27" t="str">
        <f>IF(SUM(COUNTIFS('12_23_12_29'!E:E,'12_23_12_29 Acc Rate'!C3,'12_23_12_29'!O:O,"*M*"),COUNTIFS('12_23_12_29'!E:E,'12_23_12_29 Acc Rate'!C3,'12_23_12_29'!R:R,"*M*"))=0,"",SUM(COUNTIFS('12_23_12_29'!E:E,'12_23_12_29 Acc Rate'!C3,'12_23_12_29'!O:O,"*M*"),COUNTIFS('12_23_12_29'!E:E,'12_23_12_29 Acc Rate'!C3,'12_23_12_29'!R:R,"*M*")))</f>
        <v/>
      </c>
      <c r="T3" s="1" t="str">
        <f>IF(SUM(COUNTIFS('12_23_12_29'!E:E,'12_23_12_29 Acc Rate'!C3,'12_23_12_29'!P:P,"*E*"),COUNTIFS('12_23_12_29'!E:E,'12_23_12_29 Acc Rate'!C3,'12_23_12_29'!S:S,"*E*"))=0,"",SUM(COUNTIFS('12_23_12_29'!E:E,'12_23_12_29 Acc Rate'!C3,'12_23_12_29'!P:P,"*E*"),COUNTIFS('12_23_12_29'!E:E,'12_23_12_29 Acc Rate'!C3,'12_23_12_29'!S:S,"*E*")))</f>
        <v/>
      </c>
      <c r="U3" s="8" t="str">
        <f>IF(ISERROR(SUM(_xlfn.NUMBERVALUE(S3)*8+_xlfn.NUMBERVALUE(T3)*2)/Q3),"",SUM(_xlfn.NUMBERVALUE(S3)*8+_xlfn.NUMBERVALUE(T3)*2)/Q3)</f>
        <v/>
      </c>
      <c r="V3" s="2"/>
      <c r="W3" s="83" t="s">
        <v>465</v>
      </c>
      <c r="X3" s="83"/>
    </row>
    <row r="4" spans="2:24" s="1" customFormat="1" ht="15" customHeight="1" x14ac:dyDescent="0.25">
      <c r="B4" s="1" t="s">
        <v>506</v>
      </c>
      <c r="C4" s="1" t="s">
        <v>208</v>
      </c>
      <c r="D4" s="1" t="s">
        <v>209</v>
      </c>
      <c r="E4" t="s">
        <v>507</v>
      </c>
      <c r="F4" t="s">
        <v>352</v>
      </c>
      <c r="G4" t="s">
        <v>508</v>
      </c>
      <c r="H4" t="s">
        <v>460</v>
      </c>
      <c r="I4" t="s">
        <v>509</v>
      </c>
      <c r="J4" t="s">
        <v>470</v>
      </c>
      <c r="K4"/>
      <c r="L4" t="s">
        <v>510</v>
      </c>
      <c r="M4">
        <v>15</v>
      </c>
      <c r="N4" t="s">
        <v>511</v>
      </c>
      <c r="O4">
        <v>32</v>
      </c>
      <c r="P4">
        <v>40</v>
      </c>
      <c r="Q4" s="7"/>
      <c r="R4" s="27" t="str">
        <f t="shared" si="0"/>
        <v/>
      </c>
      <c r="S4" s="27" t="str">
        <f>IF(SUM(COUNTIFS('12_23_12_29'!E:E,'12_23_12_29 Acc Rate'!C4,'12_23_12_29'!O:O,"*M*"),COUNTIFS('12_23_12_29'!E:E,'12_23_12_29 Acc Rate'!C4,'12_23_12_29'!R:R,"*M*"))=0,"",SUM(COUNTIFS('12_23_12_29'!E:E,'12_23_12_29 Acc Rate'!C4,'12_23_12_29'!O:O,"*M*"),COUNTIFS('12_23_12_29'!E:E,'12_23_12_29 Acc Rate'!C4,'12_23_12_29'!R:R,"*M*")))</f>
        <v/>
      </c>
      <c r="T4" s="1" t="str">
        <f>IF(SUM(COUNTIFS('12_23_12_29'!E:E,'12_23_12_29 Acc Rate'!C4,'12_23_12_29'!P:P,"*E*"),COUNTIFS('12_23_12_29'!E:E,'12_23_12_29 Acc Rate'!C4,'12_23_12_29'!S:S,"*E*"))=0,"",SUM(COUNTIFS('12_23_12_29'!E:E,'12_23_12_29 Acc Rate'!C4,'12_23_12_29'!P:P,"*E*"),COUNTIFS('12_23_12_29'!E:E,'12_23_12_29 Acc Rate'!C4,'12_23_12_29'!S:S,"*E*")))</f>
        <v/>
      </c>
      <c r="U4" s="8" t="str">
        <f t="shared" ref="U4:U47" si="1">IF(ISERROR(SUM(_xlfn.NUMBERVALUE(S4)*8+_xlfn.NUMBERVALUE(T4)*2)/Q4),"",SUM(_xlfn.NUMBERVALUE(S4)*8+_xlfn.NUMBERVALUE(T4)*2)/Q4)</f>
        <v/>
      </c>
      <c r="V4" s="2"/>
      <c r="W4" s="40" t="s">
        <v>473</v>
      </c>
      <c r="X4" s="41" t="s">
        <v>474</v>
      </c>
    </row>
    <row r="5" spans="2:24" s="1" customFormat="1" ht="15" customHeight="1" x14ac:dyDescent="0.25">
      <c r="B5" s="1" t="s">
        <v>525</v>
      </c>
      <c r="C5" s="1" t="s">
        <v>277</v>
      </c>
      <c r="D5" s="1" t="s">
        <v>278</v>
      </c>
      <c r="E5" t="s">
        <v>526</v>
      </c>
      <c r="F5" t="s">
        <v>527</v>
      </c>
      <c r="G5" t="s">
        <v>528</v>
      </c>
      <c r="H5" t="s">
        <v>460</v>
      </c>
      <c r="I5" t="s">
        <v>529</v>
      </c>
      <c r="J5" t="s">
        <v>2033</v>
      </c>
      <c r="K5" t="s">
        <v>509</v>
      </c>
      <c r="L5"/>
      <c r="M5">
        <v>15</v>
      </c>
      <c r="N5" t="s">
        <v>530</v>
      </c>
      <c r="O5">
        <v>219</v>
      </c>
      <c r="P5">
        <v>25</v>
      </c>
      <c r="Q5" s="7"/>
      <c r="R5" s="27">
        <f t="shared" si="0"/>
        <v>-11</v>
      </c>
      <c r="S5" s="27">
        <f>IF(SUM(COUNTIFS('12_23_12_29'!E:E,'12_23_12_29 Acc Rate'!C5,'12_23_12_29'!O:O,"*M*"),COUNTIFS('12_23_12_29'!E:E,'12_23_12_29 Acc Rate'!C5,'12_23_12_29'!R:R,"*M*"))=0,"",SUM(COUNTIFS('12_23_12_29'!E:E,'12_23_12_29 Acc Rate'!C5,'12_23_12_29'!O:O,"*M*"),COUNTIFS('12_23_12_29'!E:E,'12_23_12_29 Acc Rate'!C5,'12_23_12_29'!R:R,"*M*")))</f>
        <v>11</v>
      </c>
      <c r="T5" s="1" t="str">
        <f>IF(SUM(COUNTIFS('12_23_12_29'!E:E,'12_23_12_29 Acc Rate'!C5,'12_23_12_29'!P:P,"*E*"),COUNTIFS('12_23_12_29'!E:E,'12_23_12_29 Acc Rate'!C5,'12_23_12_29'!S:S,"*E*"))=0,"",SUM(COUNTIFS('12_23_12_29'!E:E,'12_23_12_29 Acc Rate'!C5,'12_23_12_29'!P:P,"*E*"),COUNTIFS('12_23_12_29'!E:E,'12_23_12_29 Acc Rate'!C5,'12_23_12_29'!S:S,"*E*")))</f>
        <v/>
      </c>
      <c r="U5" s="8" t="str">
        <f t="shared" si="1"/>
        <v/>
      </c>
      <c r="V5" s="2"/>
      <c r="W5" s="40" t="s">
        <v>482</v>
      </c>
      <c r="X5" s="41" t="s">
        <v>483</v>
      </c>
    </row>
    <row r="6" spans="2:24" s="1" customFormat="1" ht="15" customHeight="1" x14ac:dyDescent="0.25">
      <c r="B6" s="1" t="s">
        <v>475</v>
      </c>
      <c r="C6" s="1" t="s">
        <v>362</v>
      </c>
      <c r="D6" s="1" t="s">
        <v>394</v>
      </c>
      <c r="E6" t="s">
        <v>476</v>
      </c>
      <c r="F6" t="s">
        <v>175</v>
      </c>
      <c r="G6" t="s">
        <v>477</v>
      </c>
      <c r="H6" t="s">
        <v>460</v>
      </c>
      <c r="I6" t="s">
        <v>478</v>
      </c>
      <c r="J6" t="s">
        <v>2033</v>
      </c>
      <c r="K6" t="s">
        <v>509</v>
      </c>
      <c r="L6" t="s">
        <v>480</v>
      </c>
      <c r="M6">
        <v>15</v>
      </c>
      <c r="N6" t="s">
        <v>481</v>
      </c>
      <c r="O6">
        <v>67</v>
      </c>
      <c r="P6">
        <v>20</v>
      </c>
      <c r="Q6" s="7"/>
      <c r="R6" s="27" t="str">
        <f t="shared" si="0"/>
        <v/>
      </c>
      <c r="S6" s="27" t="str">
        <f>IF(SUM(COUNTIFS('12_23_12_29'!E:E,'12_23_12_29 Acc Rate'!C6,'12_23_12_29'!O:O,"*M*"),COUNTIFS('12_23_12_29'!E:E,'12_23_12_29 Acc Rate'!C6,'12_23_12_29'!R:R,"*M*"))=0,"",SUM(COUNTIFS('12_23_12_29'!E:E,'12_23_12_29 Acc Rate'!C6,'12_23_12_29'!O:O,"*M*"),COUNTIFS('12_23_12_29'!E:E,'12_23_12_29 Acc Rate'!C6,'12_23_12_29'!R:R,"*M*")))</f>
        <v/>
      </c>
      <c r="T6" s="1" t="str">
        <f>IF(SUM(COUNTIFS('12_23_12_29'!E:E,'12_23_12_29 Acc Rate'!C6,'12_23_12_29'!P:P,"*E*"),COUNTIFS('12_23_12_29'!E:E,'12_23_12_29 Acc Rate'!C6,'12_23_12_29'!S:S,"*E*"))=0,"",SUM(COUNTIFS('12_23_12_29'!E:E,'12_23_12_29 Acc Rate'!C6,'12_23_12_29'!P:P,"*E*"),COUNTIFS('12_23_12_29'!E:E,'12_23_12_29 Acc Rate'!C6,'12_23_12_29'!S:S,"*E*")))</f>
        <v/>
      </c>
      <c r="U6" s="8" t="str">
        <f t="shared" si="1"/>
        <v/>
      </c>
      <c r="V6" s="2"/>
      <c r="W6" s="40" t="s">
        <v>490</v>
      </c>
      <c r="X6" s="41" t="s">
        <v>491</v>
      </c>
    </row>
    <row r="7" spans="2:24" s="1" customFormat="1" ht="15" customHeight="1" x14ac:dyDescent="0.25">
      <c r="B7" s="1" t="s">
        <v>542</v>
      </c>
      <c r="C7" s="1" t="s">
        <v>245</v>
      </c>
      <c r="D7" s="1" t="s">
        <v>246</v>
      </c>
      <c r="E7" t="s">
        <v>543</v>
      </c>
      <c r="F7" t="s">
        <v>21</v>
      </c>
      <c r="G7" t="s">
        <v>544</v>
      </c>
      <c r="H7" t="s">
        <v>460</v>
      </c>
      <c r="I7" t="s">
        <v>545</v>
      </c>
      <c r="J7" t="s">
        <v>2033</v>
      </c>
      <c r="K7" t="s">
        <v>509</v>
      </c>
      <c r="L7" t="s">
        <v>546</v>
      </c>
      <c r="M7">
        <v>15</v>
      </c>
      <c r="N7" t="s">
        <v>547</v>
      </c>
      <c r="O7">
        <v>209</v>
      </c>
      <c r="P7">
        <v>40</v>
      </c>
      <c r="Q7" s="7"/>
      <c r="R7" s="27" t="str">
        <f t="shared" si="0"/>
        <v/>
      </c>
      <c r="S7" s="27" t="str">
        <f>IF(SUM(COUNTIFS('12_23_12_29'!E:E,'12_23_12_29 Acc Rate'!C7,'12_23_12_29'!O:O,"*M*"),COUNTIFS('12_23_12_29'!E:E,'12_23_12_29 Acc Rate'!C7,'12_23_12_29'!R:R,"*M*"))=0,"",SUM(COUNTIFS('12_23_12_29'!E:E,'12_23_12_29 Acc Rate'!C7,'12_23_12_29'!O:O,"*M*"),COUNTIFS('12_23_12_29'!E:E,'12_23_12_29 Acc Rate'!C7,'12_23_12_29'!R:R,"*M*")))</f>
        <v/>
      </c>
      <c r="T7" s="1" t="str">
        <f>IF(SUM(COUNTIFS('12_23_12_29'!E:E,'12_23_12_29 Acc Rate'!C7,'12_23_12_29'!P:P,"*E*"),COUNTIFS('12_23_12_29'!E:E,'12_23_12_29 Acc Rate'!C7,'12_23_12_29'!S:S,"*E*"))=0,"",SUM(COUNTIFS('12_23_12_29'!E:E,'12_23_12_29 Acc Rate'!C7,'12_23_12_29'!P:P,"*E*"),COUNTIFS('12_23_12_29'!E:E,'12_23_12_29 Acc Rate'!C7,'12_23_12_29'!S:S,"*E*")))</f>
        <v/>
      </c>
      <c r="U7" s="8" t="str">
        <f t="shared" si="1"/>
        <v/>
      </c>
      <c r="V7" s="2"/>
      <c r="W7" s="84" t="s">
        <v>499</v>
      </c>
      <c r="X7" s="84"/>
    </row>
    <row r="8" spans="2:24" s="1" customFormat="1" ht="15" customHeight="1" x14ac:dyDescent="0.25">
      <c r="B8" s="1" t="s">
        <v>492</v>
      </c>
      <c r="C8" s="1" t="s">
        <v>107</v>
      </c>
      <c r="D8" s="1" t="s">
        <v>108</v>
      </c>
      <c r="E8" t="s">
        <v>493</v>
      </c>
      <c r="F8" t="s">
        <v>494</v>
      </c>
      <c r="G8" t="s">
        <v>495</v>
      </c>
      <c r="H8" t="s">
        <v>460</v>
      </c>
      <c r="I8" t="s">
        <v>496</v>
      </c>
      <c r="J8" t="s">
        <v>2033</v>
      </c>
      <c r="K8" t="s">
        <v>509</v>
      </c>
      <c r="L8"/>
      <c r="M8">
        <v>15</v>
      </c>
      <c r="N8" t="s">
        <v>497</v>
      </c>
      <c r="O8" t="s">
        <v>498</v>
      </c>
      <c r="P8">
        <v>40</v>
      </c>
      <c r="Q8" s="7"/>
      <c r="R8" s="27">
        <f t="shared" si="0"/>
        <v>-1</v>
      </c>
      <c r="S8" s="27">
        <f>IF(SUM(COUNTIFS('12_23_12_29'!E:E,'12_23_12_29 Acc Rate'!C8,'12_23_12_29'!O:O,"*M*"),COUNTIFS('12_23_12_29'!E:E,'12_23_12_29 Acc Rate'!C8,'12_23_12_29'!R:R,"*M*"))=0,"",SUM(COUNTIFS('12_23_12_29'!E:E,'12_23_12_29 Acc Rate'!C8,'12_23_12_29'!O:O,"*M*"),COUNTIFS('12_23_12_29'!E:E,'12_23_12_29 Acc Rate'!C8,'12_23_12_29'!R:R,"*M*")))</f>
        <v>1</v>
      </c>
      <c r="T8" s="1" t="str">
        <f>IF(SUM(COUNTIFS('12_23_12_29'!E:E,'12_23_12_29 Acc Rate'!C8,'12_23_12_29'!P:P,"*E*"),COUNTIFS('12_23_12_29'!E:E,'12_23_12_29 Acc Rate'!C8,'12_23_12_29'!S:S,"*E*"))=0,"",SUM(COUNTIFS('12_23_12_29'!E:E,'12_23_12_29 Acc Rate'!C8,'12_23_12_29'!P:P,"*E*"),COUNTIFS('12_23_12_29'!E:E,'12_23_12_29 Acc Rate'!C8,'12_23_12_29'!S:S,"*E*")))</f>
        <v/>
      </c>
      <c r="U8" s="8" t="str">
        <f t="shared" si="1"/>
        <v/>
      </c>
      <c r="V8" s="2"/>
      <c r="W8" s="85" t="s">
        <v>505</v>
      </c>
      <c r="X8" s="85"/>
    </row>
    <row r="9" spans="2:24" s="1" customFormat="1" ht="15" customHeight="1" x14ac:dyDescent="0.25">
      <c r="B9" s="1" t="s">
        <v>512</v>
      </c>
      <c r="C9" s="1" t="s">
        <v>371</v>
      </c>
      <c r="D9" s="1" t="s">
        <v>372</v>
      </c>
      <c r="E9" t="s">
        <v>513</v>
      </c>
      <c r="F9" t="s">
        <v>34</v>
      </c>
      <c r="G9" t="s">
        <v>514</v>
      </c>
      <c r="H9" t="s">
        <v>460</v>
      </c>
      <c r="I9" t="s">
        <v>515</v>
      </c>
      <c r="J9" t="s">
        <v>470</v>
      </c>
      <c r="K9"/>
      <c r="L9" t="s">
        <v>516</v>
      </c>
      <c r="M9">
        <v>15</v>
      </c>
      <c r="N9" t="s">
        <v>517</v>
      </c>
      <c r="O9">
        <v>132</v>
      </c>
      <c r="P9">
        <v>40</v>
      </c>
      <c r="Q9" s="7"/>
      <c r="R9" s="27" t="str">
        <f t="shared" si="0"/>
        <v/>
      </c>
      <c r="S9" s="27" t="str">
        <f>IF(SUM(COUNTIFS('12_23_12_29'!E:E,'12_23_12_29 Acc Rate'!C9,'12_23_12_29'!O:O,"*M*"),COUNTIFS('12_23_12_29'!E:E,'12_23_12_29 Acc Rate'!C9,'12_23_12_29'!R:R,"*M*"))=0,"",SUM(COUNTIFS('12_23_12_29'!E:E,'12_23_12_29 Acc Rate'!C9,'12_23_12_29'!O:O,"*M*"),COUNTIFS('12_23_12_29'!E:E,'12_23_12_29 Acc Rate'!C9,'12_23_12_29'!R:R,"*M*")))</f>
        <v/>
      </c>
      <c r="T9" s="1" t="str">
        <f>IF(SUM(COUNTIFS('12_23_12_29'!E:E,'12_23_12_29 Acc Rate'!C9,'12_23_12_29'!P:P,"*E*"),COUNTIFS('12_23_12_29'!E:E,'12_23_12_29 Acc Rate'!C9,'12_23_12_29'!S:S,"*E*"))=0,"",SUM(COUNTIFS('12_23_12_29'!E:E,'12_23_12_29 Acc Rate'!C9,'12_23_12_29'!P:P,"*E*"),COUNTIFS('12_23_12_29'!E:E,'12_23_12_29 Acc Rate'!C9,'12_23_12_29'!S:S,"*E*")))</f>
        <v/>
      </c>
      <c r="U9" s="8" t="str">
        <f t="shared" si="1"/>
        <v/>
      </c>
      <c r="V9" s="2"/>
    </row>
    <row r="10" spans="2:24" s="1" customFormat="1" ht="15" customHeight="1" x14ac:dyDescent="0.25">
      <c r="B10" s="1" t="s">
        <v>518</v>
      </c>
      <c r="C10" s="1" t="s">
        <v>296</v>
      </c>
      <c r="D10" s="1" t="s">
        <v>297</v>
      </c>
      <c r="E10" t="s">
        <v>519</v>
      </c>
      <c r="F10" t="s">
        <v>520</v>
      </c>
      <c r="G10" t="s">
        <v>521</v>
      </c>
      <c r="H10" t="s">
        <v>460</v>
      </c>
      <c r="I10" t="s">
        <v>522</v>
      </c>
      <c r="J10" t="s">
        <v>523</v>
      </c>
      <c r="K10" t="s">
        <v>515</v>
      </c>
      <c r="L10"/>
      <c r="M10">
        <v>15</v>
      </c>
      <c r="N10" t="s">
        <v>524</v>
      </c>
      <c r="O10">
        <v>719</v>
      </c>
      <c r="P10">
        <v>40</v>
      </c>
      <c r="Q10" s="7"/>
      <c r="R10" s="27">
        <f t="shared" si="0"/>
        <v>-1</v>
      </c>
      <c r="S10" s="27" t="str">
        <f>IF(SUM(COUNTIFS('12_23_12_29'!E:E,'12_23_12_29 Acc Rate'!C10,'12_23_12_29'!O:O,"*M*"),COUNTIFS('12_23_12_29'!E:E,'12_23_12_29 Acc Rate'!C10,'12_23_12_29'!R:R,"*M*"))=0,"",SUM(COUNTIFS('12_23_12_29'!E:E,'12_23_12_29 Acc Rate'!C10,'12_23_12_29'!O:O,"*M*"),COUNTIFS('12_23_12_29'!E:E,'12_23_12_29 Acc Rate'!C10,'12_23_12_29'!R:R,"*M*")))</f>
        <v/>
      </c>
      <c r="T10" s="1">
        <f>IF(SUM(COUNTIFS('12_23_12_29'!E:E,'12_23_12_29 Acc Rate'!C10,'12_23_12_29'!P:P,"*E*"),COUNTIFS('12_23_12_29'!E:E,'12_23_12_29 Acc Rate'!C10,'12_23_12_29'!S:S,"*E*"))=0,"",SUM(COUNTIFS('12_23_12_29'!E:E,'12_23_12_29 Acc Rate'!C10,'12_23_12_29'!P:P,"*E*"),COUNTIFS('12_23_12_29'!E:E,'12_23_12_29 Acc Rate'!C10,'12_23_12_29'!S:S,"*E*")))</f>
        <v>1</v>
      </c>
      <c r="U10" s="8" t="str">
        <f t="shared" si="1"/>
        <v/>
      </c>
      <c r="V10" s="2"/>
    </row>
    <row r="11" spans="2:24" s="1" customFormat="1" ht="15" customHeight="1" x14ac:dyDescent="0.25">
      <c r="B11" s="1" t="s">
        <v>531</v>
      </c>
      <c r="C11" s="1" t="s">
        <v>325</v>
      </c>
      <c r="D11" s="1" t="s">
        <v>278</v>
      </c>
      <c r="E11" t="s">
        <v>532</v>
      </c>
      <c r="F11" t="s">
        <v>244</v>
      </c>
      <c r="G11" t="s">
        <v>533</v>
      </c>
      <c r="H11" t="s">
        <v>460</v>
      </c>
      <c r="I11" t="s">
        <v>534</v>
      </c>
      <c r="J11" t="s">
        <v>523</v>
      </c>
      <c r="K11" t="s">
        <v>515</v>
      </c>
      <c r="L11" t="s">
        <v>535</v>
      </c>
      <c r="M11">
        <v>15</v>
      </c>
      <c r="N11" t="s">
        <v>536</v>
      </c>
      <c r="O11">
        <v>142</v>
      </c>
      <c r="P11">
        <v>25</v>
      </c>
      <c r="Q11" s="7"/>
      <c r="R11" s="27" t="str">
        <f t="shared" si="0"/>
        <v/>
      </c>
      <c r="S11" s="27" t="str">
        <f>IF(SUM(COUNTIFS('12_23_12_29'!E:E,'12_23_12_29 Acc Rate'!C11,'12_23_12_29'!O:O,"*M*"),COUNTIFS('12_23_12_29'!E:E,'12_23_12_29 Acc Rate'!C11,'12_23_12_29'!R:R,"*M*"))=0,"",SUM(COUNTIFS('12_23_12_29'!E:E,'12_23_12_29 Acc Rate'!C11,'12_23_12_29'!O:O,"*M*"),COUNTIFS('12_23_12_29'!E:E,'12_23_12_29 Acc Rate'!C11,'12_23_12_29'!R:R,"*M*")))</f>
        <v/>
      </c>
      <c r="T11" s="1" t="str">
        <f>IF(SUM(COUNTIFS('12_23_12_29'!E:E,'12_23_12_29 Acc Rate'!C11,'12_23_12_29'!P:P,"*E*"),COUNTIFS('12_23_12_29'!E:E,'12_23_12_29 Acc Rate'!C11,'12_23_12_29'!S:S,"*E*"))=0,"",SUM(COUNTIFS('12_23_12_29'!E:E,'12_23_12_29 Acc Rate'!C11,'12_23_12_29'!P:P,"*E*"),COUNTIFS('12_23_12_29'!E:E,'12_23_12_29 Acc Rate'!C11,'12_23_12_29'!S:S,"*E*")))</f>
        <v/>
      </c>
      <c r="U11" s="8" t="str">
        <f t="shared" si="1"/>
        <v/>
      </c>
      <c r="V11" s="2"/>
    </row>
    <row r="12" spans="2:24" s="1" customFormat="1" ht="15" customHeight="1" x14ac:dyDescent="0.25">
      <c r="B12" s="1" t="s">
        <v>537</v>
      </c>
      <c r="C12" s="1" t="s">
        <v>64</v>
      </c>
      <c r="D12" s="1" t="s">
        <v>65</v>
      </c>
      <c r="E12" t="s">
        <v>538</v>
      </c>
      <c r="F12" t="s">
        <v>114</v>
      </c>
      <c r="G12" t="s">
        <v>539</v>
      </c>
      <c r="H12" t="s">
        <v>460</v>
      </c>
      <c r="I12" t="s">
        <v>540</v>
      </c>
      <c r="J12" t="s">
        <v>523</v>
      </c>
      <c r="K12" t="s">
        <v>515</v>
      </c>
      <c r="L12"/>
      <c r="M12">
        <v>15</v>
      </c>
      <c r="N12" t="s">
        <v>541</v>
      </c>
      <c r="O12">
        <v>716</v>
      </c>
      <c r="P12">
        <v>25</v>
      </c>
      <c r="Q12" s="7"/>
      <c r="R12" s="27" t="str">
        <f t="shared" si="0"/>
        <v/>
      </c>
      <c r="S12" s="27" t="str">
        <f>IF(SUM(COUNTIFS('12_23_12_29'!E:E,'12_23_12_29 Acc Rate'!C12,'12_23_12_29'!O:O,"*M*"),COUNTIFS('12_23_12_29'!E:E,'12_23_12_29 Acc Rate'!C12,'12_23_12_29'!R:R,"*M*"))=0,"",SUM(COUNTIFS('12_23_12_29'!E:E,'12_23_12_29 Acc Rate'!C12,'12_23_12_29'!O:O,"*M*"),COUNTIFS('12_23_12_29'!E:E,'12_23_12_29 Acc Rate'!C12,'12_23_12_29'!R:R,"*M*")))</f>
        <v/>
      </c>
      <c r="T12" s="1" t="str">
        <f>IF(SUM(COUNTIFS('12_23_12_29'!E:E,'12_23_12_29 Acc Rate'!C12,'12_23_12_29'!P:P,"*E*"),COUNTIFS('12_23_12_29'!E:E,'12_23_12_29 Acc Rate'!C12,'12_23_12_29'!S:S,"*E*"))=0,"",SUM(COUNTIFS('12_23_12_29'!E:E,'12_23_12_29 Acc Rate'!C12,'12_23_12_29'!P:P,"*E*"),COUNTIFS('12_23_12_29'!E:E,'12_23_12_29 Acc Rate'!C12,'12_23_12_29'!S:S,"*E*")))</f>
        <v/>
      </c>
      <c r="U12" s="8" t="str">
        <f t="shared" si="1"/>
        <v/>
      </c>
      <c r="V12" s="2"/>
    </row>
    <row r="13" spans="2:24" s="1" customFormat="1" ht="15" customHeight="1" x14ac:dyDescent="0.25">
      <c r="B13" s="1" t="s">
        <v>484</v>
      </c>
      <c r="C13" s="1" t="s">
        <v>22</v>
      </c>
      <c r="D13" s="1" t="s">
        <v>23</v>
      </c>
      <c r="E13" t="s">
        <v>485</v>
      </c>
      <c r="F13" t="s">
        <v>486</v>
      </c>
      <c r="G13" t="s">
        <v>487</v>
      </c>
      <c r="H13" t="s">
        <v>460</v>
      </c>
      <c r="I13" t="s">
        <v>488</v>
      </c>
      <c r="J13" t="s">
        <v>523</v>
      </c>
      <c r="K13" t="s">
        <v>515</v>
      </c>
      <c r="L13"/>
      <c r="M13">
        <v>15</v>
      </c>
      <c r="N13" t="s">
        <v>489</v>
      </c>
      <c r="O13">
        <v>2117</v>
      </c>
      <c r="P13">
        <v>40</v>
      </c>
      <c r="Q13" s="7"/>
      <c r="R13" s="27">
        <f t="shared" si="0"/>
        <v>-2</v>
      </c>
      <c r="S13" s="27">
        <f>IF(SUM(COUNTIFS('12_23_12_29'!E:E,'12_23_12_29 Acc Rate'!C13,'12_23_12_29'!O:O,"*M*"),COUNTIFS('12_23_12_29'!E:E,'12_23_12_29 Acc Rate'!C13,'12_23_12_29'!R:R,"*M*"))=0,"",SUM(COUNTIFS('12_23_12_29'!E:E,'12_23_12_29 Acc Rate'!C13,'12_23_12_29'!O:O,"*M*"),COUNTIFS('12_23_12_29'!E:E,'12_23_12_29 Acc Rate'!C13,'12_23_12_29'!R:R,"*M*")))</f>
        <v>1</v>
      </c>
      <c r="T13" s="1">
        <f>IF(SUM(COUNTIFS('12_23_12_29'!E:E,'12_23_12_29 Acc Rate'!C13,'12_23_12_29'!P:P,"*E*"),COUNTIFS('12_23_12_29'!E:E,'12_23_12_29 Acc Rate'!C13,'12_23_12_29'!S:S,"*E*"))=0,"",SUM(COUNTIFS('12_23_12_29'!E:E,'12_23_12_29 Acc Rate'!C13,'12_23_12_29'!P:P,"*E*"),COUNTIFS('12_23_12_29'!E:E,'12_23_12_29 Acc Rate'!C13,'12_23_12_29'!S:S,"*E*")))</f>
        <v>1</v>
      </c>
      <c r="U13" s="8" t="str">
        <f t="shared" si="1"/>
        <v/>
      </c>
      <c r="V13" s="2"/>
    </row>
    <row r="14" spans="2:24" s="1" customFormat="1" ht="15" customHeight="1" x14ac:dyDescent="0.25">
      <c r="B14" s="1" t="s">
        <v>500</v>
      </c>
      <c r="C14" s="1" t="s">
        <v>176</v>
      </c>
      <c r="D14" s="1" t="s">
        <v>177</v>
      </c>
      <c r="E14" t="s">
        <v>501</v>
      </c>
      <c r="F14" t="s">
        <v>168</v>
      </c>
      <c r="G14" t="s">
        <v>502</v>
      </c>
      <c r="H14" t="s">
        <v>460</v>
      </c>
      <c r="I14" t="s">
        <v>503</v>
      </c>
      <c r="J14" t="s">
        <v>523</v>
      </c>
      <c r="K14" t="s">
        <v>515</v>
      </c>
      <c r="L14"/>
      <c r="M14">
        <v>15</v>
      </c>
      <c r="N14" t="s">
        <v>504</v>
      </c>
      <c r="O14">
        <v>182</v>
      </c>
      <c r="P14">
        <v>40</v>
      </c>
      <c r="Q14" s="7"/>
      <c r="R14" s="27" t="str">
        <f t="shared" si="0"/>
        <v/>
      </c>
      <c r="S14" s="27" t="str">
        <f>IF(SUM(COUNTIFS('12_23_12_29'!E:E,'12_23_12_29 Acc Rate'!C14,'12_23_12_29'!O:O,"*M*"),COUNTIFS('12_23_12_29'!E:E,'12_23_12_29 Acc Rate'!C14,'12_23_12_29'!R:R,"*M*"))=0,"",SUM(COUNTIFS('12_23_12_29'!E:E,'12_23_12_29 Acc Rate'!C14,'12_23_12_29'!O:O,"*M*"),COUNTIFS('12_23_12_29'!E:E,'12_23_12_29 Acc Rate'!C14,'12_23_12_29'!R:R,"*M*")))</f>
        <v/>
      </c>
      <c r="T14" s="1" t="str">
        <f>IF(SUM(COUNTIFS('12_23_12_29'!E:E,'12_23_12_29 Acc Rate'!C14,'12_23_12_29'!P:P,"*E*"),COUNTIFS('12_23_12_29'!E:E,'12_23_12_29 Acc Rate'!C14,'12_23_12_29'!S:S,"*E*"))=0,"",SUM(COUNTIFS('12_23_12_29'!E:E,'12_23_12_29 Acc Rate'!C14,'12_23_12_29'!P:P,"*E*"),COUNTIFS('12_23_12_29'!E:E,'12_23_12_29 Acc Rate'!C14,'12_23_12_29'!S:S,"*E*")))</f>
        <v/>
      </c>
      <c r="U14" s="8" t="str">
        <f t="shared" si="1"/>
        <v/>
      </c>
      <c r="V14" s="2"/>
    </row>
    <row r="15" spans="2:24" ht="15" customHeight="1" x14ac:dyDescent="0.25">
      <c r="B15" s="1" t="s">
        <v>548</v>
      </c>
      <c r="C15" s="1" t="s">
        <v>396</v>
      </c>
      <c r="D15" s="1" t="s">
        <v>549</v>
      </c>
      <c r="E15"/>
      <c r="F15" t="s">
        <v>550</v>
      </c>
      <c r="G15" t="s">
        <v>551</v>
      </c>
      <c r="H15" t="s">
        <v>552</v>
      </c>
      <c r="I15" t="s">
        <v>553</v>
      </c>
      <c r="J15" t="s">
        <v>554</v>
      </c>
      <c r="K15"/>
      <c r="L15"/>
      <c r="M15">
        <v>6</v>
      </c>
      <c r="N15"/>
      <c r="O15"/>
      <c r="P15"/>
      <c r="Q15" s="7"/>
      <c r="R15" s="27" t="str">
        <f t="shared" si="0"/>
        <v/>
      </c>
      <c r="S15" s="27" t="str">
        <f>IF(SUM(COUNTIFS('12_23_12_29'!E:E,'12_23_12_29 Acc Rate'!C15,'12_23_12_29'!O:O,"*M*"),COUNTIFS('12_23_12_29'!E:E,'12_23_12_29 Acc Rate'!C15,'12_23_12_29'!R:R,"*M*"))=0,"",SUM(COUNTIFS('12_23_12_29'!E:E,'12_23_12_29 Acc Rate'!C15,'12_23_12_29'!O:O,"*M*"),COUNTIFS('12_23_12_29'!E:E,'12_23_12_29 Acc Rate'!C15,'12_23_12_29'!R:R,"*M*")))</f>
        <v/>
      </c>
      <c r="T15" s="1" t="str">
        <f>IF(SUM(COUNTIFS('12_23_12_29'!E:E,'12_23_12_29 Acc Rate'!C15,'12_23_12_29'!P:P,"*E*"),COUNTIFS('12_23_12_29'!E:E,'12_23_12_29 Acc Rate'!C15,'12_23_12_29'!S:S,"*E*"))=0,"",SUM(COUNTIFS('12_23_12_29'!E:E,'12_23_12_29 Acc Rate'!C15,'12_23_12_29'!P:P,"*E*"),COUNTIFS('12_23_12_29'!E:E,'12_23_12_29 Acc Rate'!C15,'12_23_12_29'!S:S,"*E*")))</f>
        <v/>
      </c>
      <c r="U15" s="8" t="str">
        <f t="shared" si="1"/>
        <v/>
      </c>
    </row>
    <row r="16" spans="2:24" ht="15" customHeight="1" x14ac:dyDescent="0.25">
      <c r="B16" s="1" t="s">
        <v>555</v>
      </c>
      <c r="C16" s="1" t="s">
        <v>556</v>
      </c>
      <c r="D16" s="1" t="s">
        <v>557</v>
      </c>
      <c r="E16"/>
      <c r="F16" t="s">
        <v>558</v>
      </c>
      <c r="G16" t="s">
        <v>559</v>
      </c>
      <c r="H16" t="s">
        <v>552</v>
      </c>
      <c r="I16" t="s">
        <v>560</v>
      </c>
      <c r="J16" t="s">
        <v>561</v>
      </c>
      <c r="K16" t="s">
        <v>553</v>
      </c>
      <c r="L16"/>
      <c r="M16">
        <v>6</v>
      </c>
      <c r="N16"/>
      <c r="O16"/>
      <c r="P16"/>
      <c r="Q16" s="7"/>
      <c r="R16" s="27" t="str">
        <f t="shared" si="0"/>
        <v/>
      </c>
      <c r="S16" s="27" t="str">
        <f>IF(SUM(COUNTIFS('12_23_12_29'!E:E,'12_23_12_29 Acc Rate'!C16,'12_23_12_29'!O:O,"*M*"),COUNTIFS('12_23_12_29'!E:E,'12_23_12_29 Acc Rate'!C16,'12_23_12_29'!R:R,"*M*"))=0,"",SUM(COUNTIFS('12_23_12_29'!E:E,'12_23_12_29 Acc Rate'!C16,'12_23_12_29'!O:O,"*M*"),COUNTIFS('12_23_12_29'!E:E,'12_23_12_29 Acc Rate'!C16,'12_23_12_29'!R:R,"*M*")))</f>
        <v/>
      </c>
      <c r="T16" s="1" t="str">
        <f>IF(SUM(COUNTIFS('12_23_12_29'!E:E,'12_23_12_29 Acc Rate'!C16,'12_23_12_29'!P:P,"*E*"),COUNTIFS('12_23_12_29'!E:E,'12_23_12_29 Acc Rate'!C16,'12_23_12_29'!S:S,"*E*"))=0,"",SUM(COUNTIFS('12_23_12_29'!E:E,'12_23_12_29 Acc Rate'!C16,'12_23_12_29'!P:P,"*E*"),COUNTIFS('12_23_12_29'!E:E,'12_23_12_29 Acc Rate'!C16,'12_23_12_29'!S:S,"*E*")))</f>
        <v/>
      </c>
      <c r="U16" s="8" t="str">
        <f t="shared" si="1"/>
        <v/>
      </c>
    </row>
    <row r="17" spans="2:21" ht="15" customHeight="1" x14ac:dyDescent="0.25">
      <c r="B17" s="1" t="s">
        <v>562</v>
      </c>
      <c r="C17" s="1" t="s">
        <v>563</v>
      </c>
      <c r="D17" s="1" t="s">
        <v>564</v>
      </c>
      <c r="E17"/>
      <c r="F17" t="s">
        <v>565</v>
      </c>
      <c r="G17" t="s">
        <v>566</v>
      </c>
      <c r="H17" t="s">
        <v>552</v>
      </c>
      <c r="I17" t="s">
        <v>567</v>
      </c>
      <c r="J17" t="s">
        <v>561</v>
      </c>
      <c r="K17" t="s">
        <v>553</v>
      </c>
      <c r="L17"/>
      <c r="M17">
        <v>6</v>
      </c>
      <c r="N17"/>
      <c r="O17"/>
      <c r="P17"/>
      <c r="Q17" s="7"/>
      <c r="R17" s="27" t="str">
        <f t="shared" si="0"/>
        <v/>
      </c>
      <c r="S17" s="27" t="str">
        <f>IF(SUM(COUNTIFS('12_23_12_29'!E:E,'12_23_12_29 Acc Rate'!C17,'12_23_12_29'!O:O,"*M*"),COUNTIFS('12_23_12_29'!E:E,'12_23_12_29 Acc Rate'!C17,'12_23_12_29'!R:R,"*M*"))=0,"",SUM(COUNTIFS('12_23_12_29'!E:E,'12_23_12_29 Acc Rate'!C17,'12_23_12_29'!O:O,"*M*"),COUNTIFS('12_23_12_29'!E:E,'12_23_12_29 Acc Rate'!C17,'12_23_12_29'!R:R,"*M*")))</f>
        <v/>
      </c>
      <c r="T17" s="1" t="str">
        <f>IF(SUM(COUNTIFS('12_23_12_29'!E:E,'12_23_12_29 Acc Rate'!C17,'12_23_12_29'!P:P,"*E*"),COUNTIFS('12_23_12_29'!E:E,'12_23_12_29 Acc Rate'!C17,'12_23_12_29'!S:S,"*E*"))=0,"",SUM(COUNTIFS('12_23_12_29'!E:E,'12_23_12_29 Acc Rate'!C17,'12_23_12_29'!P:P,"*E*"),COUNTIFS('12_23_12_29'!E:E,'12_23_12_29 Acc Rate'!C17,'12_23_12_29'!S:S,"*E*")))</f>
        <v/>
      </c>
      <c r="U17" s="8" t="str">
        <f t="shared" si="1"/>
        <v/>
      </c>
    </row>
    <row r="18" spans="2:21" ht="15" customHeight="1" x14ac:dyDescent="0.25">
      <c r="B18" s="1" t="s">
        <v>568</v>
      </c>
      <c r="C18" s="1" t="s">
        <v>569</v>
      </c>
      <c r="D18" s="1" t="s">
        <v>570</v>
      </c>
      <c r="E18"/>
      <c r="F18" t="s">
        <v>571</v>
      </c>
      <c r="G18" t="s">
        <v>572</v>
      </c>
      <c r="H18" t="s">
        <v>552</v>
      </c>
      <c r="I18" t="s">
        <v>573</v>
      </c>
      <c r="J18" t="s">
        <v>561</v>
      </c>
      <c r="K18" t="s">
        <v>553</v>
      </c>
      <c r="L18"/>
      <c r="M18">
        <v>6</v>
      </c>
      <c r="N18"/>
      <c r="O18"/>
      <c r="P18"/>
      <c r="Q18" s="7"/>
      <c r="R18" s="27" t="str">
        <f t="shared" si="0"/>
        <v/>
      </c>
      <c r="S18" s="27" t="str">
        <f>IF(SUM(COUNTIFS('12_23_12_29'!E:E,'12_23_12_29 Acc Rate'!C18,'12_23_12_29'!O:O,"*M*"),COUNTIFS('12_23_12_29'!E:E,'12_23_12_29 Acc Rate'!C18,'12_23_12_29'!R:R,"*M*"))=0,"",SUM(COUNTIFS('12_23_12_29'!E:E,'12_23_12_29 Acc Rate'!C18,'12_23_12_29'!O:O,"*M*"),COUNTIFS('12_23_12_29'!E:E,'12_23_12_29 Acc Rate'!C18,'12_23_12_29'!R:R,"*M*")))</f>
        <v/>
      </c>
      <c r="T18" s="1" t="str">
        <f>IF(SUM(COUNTIFS('12_23_12_29'!E:E,'12_23_12_29 Acc Rate'!C18,'12_23_12_29'!P:P,"*E*"),COUNTIFS('12_23_12_29'!E:E,'12_23_12_29 Acc Rate'!C18,'12_23_12_29'!S:S,"*E*"))=0,"",SUM(COUNTIFS('12_23_12_29'!E:E,'12_23_12_29 Acc Rate'!C18,'12_23_12_29'!P:P,"*E*"),COUNTIFS('12_23_12_29'!E:E,'12_23_12_29 Acc Rate'!C18,'12_23_12_29'!S:S,"*E*")))</f>
        <v/>
      </c>
      <c r="U18" s="8" t="str">
        <f t="shared" si="1"/>
        <v/>
      </c>
    </row>
    <row r="19" spans="2:21" ht="15" customHeight="1" x14ac:dyDescent="0.25">
      <c r="B19" s="1" t="s">
        <v>574</v>
      </c>
      <c r="C19" s="1" t="s">
        <v>575</v>
      </c>
      <c r="D19" s="1" t="s">
        <v>576</v>
      </c>
      <c r="E19"/>
      <c r="F19" t="s">
        <v>577</v>
      </c>
      <c r="G19" t="s">
        <v>578</v>
      </c>
      <c r="H19" t="s">
        <v>552</v>
      </c>
      <c r="I19" t="s">
        <v>579</v>
      </c>
      <c r="J19" t="s">
        <v>561</v>
      </c>
      <c r="K19" t="s">
        <v>553</v>
      </c>
      <c r="L19"/>
      <c r="M19">
        <v>6</v>
      </c>
      <c r="N19"/>
      <c r="O19"/>
      <c r="P19"/>
      <c r="Q19" s="7"/>
      <c r="R19" s="27" t="str">
        <f t="shared" si="0"/>
        <v/>
      </c>
      <c r="S19" s="27" t="str">
        <f>IF(SUM(COUNTIFS('12_23_12_29'!E:E,'12_23_12_29 Acc Rate'!C19,'12_23_12_29'!O:O,"*M*"),COUNTIFS('12_23_12_29'!E:E,'12_23_12_29 Acc Rate'!C19,'12_23_12_29'!R:R,"*M*"))=0,"",SUM(COUNTIFS('12_23_12_29'!E:E,'12_23_12_29 Acc Rate'!C19,'12_23_12_29'!O:O,"*M*"),COUNTIFS('12_23_12_29'!E:E,'12_23_12_29 Acc Rate'!C19,'12_23_12_29'!R:R,"*M*")))</f>
        <v/>
      </c>
      <c r="T19" s="1" t="str">
        <f>IF(SUM(COUNTIFS('12_23_12_29'!E:E,'12_23_12_29 Acc Rate'!C19,'12_23_12_29'!P:P,"*E*"),COUNTIFS('12_23_12_29'!E:E,'12_23_12_29 Acc Rate'!C19,'12_23_12_29'!S:S,"*E*"))=0,"",SUM(COUNTIFS('12_23_12_29'!E:E,'12_23_12_29 Acc Rate'!C19,'12_23_12_29'!P:P,"*E*"),COUNTIFS('12_23_12_29'!E:E,'12_23_12_29 Acc Rate'!C19,'12_23_12_29'!S:S,"*E*")))</f>
        <v/>
      </c>
      <c r="U19" s="8" t="str">
        <f t="shared" si="1"/>
        <v/>
      </c>
    </row>
    <row r="20" spans="2:21" ht="15" customHeight="1" x14ac:dyDescent="0.25">
      <c r="B20" s="1" t="s">
        <v>580</v>
      </c>
      <c r="C20" s="1" t="s">
        <v>316</v>
      </c>
      <c r="D20" s="1" t="s">
        <v>581</v>
      </c>
      <c r="E20"/>
      <c r="F20" t="s">
        <v>565</v>
      </c>
      <c r="G20" t="s">
        <v>582</v>
      </c>
      <c r="H20" t="s">
        <v>583</v>
      </c>
      <c r="I20" t="s">
        <v>584</v>
      </c>
      <c r="J20" t="s">
        <v>585</v>
      </c>
      <c r="K20"/>
      <c r="L20"/>
      <c r="M20">
        <v>1</v>
      </c>
      <c r="N20"/>
      <c r="O20"/>
      <c r="P20"/>
      <c r="Q20" s="7"/>
      <c r="R20" s="27" t="str">
        <f t="shared" si="0"/>
        <v/>
      </c>
      <c r="S20" s="27" t="str">
        <f>IF(SUM(COUNTIFS('12_23_12_29'!E:E,'12_23_12_29 Acc Rate'!C20,'12_23_12_29'!O:O,"*M*"),COUNTIFS('12_23_12_29'!E:E,'12_23_12_29 Acc Rate'!C20,'12_23_12_29'!R:R,"*M*"))=0,"",SUM(COUNTIFS('12_23_12_29'!E:E,'12_23_12_29 Acc Rate'!C20,'12_23_12_29'!O:O,"*M*"),COUNTIFS('12_23_12_29'!E:E,'12_23_12_29 Acc Rate'!C20,'12_23_12_29'!R:R,"*M*")))</f>
        <v/>
      </c>
      <c r="T20" s="1" t="str">
        <f>IF(SUM(COUNTIFS('12_23_12_29'!E:E,'12_23_12_29 Acc Rate'!C20,'12_23_12_29'!P:P,"*E*"),COUNTIFS('12_23_12_29'!E:E,'12_23_12_29 Acc Rate'!C20,'12_23_12_29'!S:S,"*E*"))=0,"",SUM(COUNTIFS('12_23_12_29'!E:E,'12_23_12_29 Acc Rate'!C20,'12_23_12_29'!P:P,"*E*"),COUNTIFS('12_23_12_29'!E:E,'12_23_12_29 Acc Rate'!C20,'12_23_12_29'!S:S,"*E*")))</f>
        <v/>
      </c>
      <c r="U20" s="8" t="str">
        <f t="shared" si="1"/>
        <v/>
      </c>
    </row>
    <row r="21" spans="2:21" ht="15" customHeight="1" x14ac:dyDescent="0.25">
      <c r="B21" s="1" t="s">
        <v>586</v>
      </c>
      <c r="C21" s="1" t="s">
        <v>587</v>
      </c>
      <c r="D21" s="1" t="s">
        <v>588</v>
      </c>
      <c r="E21"/>
      <c r="F21" t="s">
        <v>589</v>
      </c>
      <c r="G21" t="s">
        <v>590</v>
      </c>
      <c r="H21" t="s">
        <v>583</v>
      </c>
      <c r="I21" t="s">
        <v>591</v>
      </c>
      <c r="J21" t="s">
        <v>592</v>
      </c>
      <c r="K21"/>
      <c r="L21"/>
      <c r="M21">
        <v>1</v>
      </c>
      <c r="N21"/>
      <c r="O21"/>
      <c r="P21"/>
      <c r="Q21" s="7"/>
      <c r="R21" s="27" t="str">
        <f t="shared" si="0"/>
        <v/>
      </c>
      <c r="S21" s="27" t="str">
        <f>IF(SUM(COUNTIFS('12_23_12_29'!E:E,'12_23_12_29 Acc Rate'!C21,'12_23_12_29'!O:O,"*M*"),COUNTIFS('12_23_12_29'!E:E,'12_23_12_29 Acc Rate'!C21,'12_23_12_29'!R:R,"*M*"))=0,"",SUM(COUNTIFS('12_23_12_29'!E:E,'12_23_12_29 Acc Rate'!C21,'12_23_12_29'!O:O,"*M*"),COUNTIFS('12_23_12_29'!E:E,'12_23_12_29 Acc Rate'!C21,'12_23_12_29'!R:R,"*M*")))</f>
        <v/>
      </c>
      <c r="T21" s="1" t="str">
        <f>IF(SUM(COUNTIFS('12_23_12_29'!E:E,'12_23_12_29 Acc Rate'!C21,'12_23_12_29'!P:P,"*E*"),COUNTIFS('12_23_12_29'!E:E,'12_23_12_29 Acc Rate'!C21,'12_23_12_29'!S:S,"*E*"))=0,"",SUM(COUNTIFS('12_23_12_29'!E:E,'12_23_12_29 Acc Rate'!C21,'12_23_12_29'!P:P,"*E*"),COUNTIFS('12_23_12_29'!E:E,'12_23_12_29 Acc Rate'!C21,'12_23_12_29'!S:S,"*E*")))</f>
        <v/>
      </c>
      <c r="U21" s="8" t="str">
        <f t="shared" si="1"/>
        <v/>
      </c>
    </row>
    <row r="22" spans="2:21" ht="15" customHeight="1" x14ac:dyDescent="0.25">
      <c r="B22" s="1" t="s">
        <v>593</v>
      </c>
      <c r="C22" s="1" t="s">
        <v>169</v>
      </c>
      <c r="D22" s="1" t="s">
        <v>170</v>
      </c>
      <c r="E22"/>
      <c r="F22" t="s">
        <v>594</v>
      </c>
      <c r="G22" t="s">
        <v>595</v>
      </c>
      <c r="H22" t="s">
        <v>583</v>
      </c>
      <c r="I22" t="s">
        <v>596</v>
      </c>
      <c r="J22" t="s">
        <v>592</v>
      </c>
      <c r="K22"/>
      <c r="L22"/>
      <c r="M22">
        <v>1</v>
      </c>
      <c r="N22"/>
      <c r="O22"/>
      <c r="P22"/>
      <c r="Q22" s="7"/>
      <c r="R22" s="27" t="str">
        <f t="shared" si="0"/>
        <v/>
      </c>
      <c r="S22" s="27" t="str">
        <f>IF(SUM(COUNTIFS('12_23_12_29'!E:E,'12_23_12_29 Acc Rate'!C22,'12_23_12_29'!O:O,"*M*"),COUNTIFS('12_23_12_29'!E:E,'12_23_12_29 Acc Rate'!C22,'12_23_12_29'!R:R,"*M*"))=0,"",SUM(COUNTIFS('12_23_12_29'!E:E,'12_23_12_29 Acc Rate'!C22,'12_23_12_29'!O:O,"*M*"),COUNTIFS('12_23_12_29'!E:E,'12_23_12_29 Acc Rate'!C22,'12_23_12_29'!R:R,"*M*")))</f>
        <v/>
      </c>
      <c r="T22" s="1" t="str">
        <f>IF(SUM(COUNTIFS('12_23_12_29'!E:E,'12_23_12_29 Acc Rate'!C22,'12_23_12_29'!P:P,"*E*"),COUNTIFS('12_23_12_29'!E:E,'12_23_12_29 Acc Rate'!C22,'12_23_12_29'!S:S,"*E*"))=0,"",SUM(COUNTIFS('12_23_12_29'!E:E,'12_23_12_29 Acc Rate'!C22,'12_23_12_29'!P:P,"*E*"),COUNTIFS('12_23_12_29'!E:E,'12_23_12_29 Acc Rate'!C22,'12_23_12_29'!S:S,"*E*")))</f>
        <v/>
      </c>
      <c r="U22" s="8" t="str">
        <f t="shared" si="1"/>
        <v/>
      </c>
    </row>
    <row r="23" spans="2:21" s="1" customFormat="1" ht="15" customHeight="1" x14ac:dyDescent="0.25">
      <c r="B23" s="1" t="s">
        <v>602</v>
      </c>
      <c r="C23" s="1" t="s">
        <v>603</v>
      </c>
      <c r="D23" s="1" t="s">
        <v>1175</v>
      </c>
      <c r="E23"/>
      <c r="F23" t="s">
        <v>565</v>
      </c>
      <c r="G23" t="s">
        <v>1176</v>
      </c>
      <c r="H23" t="s">
        <v>583</v>
      </c>
      <c r="I23" t="s">
        <v>606</v>
      </c>
      <c r="J23" t="s">
        <v>607</v>
      </c>
      <c r="K23"/>
      <c r="L23"/>
      <c r="M23">
        <v>1</v>
      </c>
      <c r="N23"/>
      <c r="O23"/>
      <c r="P23"/>
      <c r="Q23" s="7"/>
      <c r="R23" s="27" t="str">
        <f t="shared" si="0"/>
        <v/>
      </c>
      <c r="S23" s="27" t="str">
        <f>IF(SUM(COUNTIFS('12_23_12_29'!E:E,'12_23_12_29 Acc Rate'!C23,'12_23_12_29'!O:O,"*M*"),COUNTIFS('12_23_12_29'!E:E,'12_23_12_29 Acc Rate'!C23,'12_23_12_29'!R:R,"*M*"))=0,"",SUM(COUNTIFS('12_23_12_29'!E:E,'12_23_12_29 Acc Rate'!C23,'12_23_12_29'!O:O,"*M*"),COUNTIFS('12_23_12_29'!E:E,'12_23_12_29 Acc Rate'!C23,'12_23_12_29'!R:R,"*M*")))</f>
        <v/>
      </c>
      <c r="T23" s="1" t="str">
        <f>IF(SUM(COUNTIFS('12_23_12_29'!E:E,'12_23_12_29 Acc Rate'!C23,'12_23_12_29'!P:P,"*E*"),COUNTIFS('12_23_12_29'!E:E,'12_23_12_29 Acc Rate'!C23,'12_23_12_29'!S:S,"*E*"))=0,"",SUM(COUNTIFS('12_23_12_29'!E:E,'12_23_12_29 Acc Rate'!C23,'12_23_12_29'!P:P,"*E*"),COUNTIFS('12_23_12_29'!E:E,'12_23_12_29 Acc Rate'!C23,'12_23_12_29'!S:S,"*E*")))</f>
        <v/>
      </c>
      <c r="U23" s="9" t="str">
        <f t="shared" si="1"/>
        <v/>
      </c>
    </row>
    <row r="24" spans="2:21" s="1" customFormat="1" ht="15" customHeight="1" x14ac:dyDescent="0.25">
      <c r="B24" s="1" t="s">
        <v>608</v>
      </c>
      <c r="C24" s="1" t="s">
        <v>609</v>
      </c>
      <c r="D24" s="1" t="s">
        <v>610</v>
      </c>
      <c r="E24"/>
      <c r="F24" t="s">
        <v>611</v>
      </c>
      <c r="G24" t="s">
        <v>612</v>
      </c>
      <c r="H24" t="s">
        <v>583</v>
      </c>
      <c r="I24" t="s">
        <v>613</v>
      </c>
      <c r="J24" t="s">
        <v>614</v>
      </c>
      <c r="K24" t="s">
        <v>606</v>
      </c>
      <c r="L24"/>
      <c r="M24">
        <v>1</v>
      </c>
      <c r="N24"/>
      <c r="O24"/>
      <c r="P24"/>
      <c r="Q24" s="7"/>
      <c r="R24" s="27" t="str">
        <f t="shared" si="0"/>
        <v/>
      </c>
      <c r="S24" s="27" t="str">
        <f>IF(SUM(COUNTIFS('12_23_12_29'!E:E,'12_23_12_29 Acc Rate'!C24,'12_23_12_29'!O:O,"*M*"),COUNTIFS('12_23_12_29'!E:E,'12_23_12_29 Acc Rate'!C24,'12_23_12_29'!R:R,"*M*"))=0,"",SUM(COUNTIFS('12_23_12_29'!E:E,'12_23_12_29 Acc Rate'!C24,'12_23_12_29'!O:O,"*M*"),COUNTIFS('12_23_12_29'!E:E,'12_23_12_29 Acc Rate'!C24,'12_23_12_29'!R:R,"*M*")))</f>
        <v/>
      </c>
      <c r="T24" s="1" t="str">
        <f>IF(SUM(COUNTIFS('12_23_12_29'!E:E,'12_23_12_29 Acc Rate'!C24,'12_23_12_29'!P:P,"*E*"),COUNTIFS('12_23_12_29'!E:E,'12_23_12_29 Acc Rate'!C24,'12_23_12_29'!S:S,"*E*"))=0,"",SUM(COUNTIFS('12_23_12_29'!E:E,'12_23_12_29 Acc Rate'!C24,'12_23_12_29'!P:P,"*E*"),COUNTIFS('12_23_12_29'!E:E,'12_23_12_29 Acc Rate'!C24,'12_23_12_29'!S:S,"*E*")))</f>
        <v/>
      </c>
      <c r="U24" s="9" t="str">
        <f t="shared" si="1"/>
        <v/>
      </c>
    </row>
    <row r="25" spans="2:21" s="1" customFormat="1" ht="15" customHeight="1" x14ac:dyDescent="0.25">
      <c r="B25" s="1" t="s">
        <v>615</v>
      </c>
      <c r="C25" s="1" t="s">
        <v>616</v>
      </c>
      <c r="D25" s="1" t="s">
        <v>617</v>
      </c>
      <c r="E25"/>
      <c r="F25" t="s">
        <v>618</v>
      </c>
      <c r="G25" t="s">
        <v>619</v>
      </c>
      <c r="H25" t="s">
        <v>583</v>
      </c>
      <c r="I25" t="s">
        <v>620</v>
      </c>
      <c r="J25" t="s">
        <v>614</v>
      </c>
      <c r="K25" t="s">
        <v>606</v>
      </c>
      <c r="L25"/>
      <c r="M25">
        <v>1</v>
      </c>
      <c r="N25"/>
      <c r="O25"/>
      <c r="P25"/>
      <c r="Q25" s="7"/>
      <c r="R25" s="27" t="str">
        <f t="shared" si="0"/>
        <v/>
      </c>
      <c r="S25" s="27" t="str">
        <f>IF(SUM(COUNTIFS('12_23_12_29'!E:E,'12_23_12_29 Acc Rate'!C25,'12_23_12_29'!O:O,"*M*"),COUNTIFS('12_23_12_29'!E:E,'12_23_12_29 Acc Rate'!C25,'12_23_12_29'!R:R,"*M*"))=0,"",SUM(COUNTIFS('12_23_12_29'!E:E,'12_23_12_29 Acc Rate'!C25,'12_23_12_29'!O:O,"*M*"),COUNTIFS('12_23_12_29'!E:E,'12_23_12_29 Acc Rate'!C25,'12_23_12_29'!R:R,"*M*")))</f>
        <v/>
      </c>
      <c r="T25" s="1" t="str">
        <f>IF(SUM(COUNTIFS('12_23_12_29'!E:E,'12_23_12_29 Acc Rate'!C25,'12_23_12_29'!P:P,"*E*"),COUNTIFS('12_23_12_29'!E:E,'12_23_12_29 Acc Rate'!C25,'12_23_12_29'!S:S,"*E*"))=0,"",SUM(COUNTIFS('12_23_12_29'!E:E,'12_23_12_29 Acc Rate'!C25,'12_23_12_29'!P:P,"*E*"),COUNTIFS('12_23_12_29'!E:E,'12_23_12_29 Acc Rate'!C25,'12_23_12_29'!S:S,"*E*")))</f>
        <v/>
      </c>
      <c r="U25" s="9" t="str">
        <f t="shared" si="1"/>
        <v/>
      </c>
    </row>
    <row r="26" spans="2:21" s="1" customFormat="1" ht="15" customHeight="1" x14ac:dyDescent="0.25">
      <c r="B26" s="1" t="s">
        <v>621</v>
      </c>
      <c r="C26" s="1" t="s">
        <v>622</v>
      </c>
      <c r="D26" s="1" t="s">
        <v>267</v>
      </c>
      <c r="E26"/>
      <c r="F26" t="s">
        <v>623</v>
      </c>
      <c r="G26" t="s">
        <v>624</v>
      </c>
      <c r="H26" t="s">
        <v>583</v>
      </c>
      <c r="I26" t="s">
        <v>625</v>
      </c>
      <c r="J26" t="s">
        <v>614</v>
      </c>
      <c r="K26" t="s">
        <v>606</v>
      </c>
      <c r="L26"/>
      <c r="M26">
        <v>1</v>
      </c>
      <c r="N26"/>
      <c r="O26"/>
      <c r="P26"/>
      <c r="Q26" s="7"/>
      <c r="R26" s="27" t="str">
        <f t="shared" si="0"/>
        <v/>
      </c>
      <c r="S26" s="27" t="str">
        <f>IF(SUM(COUNTIFS('12_23_12_29'!E:E,'12_23_12_29 Acc Rate'!C26,'12_23_12_29'!O:O,"*M*"),COUNTIFS('12_23_12_29'!E:E,'12_23_12_29 Acc Rate'!C26,'12_23_12_29'!R:R,"*M*"))=0,"",SUM(COUNTIFS('12_23_12_29'!E:E,'12_23_12_29 Acc Rate'!C26,'12_23_12_29'!O:O,"*M*"),COUNTIFS('12_23_12_29'!E:E,'12_23_12_29 Acc Rate'!C26,'12_23_12_29'!R:R,"*M*")))</f>
        <v/>
      </c>
      <c r="T26" s="1" t="str">
        <f>IF(SUM(COUNTIFS('12_23_12_29'!E:E,'12_23_12_29 Acc Rate'!C26,'12_23_12_29'!P:P,"*E*"),COUNTIFS('12_23_12_29'!E:E,'12_23_12_29 Acc Rate'!C26,'12_23_12_29'!S:S,"*E*"))=0,"",SUM(COUNTIFS('12_23_12_29'!E:E,'12_23_12_29 Acc Rate'!C26,'12_23_12_29'!P:P,"*E*"),COUNTIFS('12_23_12_29'!E:E,'12_23_12_29 Acc Rate'!C26,'12_23_12_29'!S:S,"*E*")))</f>
        <v/>
      </c>
      <c r="U26" s="9" t="str">
        <f t="shared" si="1"/>
        <v/>
      </c>
    </row>
    <row r="27" spans="2:21" s="1" customFormat="1" ht="15" customHeight="1" x14ac:dyDescent="0.25">
      <c r="B27" s="1" t="s">
        <v>626</v>
      </c>
      <c r="C27" s="1" t="s">
        <v>362</v>
      </c>
      <c r="D27" s="1" t="s">
        <v>409</v>
      </c>
      <c r="E27"/>
      <c r="F27" t="s">
        <v>627</v>
      </c>
      <c r="G27" t="s">
        <v>628</v>
      </c>
      <c r="H27" t="s">
        <v>583</v>
      </c>
      <c r="I27" t="s">
        <v>629</v>
      </c>
      <c r="J27" t="s">
        <v>614</v>
      </c>
      <c r="K27" t="s">
        <v>606</v>
      </c>
      <c r="L27"/>
      <c r="M27">
        <v>1</v>
      </c>
      <c r="N27"/>
      <c r="O27"/>
      <c r="P27"/>
      <c r="Q27" s="7"/>
      <c r="R27" s="27" t="str">
        <f t="shared" si="0"/>
        <v/>
      </c>
      <c r="S27" s="27" t="str">
        <f>IF(SUM(COUNTIFS('12_23_12_29'!E:E,'12_23_12_29 Acc Rate'!C27,'12_23_12_29'!O:O,"*M*"),COUNTIFS('12_23_12_29'!E:E,'12_23_12_29 Acc Rate'!C27,'12_23_12_29'!R:R,"*M*"))=0,"",SUM(COUNTIFS('12_23_12_29'!E:E,'12_23_12_29 Acc Rate'!C27,'12_23_12_29'!O:O,"*M*"),COUNTIFS('12_23_12_29'!E:E,'12_23_12_29 Acc Rate'!C27,'12_23_12_29'!R:R,"*M*")))</f>
        <v/>
      </c>
      <c r="T27" s="1" t="str">
        <f>IF(SUM(COUNTIFS('12_23_12_29'!E:E,'12_23_12_29 Acc Rate'!C27,'12_23_12_29'!P:P,"*E*"),COUNTIFS('12_23_12_29'!E:E,'12_23_12_29 Acc Rate'!C27,'12_23_12_29'!S:S,"*E*"))=0,"",SUM(COUNTIFS('12_23_12_29'!E:E,'12_23_12_29 Acc Rate'!C27,'12_23_12_29'!P:P,"*E*"),COUNTIFS('12_23_12_29'!E:E,'12_23_12_29 Acc Rate'!C27,'12_23_12_29'!S:S,"*E*")))</f>
        <v/>
      </c>
      <c r="U27" s="9" t="str">
        <f t="shared" si="1"/>
        <v/>
      </c>
    </row>
    <row r="28" spans="2:21" s="1" customFormat="1" ht="15" customHeight="1" x14ac:dyDescent="0.25">
      <c r="B28" s="1" t="s">
        <v>630</v>
      </c>
      <c r="C28" s="1" t="s">
        <v>425</v>
      </c>
      <c r="D28" s="1" t="s">
        <v>426</v>
      </c>
      <c r="E28"/>
      <c r="F28" t="s">
        <v>631</v>
      </c>
      <c r="G28" t="s">
        <v>632</v>
      </c>
      <c r="H28" t="s">
        <v>583</v>
      </c>
      <c r="I28" t="s">
        <v>633</v>
      </c>
      <c r="J28" t="s">
        <v>614</v>
      </c>
      <c r="K28" t="s">
        <v>606</v>
      </c>
      <c r="L28"/>
      <c r="M28">
        <v>15</v>
      </c>
      <c r="N28"/>
      <c r="O28"/>
      <c r="P28"/>
      <c r="Q28" s="7"/>
      <c r="R28" s="27" t="str">
        <f t="shared" si="0"/>
        <v/>
      </c>
      <c r="S28" s="27" t="str">
        <f>IF(SUM(COUNTIFS('12_23_12_29'!E:E,'12_23_12_29 Acc Rate'!C28,'12_23_12_29'!O:O,"*M*"),COUNTIFS('12_23_12_29'!E:E,'12_23_12_29 Acc Rate'!C28,'12_23_12_29'!R:R,"*M*"))=0,"",SUM(COUNTIFS('12_23_12_29'!E:E,'12_23_12_29 Acc Rate'!C28,'12_23_12_29'!O:O,"*M*"),COUNTIFS('12_23_12_29'!E:E,'12_23_12_29 Acc Rate'!C28,'12_23_12_29'!R:R,"*M*")))</f>
        <v/>
      </c>
      <c r="T28" s="1" t="str">
        <f>IF(SUM(COUNTIFS('12_23_12_29'!E:E,'12_23_12_29 Acc Rate'!C28,'12_23_12_29'!P:P,"*E*"),COUNTIFS('12_23_12_29'!E:E,'12_23_12_29 Acc Rate'!C28,'12_23_12_29'!S:S,"*E*"))=0,"",SUM(COUNTIFS('12_23_12_29'!E:E,'12_23_12_29 Acc Rate'!C28,'12_23_12_29'!P:P,"*E*"),COUNTIFS('12_23_12_29'!E:E,'12_23_12_29 Acc Rate'!C28,'12_23_12_29'!S:S,"*E*")))</f>
        <v/>
      </c>
      <c r="U28" s="8" t="str">
        <f t="shared" si="1"/>
        <v/>
      </c>
    </row>
    <row r="29" spans="2:21" s="1" customFormat="1" ht="15" customHeight="1" x14ac:dyDescent="0.25">
      <c r="B29" s="1" t="s">
        <v>634</v>
      </c>
      <c r="C29" s="1" t="s">
        <v>635</v>
      </c>
      <c r="D29" s="1" t="s">
        <v>636</v>
      </c>
      <c r="E29"/>
      <c r="F29" t="s">
        <v>21</v>
      </c>
      <c r="G29" t="s">
        <v>637</v>
      </c>
      <c r="H29" t="s">
        <v>583</v>
      </c>
      <c r="I29" t="s">
        <v>638</v>
      </c>
      <c r="J29" t="s">
        <v>607</v>
      </c>
      <c r="K29"/>
      <c r="L29"/>
      <c r="M29">
        <v>1</v>
      </c>
      <c r="N29"/>
      <c r="O29"/>
      <c r="P29"/>
      <c r="Q29" s="7"/>
      <c r="R29" s="27" t="str">
        <f t="shared" si="0"/>
        <v/>
      </c>
      <c r="S29" s="27" t="str">
        <f>IF(SUM(COUNTIFS('12_23_12_29'!E:E,'12_23_12_29 Acc Rate'!C29,'12_23_12_29'!O:O,"*M*"),COUNTIFS('12_23_12_29'!E:E,'12_23_12_29 Acc Rate'!C29,'12_23_12_29'!R:R,"*M*"))=0,"",SUM(COUNTIFS('12_23_12_29'!E:E,'12_23_12_29 Acc Rate'!C29,'12_23_12_29'!O:O,"*M*"),COUNTIFS('12_23_12_29'!E:E,'12_23_12_29 Acc Rate'!C29,'12_23_12_29'!R:R,"*M*")))</f>
        <v/>
      </c>
      <c r="T29" s="1" t="str">
        <f>IF(SUM(COUNTIFS('12_23_12_29'!E:E,'12_23_12_29 Acc Rate'!C29,'12_23_12_29'!P:P,"*E*"),COUNTIFS('12_23_12_29'!E:E,'12_23_12_29 Acc Rate'!C29,'12_23_12_29'!S:S,"*E*"))=0,"",SUM(COUNTIFS('12_23_12_29'!E:E,'12_23_12_29 Acc Rate'!C29,'12_23_12_29'!P:P,"*E*"),COUNTIFS('12_23_12_29'!E:E,'12_23_12_29 Acc Rate'!C29,'12_23_12_29'!S:S,"*E*")))</f>
        <v/>
      </c>
      <c r="U29" s="9" t="str">
        <f t="shared" si="1"/>
        <v/>
      </c>
    </row>
    <row r="30" spans="2:21" s="1" customFormat="1" ht="15" customHeight="1" x14ac:dyDescent="0.25">
      <c r="B30" s="1" t="s">
        <v>1630</v>
      </c>
      <c r="C30" s="1" t="s">
        <v>1631</v>
      </c>
      <c r="D30" s="1" t="s">
        <v>1122</v>
      </c>
      <c r="E30"/>
      <c r="F30" t="s">
        <v>21</v>
      </c>
      <c r="G30" t="s">
        <v>1632</v>
      </c>
      <c r="H30" t="s">
        <v>583</v>
      </c>
      <c r="I30" t="s">
        <v>1633</v>
      </c>
      <c r="J30" t="s">
        <v>1634</v>
      </c>
      <c r="K30" t="s">
        <v>638</v>
      </c>
      <c r="L30"/>
      <c r="M30">
        <v>15</v>
      </c>
      <c r="N30"/>
      <c r="O30"/>
      <c r="P30"/>
      <c r="Q30" s="7"/>
      <c r="R30" s="27" t="str">
        <f t="shared" si="0"/>
        <v/>
      </c>
      <c r="S30" s="27" t="str">
        <f>IF(SUM(COUNTIFS('12_23_12_29'!E:E,'12_23_12_29 Acc Rate'!C30,'12_23_12_29'!O:O,"*M*"),COUNTIFS('12_23_12_29'!E:E,'12_23_12_29 Acc Rate'!C30,'12_23_12_29'!R:R,"*M*"))=0,"",SUM(COUNTIFS('12_23_12_29'!E:E,'12_23_12_29 Acc Rate'!C30,'12_23_12_29'!O:O,"*M*"),COUNTIFS('12_23_12_29'!E:E,'12_23_12_29 Acc Rate'!C30,'12_23_12_29'!R:R,"*M*")))</f>
        <v/>
      </c>
      <c r="T30" s="1" t="str">
        <f>IF(SUM(COUNTIFS('12_23_12_29'!E:E,'12_23_12_29 Acc Rate'!C30,'12_23_12_29'!P:P,"*E*"),COUNTIFS('12_23_12_29'!E:E,'12_23_12_29 Acc Rate'!C30,'12_23_12_29'!S:S,"*E*"))=0,"",SUM(COUNTIFS('12_23_12_29'!E:E,'12_23_12_29 Acc Rate'!C30,'12_23_12_29'!P:P,"*E*"),COUNTIFS('12_23_12_29'!E:E,'12_23_12_29 Acc Rate'!C30,'12_23_12_29'!S:S,"*E*")))</f>
        <v/>
      </c>
      <c r="U30" s="9" t="str">
        <f t="shared" si="1"/>
        <v/>
      </c>
    </row>
    <row r="31" spans="2:21" s="1" customFormat="1" ht="15" customHeight="1" x14ac:dyDescent="0.25">
      <c r="B31" s="1" t="s">
        <v>639</v>
      </c>
      <c r="C31" s="1" t="s">
        <v>635</v>
      </c>
      <c r="D31" s="1" t="s">
        <v>640</v>
      </c>
      <c r="E31"/>
      <c r="F31" t="s">
        <v>641</v>
      </c>
      <c r="G31" t="s">
        <v>642</v>
      </c>
      <c r="H31" t="s">
        <v>583</v>
      </c>
      <c r="I31" t="s">
        <v>643</v>
      </c>
      <c r="J31" t="s">
        <v>607</v>
      </c>
      <c r="K31"/>
      <c r="L31"/>
      <c r="M31">
        <v>1</v>
      </c>
      <c r="N31"/>
      <c r="O31"/>
      <c r="P31"/>
      <c r="Q31" s="7"/>
      <c r="R31" s="27" t="str">
        <f t="shared" si="0"/>
        <v/>
      </c>
      <c r="S31" s="27" t="str">
        <f>IF(SUM(COUNTIFS('12_23_12_29'!E:E,'12_23_12_29 Acc Rate'!C31,'12_23_12_29'!O:O,"*M*"),COUNTIFS('12_23_12_29'!E:E,'12_23_12_29 Acc Rate'!C31,'12_23_12_29'!R:R,"*M*"))=0,"",SUM(COUNTIFS('12_23_12_29'!E:E,'12_23_12_29 Acc Rate'!C31,'12_23_12_29'!O:O,"*M*"),COUNTIFS('12_23_12_29'!E:E,'12_23_12_29 Acc Rate'!C31,'12_23_12_29'!R:R,"*M*")))</f>
        <v/>
      </c>
      <c r="T31" s="1" t="str">
        <f>IF(SUM(COUNTIFS('12_23_12_29'!E:E,'12_23_12_29 Acc Rate'!C31,'12_23_12_29'!P:P,"*E*"),COUNTIFS('12_23_12_29'!E:E,'12_23_12_29 Acc Rate'!C31,'12_23_12_29'!S:S,"*E*"))=0,"",SUM(COUNTIFS('12_23_12_29'!E:E,'12_23_12_29 Acc Rate'!C31,'12_23_12_29'!P:P,"*E*"),COUNTIFS('12_23_12_29'!E:E,'12_23_12_29 Acc Rate'!C31,'12_23_12_29'!S:S,"*E*")))</f>
        <v/>
      </c>
      <c r="U31" s="9" t="str">
        <f t="shared" si="1"/>
        <v/>
      </c>
    </row>
    <row r="32" spans="2:21" ht="15" customHeight="1" x14ac:dyDescent="0.25">
      <c r="B32" s="1" t="s">
        <v>644</v>
      </c>
      <c r="C32" s="1" t="s">
        <v>162</v>
      </c>
      <c r="D32" s="1" t="s">
        <v>163</v>
      </c>
      <c r="E32"/>
      <c r="F32" t="s">
        <v>645</v>
      </c>
      <c r="G32" t="s">
        <v>646</v>
      </c>
      <c r="H32" t="s">
        <v>583</v>
      </c>
      <c r="I32" t="s">
        <v>647</v>
      </c>
      <c r="J32" t="s">
        <v>648</v>
      </c>
      <c r="K32" t="s">
        <v>643</v>
      </c>
      <c r="L32"/>
      <c r="M32">
        <v>1</v>
      </c>
      <c r="N32"/>
      <c r="O32"/>
      <c r="P32"/>
      <c r="Q32" s="7"/>
      <c r="R32" s="27" t="str">
        <f t="shared" si="0"/>
        <v/>
      </c>
      <c r="S32" s="27" t="str">
        <f>IF(SUM(COUNTIFS('12_23_12_29'!E:E,'12_23_12_29 Acc Rate'!C32,'12_23_12_29'!O:O,"*M*"),COUNTIFS('12_23_12_29'!E:E,'12_23_12_29 Acc Rate'!C32,'12_23_12_29'!R:R,"*M*"))=0,"",SUM(COUNTIFS('12_23_12_29'!E:E,'12_23_12_29 Acc Rate'!C32,'12_23_12_29'!O:O,"*M*"),COUNTIFS('12_23_12_29'!E:E,'12_23_12_29 Acc Rate'!C32,'12_23_12_29'!R:R,"*M*")))</f>
        <v/>
      </c>
      <c r="T32" s="1" t="str">
        <f>IF(SUM(COUNTIFS('12_23_12_29'!E:E,'12_23_12_29 Acc Rate'!C32,'12_23_12_29'!P:P,"*E*"),COUNTIFS('12_23_12_29'!E:E,'12_23_12_29 Acc Rate'!C32,'12_23_12_29'!S:S,"*E*"))=0,"",SUM(COUNTIFS('12_23_12_29'!E:E,'12_23_12_29 Acc Rate'!C32,'12_23_12_29'!P:P,"*E*"),COUNTIFS('12_23_12_29'!E:E,'12_23_12_29 Acc Rate'!C32,'12_23_12_29'!S:S,"*E*")))</f>
        <v/>
      </c>
      <c r="U32" s="8" t="str">
        <f t="shared" si="1"/>
        <v/>
      </c>
    </row>
    <row r="33" spans="2:21" ht="15" customHeight="1" x14ac:dyDescent="0.25">
      <c r="B33" s="1" t="s">
        <v>649</v>
      </c>
      <c r="C33" s="1" t="s">
        <v>264</v>
      </c>
      <c r="D33" s="1" t="s">
        <v>650</v>
      </c>
      <c r="E33"/>
      <c r="F33" t="s">
        <v>651</v>
      </c>
      <c r="G33" t="s">
        <v>652</v>
      </c>
      <c r="H33" t="s">
        <v>583</v>
      </c>
      <c r="I33" t="s">
        <v>653</v>
      </c>
      <c r="J33" t="s">
        <v>648</v>
      </c>
      <c r="K33" t="s">
        <v>643</v>
      </c>
      <c r="L33"/>
      <c r="M33">
        <v>1</v>
      </c>
      <c r="N33"/>
      <c r="O33"/>
      <c r="P33"/>
      <c r="Q33" s="7"/>
      <c r="R33" s="27" t="str">
        <f t="shared" si="0"/>
        <v/>
      </c>
      <c r="S33" s="27" t="str">
        <f>IF(SUM(COUNTIFS('12_23_12_29'!E:E,'12_23_12_29 Acc Rate'!C33,'12_23_12_29'!O:O,"*M*"),COUNTIFS('12_23_12_29'!E:E,'12_23_12_29 Acc Rate'!C33,'12_23_12_29'!R:R,"*M*"))=0,"",SUM(COUNTIFS('12_23_12_29'!E:E,'12_23_12_29 Acc Rate'!C33,'12_23_12_29'!O:O,"*M*"),COUNTIFS('12_23_12_29'!E:E,'12_23_12_29 Acc Rate'!C33,'12_23_12_29'!R:R,"*M*")))</f>
        <v/>
      </c>
      <c r="T33" s="1" t="str">
        <f>IF(SUM(COUNTIFS('12_23_12_29'!E:E,'12_23_12_29 Acc Rate'!C33,'12_23_12_29'!P:P,"*E*"),COUNTIFS('12_23_12_29'!E:E,'12_23_12_29 Acc Rate'!C33,'12_23_12_29'!S:S,"*E*"))=0,"",SUM(COUNTIFS('12_23_12_29'!E:E,'12_23_12_29 Acc Rate'!C33,'12_23_12_29'!P:P,"*E*"),COUNTIFS('12_23_12_29'!E:E,'12_23_12_29 Acc Rate'!C33,'12_23_12_29'!S:S,"*E*")))</f>
        <v/>
      </c>
      <c r="U33" s="8" t="str">
        <f t="shared" si="1"/>
        <v/>
      </c>
    </row>
    <row r="34" spans="2:21" ht="15" customHeight="1" x14ac:dyDescent="0.25">
      <c r="B34" s="1" t="s">
        <v>654</v>
      </c>
      <c r="C34" s="1" t="s">
        <v>417</v>
      </c>
      <c r="D34" s="1" t="s">
        <v>418</v>
      </c>
      <c r="E34"/>
      <c r="F34" t="s">
        <v>655</v>
      </c>
      <c r="G34" t="s">
        <v>656</v>
      </c>
      <c r="H34" t="s">
        <v>583</v>
      </c>
      <c r="I34" t="s">
        <v>657</v>
      </c>
      <c r="J34" t="s">
        <v>648</v>
      </c>
      <c r="K34" t="s">
        <v>643</v>
      </c>
      <c r="L34"/>
      <c r="M34">
        <v>1</v>
      </c>
      <c r="N34"/>
      <c r="O34"/>
      <c r="P34"/>
      <c r="Q34" s="7"/>
      <c r="R34" s="27">
        <f t="shared" si="0"/>
        <v>-1</v>
      </c>
      <c r="S34" s="27">
        <f>IF(SUM(COUNTIFS('12_23_12_29'!E:E,'12_23_12_29 Acc Rate'!C34,'12_23_12_29'!O:O,"*M*"),COUNTIFS('12_23_12_29'!E:E,'12_23_12_29 Acc Rate'!C34,'12_23_12_29'!R:R,"*M*"))=0,"",SUM(COUNTIFS('12_23_12_29'!E:E,'12_23_12_29 Acc Rate'!C34,'12_23_12_29'!O:O,"*M*"),COUNTIFS('12_23_12_29'!E:E,'12_23_12_29 Acc Rate'!C34,'12_23_12_29'!R:R,"*M*")))</f>
        <v>1</v>
      </c>
      <c r="T34" s="1" t="str">
        <f>IF(SUM(COUNTIFS('12_23_12_29'!E:E,'12_23_12_29 Acc Rate'!C34,'12_23_12_29'!P:P,"*E*"),COUNTIFS('12_23_12_29'!E:E,'12_23_12_29 Acc Rate'!C34,'12_23_12_29'!S:S,"*E*"))=0,"",SUM(COUNTIFS('12_23_12_29'!E:E,'12_23_12_29 Acc Rate'!C34,'12_23_12_29'!P:P,"*E*"),COUNTIFS('12_23_12_29'!E:E,'12_23_12_29 Acc Rate'!C34,'12_23_12_29'!S:S,"*E*")))</f>
        <v/>
      </c>
      <c r="U34" s="8" t="str">
        <f t="shared" si="1"/>
        <v/>
      </c>
    </row>
    <row r="35" spans="2:21" ht="15" customHeight="1" x14ac:dyDescent="0.25">
      <c r="B35" s="1" t="s">
        <v>1641</v>
      </c>
      <c r="C35" s="1" t="s">
        <v>345</v>
      </c>
      <c r="D35" s="1" t="s">
        <v>1642</v>
      </c>
      <c r="E35"/>
      <c r="F35" t="s">
        <v>1643</v>
      </c>
      <c r="G35" t="s">
        <v>1644</v>
      </c>
      <c r="H35" t="s">
        <v>583</v>
      </c>
      <c r="I35" t="s">
        <v>1645</v>
      </c>
      <c r="J35" t="s">
        <v>648</v>
      </c>
      <c r="K35" t="s">
        <v>643</v>
      </c>
      <c r="L35"/>
      <c r="M35">
        <v>15</v>
      </c>
      <c r="N35"/>
      <c r="O35"/>
      <c r="P35"/>
      <c r="Q35" s="7"/>
      <c r="R35" s="27" t="str">
        <f t="shared" si="0"/>
        <v/>
      </c>
      <c r="S35" s="27" t="str">
        <f>IF(SUM(COUNTIFS('12_23_12_29'!E:E,'12_23_12_29 Acc Rate'!C35,'12_23_12_29'!O:O,"*M*"),COUNTIFS('12_23_12_29'!E:E,'12_23_12_29 Acc Rate'!C35,'12_23_12_29'!R:R,"*M*"))=0,"",SUM(COUNTIFS('12_23_12_29'!E:E,'12_23_12_29 Acc Rate'!C35,'12_23_12_29'!O:O,"*M*"),COUNTIFS('12_23_12_29'!E:E,'12_23_12_29 Acc Rate'!C35,'12_23_12_29'!R:R,"*M*")))</f>
        <v/>
      </c>
      <c r="T35" s="1" t="str">
        <f>IF(SUM(COUNTIFS('12_23_12_29'!E:E,'12_23_12_29 Acc Rate'!C35,'12_23_12_29'!P:P,"*E*"),COUNTIFS('12_23_12_29'!E:E,'12_23_12_29 Acc Rate'!C35,'12_23_12_29'!S:S,"*E*"))=0,"",SUM(COUNTIFS('12_23_12_29'!E:E,'12_23_12_29 Acc Rate'!C35,'12_23_12_29'!P:P,"*E*"),COUNTIFS('12_23_12_29'!E:E,'12_23_12_29 Acc Rate'!C35,'12_23_12_29'!S:S,"*E*")))</f>
        <v/>
      </c>
      <c r="U35" s="8" t="str">
        <f t="shared" si="1"/>
        <v/>
      </c>
    </row>
    <row r="36" spans="2:21" ht="15" customHeight="1" x14ac:dyDescent="0.25">
      <c r="B36" s="1" t="s">
        <v>658</v>
      </c>
      <c r="C36" s="1" t="s">
        <v>659</v>
      </c>
      <c r="D36" s="1" t="s">
        <v>660</v>
      </c>
      <c r="E36"/>
      <c r="F36" t="s">
        <v>661</v>
      </c>
      <c r="G36" t="s">
        <v>662</v>
      </c>
      <c r="H36" t="s">
        <v>583</v>
      </c>
      <c r="I36" t="s">
        <v>663</v>
      </c>
      <c r="J36" t="s">
        <v>607</v>
      </c>
      <c r="K36"/>
      <c r="L36"/>
      <c r="M36">
        <v>1</v>
      </c>
      <c r="N36"/>
      <c r="O36"/>
      <c r="P36"/>
      <c r="Q36" s="7"/>
      <c r="R36" s="27" t="str">
        <f t="shared" si="0"/>
        <v/>
      </c>
      <c r="S36" s="27" t="str">
        <f>IF(SUM(COUNTIFS('12_23_12_29'!E:E,'12_23_12_29 Acc Rate'!C36,'12_23_12_29'!O:O,"*M*"),COUNTIFS('12_23_12_29'!E:E,'12_23_12_29 Acc Rate'!C36,'12_23_12_29'!R:R,"*M*"))=0,"",SUM(COUNTIFS('12_23_12_29'!E:E,'12_23_12_29 Acc Rate'!C36,'12_23_12_29'!O:O,"*M*"),COUNTIFS('12_23_12_29'!E:E,'12_23_12_29 Acc Rate'!C36,'12_23_12_29'!R:R,"*M*")))</f>
        <v/>
      </c>
      <c r="T36" s="1" t="str">
        <f>IF(SUM(COUNTIFS('12_23_12_29'!E:E,'12_23_12_29 Acc Rate'!C36,'12_23_12_29'!P:P,"*E*"),COUNTIFS('12_23_12_29'!E:E,'12_23_12_29 Acc Rate'!C36,'12_23_12_29'!S:S,"*E*"))=0,"",SUM(COUNTIFS('12_23_12_29'!E:E,'12_23_12_29 Acc Rate'!C36,'12_23_12_29'!P:P,"*E*"),COUNTIFS('12_23_12_29'!E:E,'12_23_12_29 Acc Rate'!C36,'12_23_12_29'!S:S,"*E*")))</f>
        <v/>
      </c>
      <c r="U36" s="8" t="str">
        <f t="shared" si="1"/>
        <v/>
      </c>
    </row>
    <row r="37" spans="2:21" ht="15" customHeight="1" x14ac:dyDescent="0.25">
      <c r="B37" s="1" t="s">
        <v>664</v>
      </c>
      <c r="C37" s="1" t="s">
        <v>155</v>
      </c>
      <c r="D37" s="1" t="s">
        <v>156</v>
      </c>
      <c r="E37"/>
      <c r="F37" t="s">
        <v>550</v>
      </c>
      <c r="G37" t="s">
        <v>665</v>
      </c>
      <c r="H37" t="s">
        <v>583</v>
      </c>
      <c r="I37" t="s">
        <v>666</v>
      </c>
      <c r="J37" t="s">
        <v>667</v>
      </c>
      <c r="K37" t="s">
        <v>663</v>
      </c>
      <c r="L37"/>
      <c r="M37">
        <v>1</v>
      </c>
      <c r="N37"/>
      <c r="O37"/>
      <c r="P37"/>
      <c r="Q37" s="7"/>
      <c r="R37" s="27" t="str">
        <f t="shared" si="0"/>
        <v/>
      </c>
      <c r="S37" s="27" t="str">
        <f>IF(SUM(COUNTIFS('12_23_12_29'!E:E,'12_23_12_29 Acc Rate'!C37,'12_23_12_29'!O:O,"*M*"),COUNTIFS('12_23_12_29'!E:E,'12_23_12_29 Acc Rate'!C37,'12_23_12_29'!R:R,"*M*"))=0,"",SUM(COUNTIFS('12_23_12_29'!E:E,'12_23_12_29 Acc Rate'!C37,'12_23_12_29'!O:O,"*M*"),COUNTIFS('12_23_12_29'!E:E,'12_23_12_29 Acc Rate'!C37,'12_23_12_29'!R:R,"*M*")))</f>
        <v/>
      </c>
      <c r="T37" s="1" t="str">
        <f>IF(SUM(COUNTIFS('12_23_12_29'!E:E,'12_23_12_29 Acc Rate'!C37,'12_23_12_29'!P:P,"*E*"),COUNTIFS('12_23_12_29'!E:E,'12_23_12_29 Acc Rate'!C37,'12_23_12_29'!S:S,"*E*"))=0,"",SUM(COUNTIFS('12_23_12_29'!E:E,'12_23_12_29 Acc Rate'!C37,'12_23_12_29'!P:P,"*E*"),COUNTIFS('12_23_12_29'!E:E,'12_23_12_29 Acc Rate'!C37,'12_23_12_29'!S:S,"*E*")))</f>
        <v/>
      </c>
      <c r="U37" s="8" t="str">
        <f t="shared" si="1"/>
        <v/>
      </c>
    </row>
    <row r="38" spans="2:21" ht="15" customHeight="1" x14ac:dyDescent="0.25">
      <c r="B38" s="1" t="s">
        <v>668</v>
      </c>
      <c r="C38" s="1" t="s">
        <v>669</v>
      </c>
      <c r="D38" s="1" t="s">
        <v>670</v>
      </c>
      <c r="E38"/>
      <c r="F38" t="s">
        <v>671</v>
      </c>
      <c r="G38" t="s">
        <v>672</v>
      </c>
      <c r="H38" t="s">
        <v>583</v>
      </c>
      <c r="I38" t="s">
        <v>673</v>
      </c>
      <c r="J38" t="s">
        <v>667</v>
      </c>
      <c r="K38" t="s">
        <v>663</v>
      </c>
      <c r="L38"/>
      <c r="M38">
        <v>1</v>
      </c>
      <c r="N38"/>
      <c r="O38"/>
      <c r="P38"/>
      <c r="Q38" s="7"/>
      <c r="R38" s="27" t="str">
        <f t="shared" si="0"/>
        <v/>
      </c>
      <c r="S38" s="27" t="str">
        <f>IF(SUM(COUNTIFS('12_23_12_29'!E:E,'12_23_12_29 Acc Rate'!C38,'12_23_12_29'!O:O,"*M*"),COUNTIFS('12_23_12_29'!E:E,'12_23_12_29 Acc Rate'!C38,'12_23_12_29'!R:R,"*M*"))=0,"",SUM(COUNTIFS('12_23_12_29'!E:E,'12_23_12_29 Acc Rate'!C38,'12_23_12_29'!O:O,"*M*"),COUNTIFS('12_23_12_29'!E:E,'12_23_12_29 Acc Rate'!C38,'12_23_12_29'!R:R,"*M*")))</f>
        <v/>
      </c>
      <c r="T38" s="1" t="str">
        <f>IF(SUM(COUNTIFS('12_23_12_29'!E:E,'12_23_12_29 Acc Rate'!C38,'12_23_12_29'!P:P,"*E*"),COUNTIFS('12_23_12_29'!E:E,'12_23_12_29 Acc Rate'!C38,'12_23_12_29'!S:S,"*E*"))=0,"",SUM(COUNTIFS('12_23_12_29'!E:E,'12_23_12_29 Acc Rate'!C38,'12_23_12_29'!P:P,"*E*"),COUNTIFS('12_23_12_29'!E:E,'12_23_12_29 Acc Rate'!C38,'12_23_12_29'!S:S,"*E*")))</f>
        <v/>
      </c>
      <c r="U38" s="8" t="str">
        <f t="shared" si="1"/>
        <v/>
      </c>
    </row>
    <row r="39" spans="2:21" ht="15" customHeight="1" x14ac:dyDescent="0.25">
      <c r="B39" s="1" t="s">
        <v>701</v>
      </c>
      <c r="C39" s="1" t="s">
        <v>696</v>
      </c>
      <c r="D39" s="1" t="s">
        <v>702</v>
      </c>
      <c r="E39"/>
      <c r="F39" t="s">
        <v>703</v>
      </c>
      <c r="G39" t="s">
        <v>704</v>
      </c>
      <c r="H39" t="s">
        <v>583</v>
      </c>
      <c r="I39" t="s">
        <v>705</v>
      </c>
      <c r="J39" t="s">
        <v>667</v>
      </c>
      <c r="K39" t="s">
        <v>663</v>
      </c>
      <c r="L39"/>
      <c r="M39">
        <v>1</v>
      </c>
      <c r="N39"/>
      <c r="O39"/>
      <c r="P39"/>
      <c r="Q39" s="7"/>
      <c r="R39" s="27" t="str">
        <f t="shared" si="0"/>
        <v/>
      </c>
      <c r="S39" s="27" t="str">
        <f>IF(SUM(COUNTIFS('12_23_12_29'!E:E,'12_23_12_29 Acc Rate'!C39,'12_23_12_29'!O:O,"*M*"),COUNTIFS('12_23_12_29'!E:E,'12_23_12_29 Acc Rate'!C39,'12_23_12_29'!R:R,"*M*"))=0,"",SUM(COUNTIFS('12_23_12_29'!E:E,'12_23_12_29 Acc Rate'!C39,'12_23_12_29'!O:O,"*M*"),COUNTIFS('12_23_12_29'!E:E,'12_23_12_29 Acc Rate'!C39,'12_23_12_29'!R:R,"*M*")))</f>
        <v/>
      </c>
      <c r="T39" s="1" t="str">
        <f>IF(SUM(COUNTIFS('12_23_12_29'!E:E,'12_23_12_29 Acc Rate'!C39,'12_23_12_29'!P:P,"*E*"),COUNTIFS('12_23_12_29'!E:E,'12_23_12_29 Acc Rate'!C39,'12_23_12_29'!S:S,"*E*"))=0,"",SUM(COUNTIFS('12_23_12_29'!E:E,'12_23_12_29 Acc Rate'!C39,'12_23_12_29'!P:P,"*E*"),COUNTIFS('12_23_12_29'!E:E,'12_23_12_29 Acc Rate'!C39,'12_23_12_29'!S:S,"*E*")))</f>
        <v/>
      </c>
      <c r="U39" s="8" t="str">
        <f t="shared" si="1"/>
        <v/>
      </c>
    </row>
    <row r="40" spans="2:21" ht="15" customHeight="1" x14ac:dyDescent="0.25">
      <c r="B40" s="1" t="s">
        <v>674</v>
      </c>
      <c r="C40" s="1" t="s">
        <v>411</v>
      </c>
      <c r="D40" s="1" t="s">
        <v>412</v>
      </c>
      <c r="E40"/>
      <c r="F40" t="s">
        <v>675</v>
      </c>
      <c r="G40" t="s">
        <v>676</v>
      </c>
      <c r="H40" t="s">
        <v>583</v>
      </c>
      <c r="I40" t="s">
        <v>677</v>
      </c>
      <c r="J40" t="s">
        <v>667</v>
      </c>
      <c r="K40" t="s">
        <v>663</v>
      </c>
      <c r="L40"/>
      <c r="M40">
        <v>1</v>
      </c>
      <c r="N40"/>
      <c r="O40"/>
      <c r="P40"/>
      <c r="Q40" s="7"/>
      <c r="R40" s="27" t="str">
        <f t="shared" si="0"/>
        <v/>
      </c>
      <c r="S40" s="27" t="str">
        <f>IF(SUM(COUNTIFS('12_23_12_29'!E:E,'12_23_12_29 Acc Rate'!C40,'12_23_12_29'!O:O,"*M*"),COUNTIFS('12_23_12_29'!E:E,'12_23_12_29 Acc Rate'!C40,'12_23_12_29'!R:R,"*M*"))=0,"",SUM(COUNTIFS('12_23_12_29'!E:E,'12_23_12_29 Acc Rate'!C40,'12_23_12_29'!O:O,"*M*"),COUNTIFS('12_23_12_29'!E:E,'12_23_12_29 Acc Rate'!C40,'12_23_12_29'!R:R,"*M*")))</f>
        <v/>
      </c>
      <c r="T40" s="1" t="str">
        <f>IF(SUM(COUNTIFS('12_23_12_29'!E:E,'12_23_12_29 Acc Rate'!C40,'12_23_12_29'!P:P,"*E*"),COUNTIFS('12_23_12_29'!E:E,'12_23_12_29 Acc Rate'!C40,'12_23_12_29'!S:S,"*E*"))=0,"",SUM(COUNTIFS('12_23_12_29'!E:E,'12_23_12_29 Acc Rate'!C40,'12_23_12_29'!P:P,"*E*"),COUNTIFS('12_23_12_29'!E:E,'12_23_12_29 Acc Rate'!C40,'12_23_12_29'!S:S,"*E*")))</f>
        <v/>
      </c>
      <c r="U40" s="8" t="str">
        <f t="shared" si="1"/>
        <v/>
      </c>
    </row>
    <row r="41" spans="2:21" ht="15" customHeight="1" x14ac:dyDescent="0.25">
      <c r="B41" s="1" t="s">
        <v>678</v>
      </c>
      <c r="C41" s="1" t="s">
        <v>679</v>
      </c>
      <c r="D41" s="1" t="s">
        <v>680</v>
      </c>
      <c r="E41"/>
      <c r="F41" t="s">
        <v>681</v>
      </c>
      <c r="G41" t="s">
        <v>682</v>
      </c>
      <c r="H41" t="s">
        <v>583</v>
      </c>
      <c r="I41" t="s">
        <v>683</v>
      </c>
      <c r="J41" t="s">
        <v>607</v>
      </c>
      <c r="K41"/>
      <c r="L41"/>
      <c r="M41">
        <v>1</v>
      </c>
      <c r="N41"/>
      <c r="O41"/>
      <c r="P41"/>
      <c r="Q41" s="7"/>
      <c r="R41" s="27" t="str">
        <f t="shared" si="0"/>
        <v/>
      </c>
      <c r="S41" s="27" t="str">
        <f>IF(SUM(COUNTIFS('12_23_12_29'!E:E,'12_23_12_29 Acc Rate'!C41,'12_23_12_29'!O:O,"*M*"),COUNTIFS('12_23_12_29'!E:E,'12_23_12_29 Acc Rate'!C41,'12_23_12_29'!R:R,"*M*"))=0,"",SUM(COUNTIFS('12_23_12_29'!E:E,'12_23_12_29 Acc Rate'!C41,'12_23_12_29'!O:O,"*M*"),COUNTIFS('12_23_12_29'!E:E,'12_23_12_29 Acc Rate'!C41,'12_23_12_29'!R:R,"*M*")))</f>
        <v/>
      </c>
      <c r="T41" s="1" t="str">
        <f>IF(SUM(COUNTIFS('12_23_12_29'!E:E,'12_23_12_29 Acc Rate'!C41,'12_23_12_29'!P:P,"*E*"),COUNTIFS('12_23_12_29'!E:E,'12_23_12_29 Acc Rate'!C41,'12_23_12_29'!S:S,"*E*"))=0,"",SUM(COUNTIFS('12_23_12_29'!E:E,'12_23_12_29 Acc Rate'!C41,'12_23_12_29'!P:P,"*E*"),COUNTIFS('12_23_12_29'!E:E,'12_23_12_29 Acc Rate'!C41,'12_23_12_29'!S:S,"*E*")))</f>
        <v/>
      </c>
      <c r="U41" s="8" t="str">
        <f t="shared" si="1"/>
        <v/>
      </c>
    </row>
    <row r="42" spans="2:21" ht="15" customHeight="1" x14ac:dyDescent="0.25">
      <c r="B42" s="1" t="s">
        <v>684</v>
      </c>
      <c r="C42" s="1" t="s">
        <v>84</v>
      </c>
      <c r="D42" s="1" t="s">
        <v>273</v>
      </c>
      <c r="E42"/>
      <c r="F42" t="s">
        <v>685</v>
      </c>
      <c r="G42" t="s">
        <v>686</v>
      </c>
      <c r="H42" t="s">
        <v>583</v>
      </c>
      <c r="I42" t="s">
        <v>687</v>
      </c>
      <c r="J42" t="s">
        <v>688</v>
      </c>
      <c r="K42" t="s">
        <v>683</v>
      </c>
      <c r="L42"/>
      <c r="M42">
        <v>1</v>
      </c>
      <c r="N42"/>
      <c r="O42"/>
      <c r="P42"/>
      <c r="Q42" s="7"/>
      <c r="R42" s="27" t="str">
        <f t="shared" si="0"/>
        <v/>
      </c>
      <c r="S42" s="27" t="str">
        <f>IF(SUM(COUNTIFS('12_23_12_29'!E:E,'12_23_12_29 Acc Rate'!C42,'12_23_12_29'!O:O,"*M*"),COUNTIFS('12_23_12_29'!E:E,'12_23_12_29 Acc Rate'!C42,'12_23_12_29'!R:R,"*M*"))=0,"",SUM(COUNTIFS('12_23_12_29'!E:E,'12_23_12_29 Acc Rate'!C42,'12_23_12_29'!O:O,"*M*"),COUNTIFS('12_23_12_29'!E:E,'12_23_12_29 Acc Rate'!C42,'12_23_12_29'!R:R,"*M*")))</f>
        <v/>
      </c>
      <c r="T42" s="1" t="str">
        <f>IF(SUM(COUNTIFS('12_23_12_29'!E:E,'12_23_12_29 Acc Rate'!C42,'12_23_12_29'!P:P,"*E*"),COUNTIFS('12_23_12_29'!E:E,'12_23_12_29 Acc Rate'!C42,'12_23_12_29'!S:S,"*E*"))=0,"",SUM(COUNTIFS('12_23_12_29'!E:E,'12_23_12_29 Acc Rate'!C42,'12_23_12_29'!P:P,"*E*"),COUNTIFS('12_23_12_29'!E:E,'12_23_12_29 Acc Rate'!C42,'12_23_12_29'!S:S,"*E*")))</f>
        <v/>
      </c>
      <c r="U42" s="8" t="str">
        <f t="shared" si="1"/>
        <v/>
      </c>
    </row>
    <row r="43" spans="2:21" ht="15" customHeight="1" x14ac:dyDescent="0.25">
      <c r="B43" s="1" t="s">
        <v>689</v>
      </c>
      <c r="C43" s="1" t="s">
        <v>690</v>
      </c>
      <c r="D43" s="1" t="s">
        <v>691</v>
      </c>
      <c r="E43"/>
      <c r="F43" t="s">
        <v>692</v>
      </c>
      <c r="G43" t="s">
        <v>693</v>
      </c>
      <c r="H43" t="s">
        <v>583</v>
      </c>
      <c r="I43" t="s">
        <v>694</v>
      </c>
      <c r="J43" t="s">
        <v>688</v>
      </c>
      <c r="K43" t="s">
        <v>683</v>
      </c>
      <c r="L43"/>
      <c r="M43">
        <v>1</v>
      </c>
      <c r="N43"/>
      <c r="O43"/>
      <c r="P43"/>
      <c r="Q43" s="7"/>
      <c r="R43" s="27" t="str">
        <f t="shared" si="0"/>
        <v/>
      </c>
      <c r="S43" s="27" t="str">
        <f>IF(SUM(COUNTIFS('12_23_12_29'!E:E,'12_23_12_29 Acc Rate'!C43,'12_23_12_29'!O:O,"*M*"),COUNTIFS('12_23_12_29'!E:E,'12_23_12_29 Acc Rate'!C43,'12_23_12_29'!R:R,"*M*"))=0,"",SUM(COUNTIFS('12_23_12_29'!E:E,'12_23_12_29 Acc Rate'!C43,'12_23_12_29'!O:O,"*M*"),COUNTIFS('12_23_12_29'!E:E,'12_23_12_29 Acc Rate'!C43,'12_23_12_29'!R:R,"*M*")))</f>
        <v/>
      </c>
      <c r="T43" s="1" t="str">
        <f>IF(SUM(COUNTIFS('12_23_12_29'!E:E,'12_23_12_29 Acc Rate'!C43,'12_23_12_29'!P:P,"*E*"),COUNTIFS('12_23_12_29'!E:E,'12_23_12_29 Acc Rate'!C43,'12_23_12_29'!S:S,"*E*"))=0,"",SUM(COUNTIFS('12_23_12_29'!E:E,'12_23_12_29 Acc Rate'!C43,'12_23_12_29'!P:P,"*E*"),COUNTIFS('12_23_12_29'!E:E,'12_23_12_29 Acc Rate'!C43,'12_23_12_29'!S:S,"*E*")))</f>
        <v/>
      </c>
      <c r="U43" s="8" t="str">
        <f t="shared" si="1"/>
        <v/>
      </c>
    </row>
    <row r="44" spans="2:21" ht="15" customHeight="1" x14ac:dyDescent="0.25">
      <c r="B44" s="1" t="s">
        <v>695</v>
      </c>
      <c r="C44" s="1" t="s">
        <v>696</v>
      </c>
      <c r="D44" s="1" t="s">
        <v>697</v>
      </c>
      <c r="E44"/>
      <c r="F44" t="s">
        <v>698</v>
      </c>
      <c r="G44" t="s">
        <v>699</v>
      </c>
      <c r="H44" t="s">
        <v>583</v>
      </c>
      <c r="I44" t="s">
        <v>700</v>
      </c>
      <c r="J44" t="s">
        <v>607</v>
      </c>
      <c r="K44"/>
      <c r="L44"/>
      <c r="M44">
        <v>1</v>
      </c>
      <c r="N44"/>
      <c r="O44"/>
      <c r="P44"/>
      <c r="Q44" s="7"/>
      <c r="R44" s="27" t="str">
        <f t="shared" si="0"/>
        <v/>
      </c>
      <c r="S44" s="27" t="str">
        <f>IF(SUM(COUNTIFS('12_23_12_29'!E:E,'12_23_12_29 Acc Rate'!C44,'12_23_12_29'!O:O,"*M*"),COUNTIFS('12_23_12_29'!E:E,'12_23_12_29 Acc Rate'!C44,'12_23_12_29'!R:R,"*M*"))=0,"",SUM(COUNTIFS('12_23_12_29'!E:E,'12_23_12_29 Acc Rate'!C44,'12_23_12_29'!O:O,"*M*"),COUNTIFS('12_23_12_29'!E:E,'12_23_12_29 Acc Rate'!C44,'12_23_12_29'!R:R,"*M*")))</f>
        <v/>
      </c>
      <c r="T44" s="1" t="str">
        <f>IF(SUM(COUNTIFS('12_23_12_29'!E:E,'12_23_12_29 Acc Rate'!C44,'12_23_12_29'!P:P,"*E*"),COUNTIFS('12_23_12_29'!E:E,'12_23_12_29 Acc Rate'!C44,'12_23_12_29'!S:S,"*E*"))=0,"",SUM(COUNTIFS('12_23_12_29'!E:E,'12_23_12_29 Acc Rate'!C44,'12_23_12_29'!P:P,"*E*"),COUNTIFS('12_23_12_29'!E:E,'12_23_12_29 Acc Rate'!C44,'12_23_12_29'!S:S,"*E*")))</f>
        <v/>
      </c>
      <c r="U44" s="8" t="str">
        <f t="shared" si="1"/>
        <v/>
      </c>
    </row>
    <row r="45" spans="2:21" ht="15" customHeight="1" x14ac:dyDescent="0.25">
      <c r="B45" s="1" t="s">
        <v>707</v>
      </c>
      <c r="C45" s="1" t="s">
        <v>708</v>
      </c>
      <c r="D45" s="1" t="s">
        <v>709</v>
      </c>
      <c r="E45"/>
      <c r="F45" t="s">
        <v>710</v>
      </c>
      <c r="G45" t="s">
        <v>711</v>
      </c>
      <c r="H45" t="s">
        <v>583</v>
      </c>
      <c r="I45" t="s">
        <v>712</v>
      </c>
      <c r="J45" t="s">
        <v>706</v>
      </c>
      <c r="K45" t="s">
        <v>700</v>
      </c>
      <c r="L45"/>
      <c r="M45">
        <v>1</v>
      </c>
      <c r="N45"/>
      <c r="O45"/>
      <c r="P45"/>
      <c r="Q45" s="7"/>
      <c r="R45" s="27" t="str">
        <f t="shared" si="0"/>
        <v/>
      </c>
      <c r="S45" s="27" t="str">
        <f>IF(SUM(COUNTIFS('12_23_12_29'!E:E,'12_23_12_29 Acc Rate'!C45,'12_23_12_29'!O:O,"*M*"),COUNTIFS('12_23_12_29'!E:E,'12_23_12_29 Acc Rate'!C45,'12_23_12_29'!R:R,"*M*"))=0,"",SUM(COUNTIFS('12_23_12_29'!E:E,'12_23_12_29 Acc Rate'!C45,'12_23_12_29'!O:O,"*M*"),COUNTIFS('12_23_12_29'!E:E,'12_23_12_29 Acc Rate'!C45,'12_23_12_29'!R:R,"*M*")))</f>
        <v/>
      </c>
      <c r="T45" s="1" t="str">
        <f>IF(SUM(COUNTIFS('12_23_12_29'!E:E,'12_23_12_29 Acc Rate'!C45,'12_23_12_29'!P:P,"*E*"),COUNTIFS('12_23_12_29'!E:E,'12_23_12_29 Acc Rate'!C45,'12_23_12_29'!S:S,"*E*"))=0,"",SUM(COUNTIFS('12_23_12_29'!E:E,'12_23_12_29 Acc Rate'!C45,'12_23_12_29'!P:P,"*E*"),COUNTIFS('12_23_12_29'!E:E,'12_23_12_29 Acc Rate'!C45,'12_23_12_29'!S:S,"*E*")))</f>
        <v/>
      </c>
      <c r="U45" s="8" t="str">
        <f t="shared" si="1"/>
        <v/>
      </c>
    </row>
    <row r="46" spans="2:21" ht="15" customHeight="1" x14ac:dyDescent="0.25">
      <c r="B46" s="1" t="s">
        <v>713</v>
      </c>
      <c r="C46" s="1" t="s">
        <v>714</v>
      </c>
      <c r="D46" s="1" t="s">
        <v>715</v>
      </c>
      <c r="E46"/>
      <c r="F46" t="s">
        <v>716</v>
      </c>
      <c r="G46" t="s">
        <v>717</v>
      </c>
      <c r="H46" t="s">
        <v>583</v>
      </c>
      <c r="I46" t="s">
        <v>718</v>
      </c>
      <c r="J46" t="s">
        <v>706</v>
      </c>
      <c r="K46" t="s">
        <v>700</v>
      </c>
      <c r="L46"/>
      <c r="M46">
        <v>1</v>
      </c>
      <c r="N46"/>
      <c r="O46"/>
      <c r="P46"/>
      <c r="Q46" s="7"/>
      <c r="R46" s="27" t="str">
        <f t="shared" si="0"/>
        <v/>
      </c>
      <c r="S46" s="27" t="str">
        <f>IF(SUM(COUNTIFS('12_23_12_29'!E:E,'12_23_12_29 Acc Rate'!C46,'12_23_12_29'!O:O,"*M*"),COUNTIFS('12_23_12_29'!E:E,'12_23_12_29 Acc Rate'!C46,'12_23_12_29'!R:R,"*M*"))=0,"",SUM(COUNTIFS('12_23_12_29'!E:E,'12_23_12_29 Acc Rate'!C46,'12_23_12_29'!O:O,"*M*"),COUNTIFS('12_23_12_29'!E:E,'12_23_12_29 Acc Rate'!C46,'12_23_12_29'!R:R,"*M*")))</f>
        <v/>
      </c>
      <c r="T46" s="1" t="str">
        <f>IF(SUM(COUNTIFS('12_23_12_29'!E:E,'12_23_12_29 Acc Rate'!C46,'12_23_12_29'!P:P,"*E*"),COUNTIFS('12_23_12_29'!E:E,'12_23_12_29 Acc Rate'!C46,'12_23_12_29'!S:S,"*E*"))=0,"",SUM(COUNTIFS('12_23_12_29'!E:E,'12_23_12_29 Acc Rate'!C46,'12_23_12_29'!P:P,"*E*"),COUNTIFS('12_23_12_29'!E:E,'12_23_12_29 Acc Rate'!C46,'12_23_12_29'!S:S,"*E*")))</f>
        <v/>
      </c>
      <c r="U46" s="8" t="str">
        <f t="shared" si="1"/>
        <v/>
      </c>
    </row>
    <row r="47" spans="2:21" ht="15" customHeight="1" x14ac:dyDescent="0.25">
      <c r="B47" s="1" t="s">
        <v>2034</v>
      </c>
      <c r="C47" s="1" t="s">
        <v>848</v>
      </c>
      <c r="D47" s="1" t="s">
        <v>2035</v>
      </c>
      <c r="E47"/>
      <c r="F47" t="s">
        <v>2036</v>
      </c>
      <c r="G47" t="s">
        <v>2037</v>
      </c>
      <c r="H47" t="s">
        <v>583</v>
      </c>
      <c r="I47" t="s">
        <v>2038</v>
      </c>
      <c r="J47" t="s">
        <v>706</v>
      </c>
      <c r="K47" t="s">
        <v>700</v>
      </c>
      <c r="L47"/>
      <c r="M47">
        <v>1</v>
      </c>
      <c r="N47"/>
      <c r="O47"/>
      <c r="P47"/>
      <c r="Q47" s="7"/>
      <c r="R47" s="27" t="str">
        <f t="shared" si="0"/>
        <v/>
      </c>
      <c r="S47" s="27" t="str">
        <f>IF(SUM(COUNTIFS('12_23_12_29'!E:E,'12_23_12_29 Acc Rate'!C47,'12_23_12_29'!O:O,"*M*"),COUNTIFS('12_23_12_29'!E:E,'12_23_12_29 Acc Rate'!C47,'12_23_12_29'!R:R,"*M*"))=0,"",SUM(COUNTIFS('12_23_12_29'!E:E,'12_23_12_29 Acc Rate'!C47,'12_23_12_29'!O:O,"*M*"),COUNTIFS('12_23_12_29'!E:E,'12_23_12_29 Acc Rate'!C47,'12_23_12_29'!R:R,"*M*")))</f>
        <v/>
      </c>
      <c r="T47" s="1" t="str">
        <f>IF(SUM(COUNTIFS('12_23_12_29'!E:E,'12_23_12_29 Acc Rate'!C47,'12_23_12_29'!P:P,"*E*"),COUNTIFS('12_23_12_29'!E:E,'12_23_12_29 Acc Rate'!C47,'12_23_12_29'!S:S,"*E*"))=0,"",SUM(COUNTIFS('12_23_12_29'!E:E,'12_23_12_29 Acc Rate'!C47,'12_23_12_29'!P:P,"*E*"),COUNTIFS('12_23_12_29'!E:E,'12_23_12_29 Acc Rate'!C47,'12_23_12_29'!S:S,"*E*")))</f>
        <v/>
      </c>
      <c r="U47" s="8" t="str">
        <f t="shared" si="1"/>
        <v/>
      </c>
    </row>
    <row r="48" spans="2:21" ht="15" customHeight="1" x14ac:dyDescent="0.25">
      <c r="B48" s="1" t="s">
        <v>719</v>
      </c>
      <c r="C48" s="1" t="s">
        <v>556</v>
      </c>
      <c r="D48" s="1" t="s">
        <v>720</v>
      </c>
      <c r="E48"/>
      <c r="F48" t="s">
        <v>721</v>
      </c>
      <c r="G48" t="s">
        <v>722</v>
      </c>
      <c r="H48" t="s">
        <v>583</v>
      </c>
      <c r="I48" t="s">
        <v>723</v>
      </c>
      <c r="J48" t="s">
        <v>706</v>
      </c>
      <c r="K48" t="s">
        <v>700</v>
      </c>
      <c r="L48"/>
      <c r="M48">
        <v>1</v>
      </c>
      <c r="N48"/>
      <c r="O48"/>
      <c r="P48"/>
      <c r="Q48" s="7"/>
      <c r="R48" s="27" t="str">
        <f t="shared" si="0"/>
        <v/>
      </c>
      <c r="S48" s="27" t="str">
        <f>IF(SUM(COUNTIFS('12_23_12_29'!E:E,'12_23_12_29 Acc Rate'!C48,'12_23_12_29'!O:O,"*M*"),COUNTIFS('12_23_12_29'!E:E,'12_23_12_29 Acc Rate'!C48,'12_23_12_29'!R:R,"*M*"))=0,"",SUM(COUNTIFS('12_23_12_29'!E:E,'12_23_12_29 Acc Rate'!C48,'12_23_12_29'!O:O,"*M*"),COUNTIFS('12_23_12_29'!E:E,'12_23_12_29 Acc Rate'!C48,'12_23_12_29'!R:R,"*M*")))</f>
        <v/>
      </c>
      <c r="T48" s="1" t="str">
        <f>IF(SUM(COUNTIFS('12_23_12_29'!E:E,'12_23_12_29 Acc Rate'!C48,'12_23_12_29'!P:P,"*E*"),COUNTIFS('12_23_12_29'!E:E,'12_23_12_29 Acc Rate'!C48,'12_23_12_29'!S:S,"*E*"))=0,"",SUM(COUNTIFS('12_23_12_29'!E:E,'12_23_12_29 Acc Rate'!C48,'12_23_12_29'!P:P,"*E*"),COUNTIFS('12_23_12_29'!E:E,'12_23_12_29 Acc Rate'!C48,'12_23_12_29'!S:S,"*E*")))</f>
        <v/>
      </c>
      <c r="U48" s="8"/>
    </row>
    <row r="49" spans="5:21" ht="15" customHeight="1" x14ac:dyDescent="0.25">
      <c r="E49"/>
      <c r="F49"/>
      <c r="G49"/>
      <c r="H49"/>
      <c r="I49"/>
      <c r="J49"/>
      <c r="K49"/>
      <c r="L49"/>
      <c r="M49" t="s">
        <v>724</v>
      </c>
      <c r="N49"/>
      <c r="O49"/>
      <c r="P49"/>
      <c r="Q49" s="1">
        <f>SUM(Q3:Q47)</f>
        <v>0</v>
      </c>
      <c r="R49" s="27">
        <f>SUM(R3:R47)</f>
        <v>-16</v>
      </c>
      <c r="S49" s="27">
        <f>SUM(S3:S47)</f>
        <v>14</v>
      </c>
      <c r="T49" s="1">
        <f>SUM(T3:T47)</f>
        <v>2</v>
      </c>
      <c r="U49" s="2">
        <f>IFERROR(SUM(S48*8+T48*2)/Q48,0)</f>
        <v>0</v>
      </c>
    </row>
    <row r="50" spans="5:21" ht="15" customHeight="1" x14ac:dyDescent="0.25">
      <c r="E50"/>
      <c r="F50"/>
      <c r="G50"/>
      <c r="H50"/>
      <c r="I50"/>
      <c r="J50"/>
      <c r="K50"/>
      <c r="L50"/>
      <c r="M50"/>
      <c r="N50"/>
      <c r="O50"/>
      <c r="P50"/>
    </row>
  </sheetData>
  <mergeCells count="3">
    <mergeCell ref="W3:X3"/>
    <mergeCell ref="W7:X7"/>
    <mergeCell ref="W8:X8"/>
  </mergeCells>
  <conditionalFormatting sqref="B1:P1048576">
    <cfRule type="expression" dxfId="38" priority="6">
      <formula>$H1="Service Center"</formula>
    </cfRule>
    <cfRule type="expression" dxfId="37" priority="7">
      <formula>$H1="COBRA"</formula>
    </cfRule>
    <cfRule type="expression" dxfId="36" priority="8">
      <formula>$H1="Claims"</formula>
    </cfRule>
  </conditionalFormatting>
  <conditionalFormatting sqref="B1:U1048576">
    <cfRule type="expression" dxfId="35" priority="4">
      <formula>NOT(ISBLANK($B1))</formula>
    </cfRule>
    <cfRule type="expression" dxfId="34" priority="5">
      <formula>AND($H1="Service Center",$M1=15)</formula>
    </cfRule>
    <cfRule type="expression" dxfId="33" priority="9">
      <formula>$B1="Full Name"</formula>
    </cfRule>
    <cfRule type="expression" dxfId="32" priority="10">
      <formula>$M1="Totals"</formula>
    </cfRule>
  </conditionalFormatting>
  <conditionalFormatting sqref="Q2">
    <cfRule type="expression" dxfId="31" priority="1">
      <formula>$H2="Service Center"</formula>
    </cfRule>
    <cfRule type="expression" dxfId="30" priority="2">
      <formula>$H2="COBRA"</formula>
    </cfRule>
    <cfRule type="expression" dxfId="29" priority="3">
      <formula>$H2="Claims"</formula>
    </cfRule>
  </conditionalFormatting>
  <pageMargins left="0.7" right="0.7" top="0.75" bottom="0.75" header="0.3" footer="0.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3EDC9B-FDFE-429C-AFA7-CDD23695BD37}">
  <sheetPr codeName="Sheet9"/>
  <dimension ref="A2:BE101"/>
  <sheetViews>
    <sheetView zoomScaleNormal="100" workbookViewId="0">
      <selection activeCell="AX17" sqref="AX17"/>
    </sheetView>
  </sheetViews>
  <sheetFormatPr defaultRowHeight="15" x14ac:dyDescent="0.25"/>
  <cols>
    <col min="1" max="1" width="2.7109375" customWidth="1"/>
    <col min="4" max="4" width="13.5703125" bestFit="1" customWidth="1"/>
    <col min="5" max="56" width="4" customWidth="1"/>
  </cols>
  <sheetData>
    <row r="2" spans="2:57" ht="34.5" x14ac:dyDescent="0.55000000000000004">
      <c r="B2" s="3" t="s">
        <v>3034</v>
      </c>
    </row>
    <row r="3" spans="2:57" ht="28.5" x14ac:dyDescent="0.45">
      <c r="B3" s="13" t="s">
        <v>3035</v>
      </c>
    </row>
    <row r="4" spans="2:57" ht="15.75" thickBot="1" x14ac:dyDescent="0.3"/>
    <row r="5" spans="2:57" ht="24.75" thickBot="1" x14ac:dyDescent="0.45">
      <c r="E5" s="112" t="s">
        <v>3036</v>
      </c>
      <c r="F5" s="113"/>
      <c r="G5" s="113"/>
      <c r="H5" s="113"/>
      <c r="I5" s="113"/>
      <c r="J5" s="113"/>
      <c r="K5" s="113"/>
      <c r="L5" s="113"/>
      <c r="M5" s="113"/>
      <c r="N5" s="113"/>
      <c r="O5" s="113"/>
      <c r="P5" s="113"/>
      <c r="Q5" s="113"/>
      <c r="R5" s="113"/>
      <c r="S5" s="113"/>
      <c r="T5" s="113"/>
      <c r="U5" s="113"/>
      <c r="V5" s="113"/>
      <c r="W5" s="113"/>
      <c r="X5" s="113"/>
      <c r="Y5" s="113"/>
      <c r="Z5" s="113"/>
      <c r="AA5" s="113"/>
      <c r="AB5" s="113"/>
      <c r="AC5" s="113"/>
      <c r="AD5" s="113"/>
      <c r="AE5" s="113"/>
      <c r="AF5" s="113"/>
      <c r="AG5" s="113"/>
      <c r="AH5" s="113"/>
      <c r="AI5" s="113"/>
      <c r="AJ5" s="113"/>
      <c r="AK5" s="113"/>
      <c r="AL5" s="113"/>
      <c r="AM5" s="113"/>
      <c r="AN5" s="113"/>
      <c r="AO5" s="113"/>
      <c r="AP5" s="113"/>
      <c r="AQ5" s="113"/>
      <c r="AR5" s="113"/>
      <c r="AS5" s="113"/>
      <c r="AT5" s="113"/>
      <c r="AU5" s="113"/>
      <c r="AV5" s="113"/>
      <c r="AW5" s="113"/>
      <c r="AX5" s="113"/>
      <c r="AY5" s="113"/>
      <c r="AZ5" s="113"/>
      <c r="BA5" s="113"/>
      <c r="BB5" s="113"/>
      <c r="BC5" s="113"/>
      <c r="BD5" s="114"/>
    </row>
    <row r="6" spans="2:57" ht="15.75" thickBot="1" x14ac:dyDescent="0.3">
      <c r="E6" s="115" t="s">
        <v>3037</v>
      </c>
      <c r="F6" s="116"/>
      <c r="G6" s="116"/>
      <c r="H6" s="116"/>
      <c r="I6" s="116"/>
      <c r="J6" s="116"/>
      <c r="K6" s="116"/>
      <c r="L6" s="116"/>
      <c r="M6" s="116"/>
      <c r="N6" s="116"/>
      <c r="O6" s="116"/>
      <c r="P6" s="116"/>
      <c r="Q6" s="116"/>
      <c r="R6" s="116"/>
      <c r="S6" s="116"/>
      <c r="T6" s="116"/>
      <c r="U6" s="116"/>
      <c r="V6" s="116"/>
      <c r="W6" s="116"/>
      <c r="X6" s="116"/>
      <c r="Y6" s="116"/>
      <c r="Z6" s="116"/>
      <c r="AA6" s="116"/>
      <c r="AB6" s="116"/>
      <c r="AC6" s="116"/>
      <c r="AD6" s="116"/>
      <c r="AE6" s="116"/>
      <c r="AF6" s="116"/>
      <c r="AG6" s="116"/>
      <c r="AH6" s="116"/>
      <c r="AI6" s="116"/>
      <c r="AJ6" s="116"/>
      <c r="AK6" s="116"/>
      <c r="AL6" s="116"/>
      <c r="AM6" s="116"/>
      <c r="AN6" s="116"/>
      <c r="AO6" s="116"/>
      <c r="AP6" s="116"/>
      <c r="AQ6" s="116"/>
      <c r="AR6" s="116"/>
      <c r="AS6" s="116"/>
      <c r="AT6" s="116"/>
      <c r="AU6" s="116"/>
      <c r="AV6" s="116"/>
      <c r="AW6" s="116"/>
      <c r="AX6" s="116"/>
      <c r="AY6" s="116"/>
      <c r="AZ6" s="116"/>
      <c r="BA6" s="116"/>
      <c r="BB6" s="116"/>
      <c r="BC6" s="116"/>
      <c r="BD6" s="117"/>
    </row>
    <row r="7" spans="2:57" ht="15.75" thickBot="1" x14ac:dyDescent="0.3">
      <c r="D7" s="4" t="s">
        <v>3038</v>
      </c>
      <c r="E7" s="118" t="s">
        <v>3039</v>
      </c>
      <c r="F7" s="119"/>
      <c r="G7" s="119"/>
      <c r="H7" s="120"/>
      <c r="I7" s="118" t="s">
        <v>3040</v>
      </c>
      <c r="J7" s="119"/>
      <c r="K7" s="119"/>
      <c r="L7" s="120"/>
      <c r="M7" s="118" t="s">
        <v>3041</v>
      </c>
      <c r="N7" s="119"/>
      <c r="O7" s="119"/>
      <c r="P7" s="120"/>
      <c r="Q7" s="118" t="s">
        <v>3042</v>
      </c>
      <c r="R7" s="119"/>
      <c r="S7" s="119"/>
      <c r="T7" s="120"/>
      <c r="U7" s="118" t="s">
        <v>3043</v>
      </c>
      <c r="V7" s="119"/>
      <c r="W7" s="119"/>
      <c r="X7" s="120"/>
      <c r="Y7" s="118" t="s">
        <v>3044</v>
      </c>
      <c r="Z7" s="119"/>
      <c r="AA7" s="119"/>
      <c r="AB7" s="120"/>
      <c r="AC7" s="118" t="s">
        <v>3045</v>
      </c>
      <c r="AD7" s="119"/>
      <c r="AE7" s="119"/>
      <c r="AF7" s="120"/>
      <c r="AG7" s="118" t="s">
        <v>3046</v>
      </c>
      <c r="AH7" s="119"/>
      <c r="AI7" s="119"/>
      <c r="AJ7" s="120"/>
      <c r="AK7" s="118" t="s">
        <v>3047</v>
      </c>
      <c r="AL7" s="119"/>
      <c r="AM7" s="119"/>
      <c r="AN7" s="120"/>
      <c r="AO7" s="118" t="s">
        <v>3048</v>
      </c>
      <c r="AP7" s="119"/>
      <c r="AQ7" s="119"/>
      <c r="AR7" s="120"/>
      <c r="AS7" s="118" t="s">
        <v>3049</v>
      </c>
      <c r="AT7" s="119"/>
      <c r="AU7" s="119"/>
      <c r="AV7" s="120"/>
      <c r="AW7" s="118" t="s">
        <v>3050</v>
      </c>
      <c r="AX7" s="119"/>
      <c r="AY7" s="119"/>
      <c r="AZ7" s="120"/>
      <c r="BA7" s="118" t="s">
        <v>3051</v>
      </c>
      <c r="BB7" s="119"/>
      <c r="BC7" s="119"/>
      <c r="BD7" s="120"/>
      <c r="BE7" s="39" t="s">
        <v>3052</v>
      </c>
    </row>
    <row r="8" spans="2:57" ht="15.75" thickBot="1" x14ac:dyDescent="0.3">
      <c r="D8" s="4" t="s">
        <v>3053</v>
      </c>
      <c r="E8" s="106">
        <v>45578</v>
      </c>
      <c r="F8" s="107"/>
      <c r="G8" s="107"/>
      <c r="H8" s="108"/>
      <c r="I8" s="109">
        <v>45585</v>
      </c>
      <c r="J8" s="110"/>
      <c r="K8" s="110"/>
      <c r="L8" s="111"/>
      <c r="M8" s="109">
        <v>45592</v>
      </c>
      <c r="N8" s="110"/>
      <c r="O8" s="110"/>
      <c r="P8" s="111"/>
      <c r="Q8" s="109">
        <v>45599</v>
      </c>
      <c r="R8" s="110"/>
      <c r="S8" s="110"/>
      <c r="T8" s="111"/>
      <c r="U8" s="109">
        <v>45606</v>
      </c>
      <c r="V8" s="110"/>
      <c r="W8" s="110"/>
      <c r="X8" s="111"/>
      <c r="Y8" s="109">
        <v>45613</v>
      </c>
      <c r="Z8" s="110"/>
      <c r="AA8" s="110"/>
      <c r="AB8" s="111"/>
      <c r="AC8" s="109">
        <v>45620</v>
      </c>
      <c r="AD8" s="110"/>
      <c r="AE8" s="110"/>
      <c r="AF8" s="111"/>
      <c r="AG8" s="109">
        <v>45627</v>
      </c>
      <c r="AH8" s="110"/>
      <c r="AI8" s="110"/>
      <c r="AJ8" s="111"/>
      <c r="AK8" s="109">
        <v>45634</v>
      </c>
      <c r="AL8" s="110"/>
      <c r="AM8" s="110"/>
      <c r="AN8" s="111"/>
      <c r="AO8" s="109">
        <v>45641</v>
      </c>
      <c r="AP8" s="110"/>
      <c r="AQ8" s="110"/>
      <c r="AR8" s="111"/>
      <c r="AS8" s="109">
        <v>45648</v>
      </c>
      <c r="AT8" s="110"/>
      <c r="AU8" s="110"/>
      <c r="AV8" s="111"/>
      <c r="AW8" s="109">
        <v>45655</v>
      </c>
      <c r="AX8" s="110"/>
      <c r="AY8" s="110"/>
      <c r="AZ8" s="111"/>
      <c r="BA8" s="109">
        <v>45662</v>
      </c>
      <c r="BB8" s="110"/>
      <c r="BC8" s="110"/>
      <c r="BD8" s="111"/>
    </row>
    <row r="9" spans="2:57" ht="15.75" thickBot="1" x14ac:dyDescent="0.3">
      <c r="D9" s="4" t="s">
        <v>3054</v>
      </c>
      <c r="E9" s="5" t="s">
        <v>28</v>
      </c>
      <c r="F9" s="5" t="s">
        <v>3055</v>
      </c>
      <c r="G9" s="5" t="s">
        <v>3056</v>
      </c>
      <c r="H9" s="5" t="s">
        <v>3057</v>
      </c>
      <c r="I9" s="5" t="s">
        <v>28</v>
      </c>
      <c r="J9" s="5" t="s">
        <v>3055</v>
      </c>
      <c r="K9" s="5" t="s">
        <v>3056</v>
      </c>
      <c r="L9" s="5" t="s">
        <v>3057</v>
      </c>
      <c r="M9" s="5" t="s">
        <v>28</v>
      </c>
      <c r="N9" s="5" t="s">
        <v>3055</v>
      </c>
      <c r="O9" s="5" t="s">
        <v>3056</v>
      </c>
      <c r="P9" s="5" t="s">
        <v>3057</v>
      </c>
      <c r="Q9" s="5" t="s">
        <v>28</v>
      </c>
      <c r="R9" s="5" t="s">
        <v>3055</v>
      </c>
      <c r="S9" s="5" t="s">
        <v>3056</v>
      </c>
      <c r="T9" s="5" t="s">
        <v>3057</v>
      </c>
      <c r="U9" s="5" t="s">
        <v>28</v>
      </c>
      <c r="V9" s="5" t="s">
        <v>3055</v>
      </c>
      <c r="W9" s="5" t="s">
        <v>3056</v>
      </c>
      <c r="X9" s="5" t="s">
        <v>3057</v>
      </c>
      <c r="Y9" s="5" t="s">
        <v>28</v>
      </c>
      <c r="Z9" s="5" t="s">
        <v>3055</v>
      </c>
      <c r="AA9" s="5" t="s">
        <v>3056</v>
      </c>
      <c r="AB9" s="5" t="s">
        <v>3057</v>
      </c>
      <c r="AC9" s="5" t="s">
        <v>28</v>
      </c>
      <c r="AD9" s="5" t="s">
        <v>3055</v>
      </c>
      <c r="AE9" s="5" t="s">
        <v>3056</v>
      </c>
      <c r="AF9" s="5" t="s">
        <v>3057</v>
      </c>
      <c r="AG9" s="5" t="s">
        <v>28</v>
      </c>
      <c r="AH9" s="5" t="s">
        <v>3055</v>
      </c>
      <c r="AI9" s="5" t="s">
        <v>3056</v>
      </c>
      <c r="AJ9" s="5" t="s">
        <v>3057</v>
      </c>
      <c r="AK9" s="5" t="s">
        <v>28</v>
      </c>
      <c r="AL9" s="5" t="s">
        <v>3055</v>
      </c>
      <c r="AM9" s="5" t="s">
        <v>3056</v>
      </c>
      <c r="AN9" s="5" t="s">
        <v>3057</v>
      </c>
      <c r="AO9" s="5" t="s">
        <v>28</v>
      </c>
      <c r="AP9" s="5" t="s">
        <v>3055</v>
      </c>
      <c r="AQ9" s="5" t="s">
        <v>3056</v>
      </c>
      <c r="AR9" s="5" t="s">
        <v>3057</v>
      </c>
      <c r="AS9" s="5" t="s">
        <v>28</v>
      </c>
      <c r="AT9" s="5" t="s">
        <v>3055</v>
      </c>
      <c r="AU9" s="5" t="s">
        <v>3056</v>
      </c>
      <c r="AV9" s="5" t="s">
        <v>3057</v>
      </c>
      <c r="AW9" s="5" t="s">
        <v>28</v>
      </c>
      <c r="AX9" s="5" t="s">
        <v>3055</v>
      </c>
      <c r="AY9" s="5" t="s">
        <v>3056</v>
      </c>
      <c r="AZ9" s="5" t="s">
        <v>3057</v>
      </c>
      <c r="BA9" s="5" t="s">
        <v>28</v>
      </c>
      <c r="BB9" s="5" t="s">
        <v>3055</v>
      </c>
      <c r="BC9" s="5" t="s">
        <v>3056</v>
      </c>
      <c r="BD9" s="5" t="s">
        <v>3057</v>
      </c>
    </row>
    <row r="10" spans="2:57" x14ac:dyDescent="0.25">
      <c r="B10" s="63" t="s">
        <v>353</v>
      </c>
      <c r="C10" s="81" t="s">
        <v>294</v>
      </c>
      <c r="D10" s="82">
        <f ca="1">IFERROR(SUM(E10,I10,M10,Q10,U10,Y10,AC10,AG10,AK10,AO10,AS10,AW10,BA10)/SUM(E10:F10,I10:J10,M10:N10,Q10:R10,U10:V10,Y10:Z10,AC10:AD10,AG10:AH10,AK10:AL10,AO10:AP10,AS10:AT10,AW10:AX10,BA10:BB10),0)</f>
        <v>1</v>
      </c>
      <c r="E10" s="31">
        <f t="shared" ref="E10:E17" ca="1" si="0">IFERROR(COUNTIFS(INDIRECT("'"&amp;$E$7&amp;"'!$C:$C"),"*"&amp;$C10&amp;"*",INDIRECT("'"&amp;$E$7&amp;"'!$B:$B"),"&lt;&gt;"),"")</f>
        <v>30</v>
      </c>
      <c r="F10" s="32">
        <f t="shared" ref="F10:F17" ca="1" si="1">IFERROR(COUNTIFS(INDIRECT("'"&amp;$E$7&amp;"'!$C:$C"),"*"&amp;$C10&amp;"*",INDIRECT("'"&amp;$E$7&amp;"'!$B:$B"),""),"")</f>
        <v>0</v>
      </c>
      <c r="G10" s="32">
        <f ca="1">IFERROR(COUNTIFS(INDIRECT("'"&amp;E$7&amp;"'!$C:$C"),"*"&amp;$C10&amp;"*",INDIRECT("'"&amp;E$7&amp;"'!$B:$B"),"&gt;"&amp;E$8),"")</f>
        <v>30</v>
      </c>
      <c r="H10" s="33">
        <f t="shared" ref="H10:H17" ca="1" si="2">IFERROR(COUNTIFS(INDIRECT("'"&amp;$E$7&amp;"'!$C:$C"),"*"&amp;$C10&amp;"*",INDIRECT("'"&amp;$E$7&amp;"'!$D:$D"),"&lt;&gt;"),"")</f>
        <v>0</v>
      </c>
      <c r="I10" s="31">
        <f t="shared" ref="I10:I17" ca="1" si="3">IFERROR(COUNTIFS(INDIRECT("'"&amp;$I$7&amp;"'!$C:$C"),"*"&amp;$C10&amp;"*",INDIRECT("'"&amp;$I$7&amp;"'!$B:$B"),"&lt;&gt;"),"")</f>
        <v>24</v>
      </c>
      <c r="J10" s="32">
        <f t="shared" ref="J10:J17" ca="1" si="4">IFERROR(COUNTIFS(INDIRECT("'"&amp;$I$7&amp;"'!$C:$C"),"*"&amp;$C10&amp;"*",INDIRECT("'"&amp;$I$7&amp;"'!$B:$B"),""),"")</f>
        <v>0</v>
      </c>
      <c r="K10" s="32">
        <f ca="1">IFERROR(COUNTIFS(INDIRECT("'"&amp;I$7&amp;"'!$C:$C"),"*"&amp;$C10&amp;"*",INDIRECT("'"&amp;I$7&amp;"'!$B:$B"),"&gt;"&amp;I$8),"")</f>
        <v>24</v>
      </c>
      <c r="L10" s="33">
        <f t="shared" ref="L10:L17" ca="1" si="5">IFERROR(COUNTIFS(INDIRECT("'"&amp;$I$7&amp;"'!$C:$C"),"*"&amp;$C10&amp;"*",INDIRECT("'"&amp;$I$7&amp;"'!$D:$D"),"&lt;&gt;"),"")</f>
        <v>0</v>
      </c>
      <c r="M10" s="31">
        <f t="shared" ref="M10:M17" ca="1" si="6">IFERROR(COUNTIFS(INDIRECT("'"&amp;$M$7&amp;"'!$C:$C"),"*"&amp;$C10&amp;"*",INDIRECT("'"&amp;$M$7&amp;"'!$B:$B"),"&lt;&gt;"),"")</f>
        <v>31</v>
      </c>
      <c r="N10" s="32">
        <f t="shared" ref="N10:N17" ca="1" si="7">IFERROR(COUNTIFS(INDIRECT("'"&amp;$M$7&amp;"'!$C:$C"),"*"&amp;$C10&amp;"*",INDIRECT("'"&amp;$M$7&amp;"'!$B:$B"),""),"")</f>
        <v>0</v>
      </c>
      <c r="O10" s="32">
        <f ca="1">IFERROR(COUNTIFS(INDIRECT("'"&amp;M$7&amp;"'!$C:$C"),"*"&amp;$C10&amp;"*",INDIRECT("'"&amp;M$7&amp;"'!$B:$B"),"&gt;"&amp;M$8),"")</f>
        <v>31</v>
      </c>
      <c r="P10" s="33">
        <f t="shared" ref="P10:P17" ca="1" si="8">IFERROR(COUNTIFS(INDIRECT("'"&amp;$M$7&amp;"'!$C:$C"),"*"&amp;$C10&amp;"*",INDIRECT("'"&amp;$M$7&amp;"'!$D:$D"),"&lt;&gt;"),"")</f>
        <v>0</v>
      </c>
      <c r="Q10" s="31">
        <f t="shared" ref="Q10:Q17" ca="1" si="9">IFERROR(COUNTIFS(INDIRECT("'"&amp;$Q$7&amp;"'!$C:$C"),"*"&amp;$C10&amp;"*",INDIRECT("'"&amp;$Q$7&amp;"'!$B:$B"),"&lt;&gt;"),"")</f>
        <v>29</v>
      </c>
      <c r="R10" s="32">
        <f t="shared" ref="R10:R17" ca="1" si="10">IFERROR(COUNTIFS(INDIRECT("'"&amp;$Q$7&amp;"'!$C:$C"),"*"&amp;$C10&amp;"*",INDIRECT("'"&amp;$Q$7&amp;"'!$B:$B"),""),"")</f>
        <v>0</v>
      </c>
      <c r="S10" s="32">
        <f ca="1">IFERROR(COUNTIFS(INDIRECT("'"&amp;Q$7&amp;"'!$C:$C"),"*"&amp;$C10&amp;"*",INDIRECT("'"&amp;Q$7&amp;"'!$B:$B"),"&gt;"&amp;Q$8),"")</f>
        <v>0</v>
      </c>
      <c r="T10" s="33">
        <f t="shared" ref="T10:T17" ca="1" si="11">IFERROR(COUNTIFS(INDIRECT("'"&amp;$Q$7&amp;"'!$C:$C"),"*"&amp;$C10&amp;"*",INDIRECT("'"&amp;$Q$7&amp;"'!$D:$D"),"&lt;&gt;"),"")</f>
        <v>0</v>
      </c>
      <c r="U10" s="31">
        <f t="shared" ref="U10:U17" ca="1" si="12">IFERROR(COUNTIFS(INDIRECT("'"&amp;$U$7&amp;"'!$C:$C"),"*"&amp;$C10&amp;"*",INDIRECT("'"&amp;$U$7&amp;"'!$B:$B"),"&lt;&gt;"),"")</f>
        <v>27</v>
      </c>
      <c r="V10" s="32">
        <f t="shared" ref="V10:V17" ca="1" si="13">IFERROR(COUNTIFS(INDIRECT("'"&amp;$U$7&amp;"'!$C:$C"),"*"&amp;$C10&amp;"*",INDIRECT("'"&amp;$U$7&amp;"'!$B:$B"),""),"")</f>
        <v>0</v>
      </c>
      <c r="W10" s="32">
        <f ca="1">IFERROR(COUNTIFS(INDIRECT("'"&amp;U$7&amp;"'!$C:$C"),"*"&amp;$C10&amp;"*",INDIRECT("'"&amp;U$7&amp;"'!$B:$B"),"&gt;"&amp;U$8),"")</f>
        <v>27</v>
      </c>
      <c r="X10" s="33">
        <f t="shared" ref="X10:X17" ca="1" si="14">IFERROR(COUNTIFS(INDIRECT("'"&amp;$U$7&amp;"'!$C:$C"),"*"&amp;$C10&amp;"*",INDIRECT("'"&amp;$U$7&amp;"'!$D:$D"),"&lt;&gt;"),"")</f>
        <v>0</v>
      </c>
      <c r="Y10" s="31">
        <f t="shared" ref="Y10:Y17" ca="1" si="15">IFERROR(COUNTIFS(INDIRECT("'"&amp;$Y$7&amp;"'!$C:$C"),"*"&amp;$C10&amp;"*",INDIRECT("'"&amp;$Y$7&amp;"'!$B:$B"),"&lt;&gt;"),"")</f>
        <v>29</v>
      </c>
      <c r="Z10" s="32">
        <f t="shared" ref="Z10:Z17" ca="1" si="16">IFERROR(COUNTIFS(INDIRECT("'"&amp;$Y$7&amp;"'!$C:$C"),"*"&amp;$C10&amp;"*",INDIRECT("'"&amp;$Y$7&amp;"'!$B:$B"),""),"")</f>
        <v>0</v>
      </c>
      <c r="AA10" s="32">
        <f ca="1">IFERROR(COUNTIFS(INDIRECT("'"&amp;Y$7&amp;"'!$C:$C"),"*"&amp;$C10&amp;"*",INDIRECT("'"&amp;Y$7&amp;"'!$B:$B"),"&gt;"&amp;Y$8),"")</f>
        <v>29</v>
      </c>
      <c r="AB10" s="33">
        <f t="shared" ref="AB10:AB17" ca="1" si="17">IFERROR(COUNTIFS(INDIRECT("'"&amp;$Y$7&amp;"'!$C:$C"),"*"&amp;$C10&amp;"*",INDIRECT("'"&amp;$Y$7&amp;"'!$D:$D"),"&lt;&gt;"),"")</f>
        <v>0</v>
      </c>
      <c r="AC10" s="31">
        <f t="shared" ref="AC10:AC17" ca="1" si="18">IFERROR(COUNTIFS(INDIRECT("'"&amp;$AC$7&amp;"'!$C:$C"),"*"&amp;$C10&amp;"*",INDIRECT("'"&amp;$AC$7&amp;"'!$B:$B"),"&lt;&gt;"),"")</f>
        <v>0</v>
      </c>
      <c r="AD10" s="32">
        <f t="shared" ref="AD10:AD17" ca="1" si="19">IFERROR(COUNTIFS(INDIRECT("'"&amp;$AC$7&amp;"'!$C:$C"),"*"&amp;$C10&amp;"*",INDIRECT("'"&amp;$AC$7&amp;"'!$B:$B"),""),"")</f>
        <v>0</v>
      </c>
      <c r="AE10" s="32">
        <f ca="1">IFERROR(COUNTIFS(INDIRECT("'"&amp;AC$7&amp;"'!$C:$C"),"*"&amp;$C10&amp;"*",INDIRECT("'"&amp;AC$7&amp;"'!$B:$B"),"&gt;"&amp;AC$8),"")</f>
        <v>0</v>
      </c>
      <c r="AF10" s="33">
        <f t="shared" ref="AF10:AF17" ca="1" si="20">IFERROR(COUNTIFS(INDIRECT("'"&amp;$AC$7&amp;"'!$C:$C"),"*"&amp;$C10&amp;"*",INDIRECT("'"&amp;$AC$7&amp;"'!$D:$D"),"&lt;&gt;"),"")</f>
        <v>0</v>
      </c>
      <c r="AG10" s="31">
        <f t="shared" ref="AG10:AG17" ca="1" si="21">IFERROR(COUNTIFS(INDIRECT("'"&amp;$AG$7&amp;"'!$C:$C"),"*"&amp;$C10&amp;"*",INDIRECT("'"&amp;$AG$7&amp;"'!$B:$B"),"&lt;&gt;"),"")</f>
        <v>0</v>
      </c>
      <c r="AH10" s="32">
        <f t="shared" ref="AH10:AH17" ca="1" si="22">IFERROR(COUNTIFS(INDIRECT("'"&amp;$AG$7&amp;"'!$C:$C"),"*"&amp;$C10&amp;"*",INDIRECT("'"&amp;$AG$7&amp;"'!$B:$B"),""),"")</f>
        <v>0</v>
      </c>
      <c r="AI10" s="32">
        <f ca="1">IFERROR(COUNTIFS(INDIRECT("'"&amp;AG$7&amp;"'!$C:$C"),"*"&amp;$C10&amp;"*",INDIRECT("'"&amp;AG$7&amp;"'!$B:$B"),"&gt;"&amp;AG$8),"")</f>
        <v>0</v>
      </c>
      <c r="AJ10" s="33">
        <f t="shared" ref="AJ10:AJ17" ca="1" si="23">IFERROR(COUNTIFS(INDIRECT("'"&amp;$AG$7&amp;"'!$C:$C"),"*"&amp;$C10&amp;"*",INDIRECT("'"&amp;$AG$7&amp;"'!$D:$D"),"&lt;&gt;"),"")</f>
        <v>0</v>
      </c>
      <c r="AK10" s="31">
        <f t="shared" ref="AK10:AK17" ca="1" si="24">IFERROR(COUNTIFS(INDIRECT("'"&amp;$AK$7&amp;"'!$C:$C"),"*"&amp;$C10&amp;"*",INDIRECT("'"&amp;$AK$7&amp;"'!$B:$B"),"&lt;&gt;"),"")</f>
        <v>0</v>
      </c>
      <c r="AL10" s="32">
        <f t="shared" ref="AL10:AL17" ca="1" si="25">IFERROR(COUNTIFS(INDIRECT("'"&amp;$AK$7&amp;"'!$C:$C"),"*"&amp;$C10&amp;"*",INDIRECT("'"&amp;$AK$7&amp;"'!$B:$B"),""),"")</f>
        <v>0</v>
      </c>
      <c r="AM10" s="32">
        <f ca="1">IFERROR(COUNTIFS(INDIRECT("'"&amp;AK$7&amp;"'!$C:$C"),"*"&amp;$C10&amp;"*",INDIRECT("'"&amp;AK$7&amp;"'!$B:$B"),"&gt;"&amp;AK$8),"")</f>
        <v>0</v>
      </c>
      <c r="AN10" s="33">
        <f t="shared" ref="AN10:AN17" ca="1" si="26">IFERROR(COUNTIFS(INDIRECT("'"&amp;$AK$7&amp;"'!$C:$C"),"*"&amp;$C10&amp;"*",INDIRECT("'"&amp;$AK$7&amp;"'!$D:$D"),"&lt;&gt;"),"")</f>
        <v>0</v>
      </c>
      <c r="AO10" s="31">
        <f t="shared" ref="AO10:AO17" ca="1" si="27">IFERROR(COUNTIFS(INDIRECT("'"&amp;$AO$7&amp;"'!$C:$C"),"*"&amp;$C10&amp;"*",INDIRECT("'"&amp;$AO$7&amp;"'!$B:$B"),"&lt;&gt;"),"")</f>
        <v>0</v>
      </c>
      <c r="AP10" s="32">
        <f t="shared" ref="AP10:AP17" ca="1" si="28">IFERROR(COUNTIFS(INDIRECT("'"&amp;$AO$7&amp;"'!$C:$C"),"*"&amp;$C10&amp;"*",INDIRECT("'"&amp;$AO$7&amp;"'!$B:$B"),""),"")</f>
        <v>0</v>
      </c>
      <c r="AQ10" s="32">
        <f ca="1">IFERROR(COUNTIFS(INDIRECT("'"&amp;AO$7&amp;"'!$C:$C"),"*"&amp;$C10&amp;"*",INDIRECT("'"&amp;AO$7&amp;"'!$B:$B"),"&gt;"&amp;AO$8),"")</f>
        <v>0</v>
      </c>
      <c r="AR10" s="33">
        <f t="shared" ref="AR10:AR17" ca="1" si="29">IFERROR(COUNTIFS(INDIRECT("'"&amp;$AO$7&amp;"'!$C:$C"),"*"&amp;$C10&amp;"*",INDIRECT("'"&amp;$AO$7&amp;"'!$D:$D"),"&lt;&gt;"),"")</f>
        <v>0</v>
      </c>
      <c r="AS10" s="31">
        <f t="shared" ref="AS10:AS17" ca="1" si="30">IFERROR(COUNTIFS(INDIRECT("'"&amp;$AS$7&amp;"'!$C:$C"),"*"&amp;$C10&amp;"*",INDIRECT("'"&amp;$AS$7&amp;"'!$B:$B"),"&lt;&gt;"),"")</f>
        <v>0</v>
      </c>
      <c r="AT10" s="32">
        <f t="shared" ref="AT10:AT17" ca="1" si="31">IFERROR(COUNTIFS(INDIRECT("'"&amp;$AS$7&amp;"'!$C:$C"),"*"&amp;$C10&amp;"*",INDIRECT("'"&amp;$AS$7&amp;"'!$B:$B"),""),"")</f>
        <v>0</v>
      </c>
      <c r="AU10" s="32">
        <f ca="1">IFERROR(COUNTIFS(INDIRECT("'"&amp;AS$7&amp;"'!$C:$C"),"*"&amp;$C10&amp;"*",INDIRECT("'"&amp;AS$7&amp;"'!$B:$B"),"&gt;"&amp;AS$8),"")</f>
        <v>0</v>
      </c>
      <c r="AV10" s="33">
        <f t="shared" ref="AV10:AV17" ca="1" si="32">IFERROR(COUNTIFS(INDIRECT("'"&amp;$AS$7&amp;"'!$C:$C"),"*"&amp;$C10&amp;"*",INDIRECT("'"&amp;$AS$7&amp;"'!$D:$D"),"&lt;&gt;"),"")</f>
        <v>0</v>
      </c>
      <c r="AW10" s="31">
        <f t="shared" ref="AW10:AW17" ca="1" si="33">IFERROR(COUNTIFS(INDIRECT("'"&amp;$AW$7&amp;"'!$C:$C"),"*"&amp;$C10&amp;"*",INDIRECT("'"&amp;$AW$7&amp;"'!$B:$B"),"&lt;&gt;"),"")</f>
        <v>0</v>
      </c>
      <c r="AX10" s="32">
        <f t="shared" ref="AX10:AX17" ca="1" si="34">IFERROR(COUNTIFS(INDIRECT("'"&amp;$AW$7&amp;"'!$C:$C"),"*"&amp;$C10&amp;"*",INDIRECT("'"&amp;$AW$7&amp;"'!$B:$B"),""),"")</f>
        <v>0</v>
      </c>
      <c r="AY10" s="32">
        <f ca="1">IFERROR(COUNTIFS(INDIRECT("'"&amp;AW$7&amp;"'!$C:$C"),"*"&amp;$C10&amp;"*",INDIRECT("'"&amp;AW$7&amp;"'!$B:$B"),"&gt;"&amp;AW$8),"")</f>
        <v>0</v>
      </c>
      <c r="AZ10" s="33">
        <f t="shared" ref="AZ10:AZ17" ca="1" si="35">IFERROR(COUNTIFS(INDIRECT("'"&amp;$AW$7&amp;"'!$C:$C"),"*"&amp;$C10&amp;"*",INDIRECT("'"&amp;$AW$7&amp;"'!$D:$D"),"&lt;&gt;"),"")</f>
        <v>0</v>
      </c>
      <c r="BA10" s="31">
        <f t="shared" ref="BA10:BA17" ca="1" si="36">IFERROR(COUNTIFS(INDIRECT("'"&amp;$BA$7&amp;"'!$C:$C"),"*"&amp;$C10&amp;"*",INDIRECT("'"&amp;$BA$7&amp;"'!$B:$B"),"&lt;&gt;"),"")</f>
        <v>0</v>
      </c>
      <c r="BB10" s="32">
        <f t="shared" ref="BB10:BB17" ca="1" si="37">IFERROR(COUNTIFS(INDIRECT("'"&amp;$BA$7&amp;"'!$C:$C"),"*"&amp;$C10&amp;"*",INDIRECT("'"&amp;$BA$7&amp;"'!$B:$B"),""),"")</f>
        <v>0</v>
      </c>
      <c r="BC10" s="32">
        <f ca="1">IFERROR(COUNTIFS(INDIRECT("'"&amp;BA$7&amp;"'!$C:$C"),"*"&amp;$C10&amp;"*",INDIRECT("'"&amp;BA$7&amp;"'!$B:$B"),"&gt;"&amp;BA$8),"")</f>
        <v>0</v>
      </c>
      <c r="BD10" s="33">
        <f t="shared" ref="BD10:BD17" ca="1" si="38">IFERROR(COUNTIFS(INDIRECT("'"&amp;$BA$7&amp;"'!$C:$C"),"*"&amp;$C10&amp;"*",INDIRECT("'"&amp;$BA$7&amp;"'!$D:$D"),"&lt;&gt;"),"")</f>
        <v>0</v>
      </c>
    </row>
    <row r="11" spans="2:57" x14ac:dyDescent="0.25">
      <c r="B11" s="63" t="s">
        <v>362</v>
      </c>
      <c r="C11" s="81" t="s">
        <v>175</v>
      </c>
      <c r="D11" s="82">
        <f t="shared" ref="D11:D17" ca="1" si="39">IFERROR(SUM(E11,I11,M11,Q11,U11,Y11,AC11,AG11,AK11,AO11,AS11,AW11,BA11)/SUM(E11:F11,I11:J11,M11:N11,Q11:R11,U11:V11,Y11:Z11,AC11:AD11,AG11:AH11,AK11:AL11,AO11:AP11,AS11:AT11,AW11:AX11,BA11:BB11),0)</f>
        <v>1</v>
      </c>
      <c r="E11" s="34">
        <f t="shared" ca="1" si="0"/>
        <v>15</v>
      </c>
      <c r="F11" s="53">
        <f t="shared" ca="1" si="1"/>
        <v>0</v>
      </c>
      <c r="G11" s="53">
        <f t="shared" ref="G11:G17" ca="1" si="40">IFERROR(COUNTIFS(INDIRECT("'"&amp;E$7&amp;"'!$C:$C"),"*"&amp;$C11&amp;"*",INDIRECT("'"&amp;E$7&amp;"'!$B:$B"),"&gt;"&amp;E$8),"")</f>
        <v>15</v>
      </c>
      <c r="H11" s="35">
        <f t="shared" ca="1" si="2"/>
        <v>0</v>
      </c>
      <c r="I11" s="34">
        <f t="shared" ca="1" si="3"/>
        <v>15</v>
      </c>
      <c r="J11" s="53">
        <f t="shared" ca="1" si="4"/>
        <v>0</v>
      </c>
      <c r="K11" s="53">
        <f t="shared" ref="K11:K17" ca="1" si="41">IFERROR(COUNTIFS(INDIRECT("'"&amp;I$7&amp;"'!$C:$C"),"*"&amp;$C11&amp;"*",INDIRECT("'"&amp;I$7&amp;"'!$B:$B"),"&gt;"&amp;I$8),"")</f>
        <v>15</v>
      </c>
      <c r="L11" s="35">
        <f t="shared" ca="1" si="5"/>
        <v>0</v>
      </c>
      <c r="M11" s="34">
        <f t="shared" ca="1" si="6"/>
        <v>15</v>
      </c>
      <c r="N11" s="53">
        <f t="shared" ca="1" si="7"/>
        <v>0</v>
      </c>
      <c r="O11" s="53">
        <f t="shared" ref="O11:O17" ca="1" si="42">IFERROR(COUNTIFS(INDIRECT("'"&amp;M$7&amp;"'!$C:$C"),"*"&amp;$C11&amp;"*",INDIRECT("'"&amp;M$7&amp;"'!$B:$B"),"&gt;"&amp;M$8),"")</f>
        <v>15</v>
      </c>
      <c r="P11" s="35">
        <f t="shared" ca="1" si="8"/>
        <v>0</v>
      </c>
      <c r="Q11" s="34">
        <f t="shared" ca="1" si="9"/>
        <v>15</v>
      </c>
      <c r="R11" s="53">
        <f t="shared" ca="1" si="10"/>
        <v>0</v>
      </c>
      <c r="S11" s="53">
        <f t="shared" ref="S11:S17" ca="1" si="43">IFERROR(COUNTIFS(INDIRECT("'"&amp;Q$7&amp;"'!$C:$C"),"*"&amp;$C11&amp;"*",INDIRECT("'"&amp;Q$7&amp;"'!$B:$B"),"&gt;"&amp;Q$8),"")</f>
        <v>15</v>
      </c>
      <c r="T11" s="35">
        <f t="shared" ca="1" si="11"/>
        <v>0</v>
      </c>
      <c r="U11" s="34">
        <f t="shared" ca="1" si="12"/>
        <v>15</v>
      </c>
      <c r="V11" s="53">
        <f t="shared" ca="1" si="13"/>
        <v>0</v>
      </c>
      <c r="W11" s="53">
        <f t="shared" ref="W11:W17" ca="1" si="44">IFERROR(COUNTIFS(INDIRECT("'"&amp;U$7&amp;"'!$C:$C"),"*"&amp;$C11&amp;"*",INDIRECT("'"&amp;U$7&amp;"'!$B:$B"),"&gt;"&amp;U$8),"")</f>
        <v>15</v>
      </c>
      <c r="X11" s="35">
        <f t="shared" ca="1" si="14"/>
        <v>0</v>
      </c>
      <c r="Y11" s="34">
        <f t="shared" ca="1" si="15"/>
        <v>15</v>
      </c>
      <c r="Z11" s="53">
        <f t="shared" ca="1" si="16"/>
        <v>0</v>
      </c>
      <c r="AA11" s="53">
        <f t="shared" ref="AA11:AA17" ca="1" si="45">IFERROR(COUNTIFS(INDIRECT("'"&amp;Y$7&amp;"'!$C:$C"),"*"&amp;$C11&amp;"*",INDIRECT("'"&amp;Y$7&amp;"'!$B:$B"),"&gt;"&amp;Y$8),"")</f>
        <v>15</v>
      </c>
      <c r="AB11" s="35">
        <f t="shared" ca="1" si="17"/>
        <v>0</v>
      </c>
      <c r="AC11" s="34">
        <f t="shared" ca="1" si="18"/>
        <v>17</v>
      </c>
      <c r="AD11" s="53">
        <f t="shared" ca="1" si="19"/>
        <v>0</v>
      </c>
      <c r="AE11" s="53">
        <f t="shared" ref="AE11:AE17" ca="1" si="46">IFERROR(COUNTIFS(INDIRECT("'"&amp;AC$7&amp;"'!$C:$C"),"*"&amp;$C11&amp;"*",INDIRECT("'"&amp;AC$7&amp;"'!$B:$B"),"&gt;"&amp;AC$8),"")</f>
        <v>17</v>
      </c>
      <c r="AF11" s="35">
        <f t="shared" ca="1" si="20"/>
        <v>0</v>
      </c>
      <c r="AG11" s="34">
        <f t="shared" ca="1" si="21"/>
        <v>16</v>
      </c>
      <c r="AH11" s="53">
        <f t="shared" ca="1" si="22"/>
        <v>0</v>
      </c>
      <c r="AI11" s="53">
        <f t="shared" ref="AI11:AI17" ca="1" si="47">IFERROR(COUNTIFS(INDIRECT("'"&amp;AG$7&amp;"'!$C:$C"),"*"&amp;$C11&amp;"*",INDIRECT("'"&amp;AG$7&amp;"'!$B:$B"),"&gt;"&amp;AG$8),"")</f>
        <v>16</v>
      </c>
      <c r="AJ11" s="35">
        <f t="shared" ca="1" si="23"/>
        <v>0</v>
      </c>
      <c r="AK11" s="34">
        <f t="shared" ca="1" si="24"/>
        <v>15</v>
      </c>
      <c r="AL11" s="53">
        <f t="shared" ca="1" si="25"/>
        <v>0</v>
      </c>
      <c r="AM11" s="53">
        <f t="shared" ref="AM11:AM17" ca="1" si="48">IFERROR(COUNTIFS(INDIRECT("'"&amp;AK$7&amp;"'!$C:$C"),"*"&amp;$C11&amp;"*",INDIRECT("'"&amp;AK$7&amp;"'!$B:$B"),"&gt;"&amp;AK$8),"")</f>
        <v>0</v>
      </c>
      <c r="AN11" s="35">
        <f t="shared" ca="1" si="26"/>
        <v>0</v>
      </c>
      <c r="AO11" s="34">
        <f t="shared" ca="1" si="27"/>
        <v>15</v>
      </c>
      <c r="AP11" s="53">
        <f t="shared" ca="1" si="28"/>
        <v>0</v>
      </c>
      <c r="AQ11" s="53">
        <f t="shared" ref="AQ11:AQ17" ca="1" si="49">IFERROR(COUNTIFS(INDIRECT("'"&amp;AO$7&amp;"'!$C:$C"),"*"&amp;$C11&amp;"*",INDIRECT("'"&amp;AO$7&amp;"'!$B:$B"),"&gt;"&amp;AO$8),"")</f>
        <v>15</v>
      </c>
      <c r="AR11" s="35">
        <f t="shared" ca="1" si="29"/>
        <v>0</v>
      </c>
      <c r="AS11" s="34">
        <f t="shared" ca="1" si="30"/>
        <v>18</v>
      </c>
      <c r="AT11" s="53">
        <f t="shared" ca="1" si="31"/>
        <v>0</v>
      </c>
      <c r="AU11" s="53">
        <f t="shared" ref="AU11:AU17" ca="1" si="50">IFERROR(COUNTIFS(INDIRECT("'"&amp;AS$7&amp;"'!$C:$C"),"*"&amp;$C11&amp;"*",INDIRECT("'"&amp;AS$7&amp;"'!$B:$B"),"&gt;"&amp;AS$8),"")</f>
        <v>0</v>
      </c>
      <c r="AV11" s="35">
        <f t="shared" ca="1" si="32"/>
        <v>0</v>
      </c>
      <c r="AW11" s="34">
        <f t="shared" ca="1" si="33"/>
        <v>17</v>
      </c>
      <c r="AX11" s="53">
        <f t="shared" ca="1" si="34"/>
        <v>0</v>
      </c>
      <c r="AY11" s="53">
        <f t="shared" ref="AY11:AY17" ca="1" si="51">IFERROR(COUNTIFS(INDIRECT("'"&amp;AW$7&amp;"'!$C:$C"),"*"&amp;$C11&amp;"*",INDIRECT("'"&amp;AW$7&amp;"'!$B:$B"),"&gt;"&amp;AW$8),"")</f>
        <v>17</v>
      </c>
      <c r="AZ11" s="35">
        <f t="shared" ca="1" si="35"/>
        <v>17</v>
      </c>
      <c r="BA11" s="34">
        <f t="shared" ca="1" si="36"/>
        <v>15</v>
      </c>
      <c r="BB11" s="53">
        <f t="shared" ca="1" si="37"/>
        <v>0</v>
      </c>
      <c r="BC11" s="53">
        <f t="shared" ref="BC11:BC17" ca="1" si="52">IFERROR(COUNTIFS(INDIRECT("'"&amp;BA$7&amp;"'!$C:$C"),"*"&amp;$C11&amp;"*",INDIRECT("'"&amp;BA$7&amp;"'!$B:$B"),"&gt;"&amp;BA$8),"")</f>
        <v>15</v>
      </c>
      <c r="BD11" s="35">
        <f t="shared" ca="1" si="38"/>
        <v>15</v>
      </c>
    </row>
    <row r="12" spans="2:57" x14ac:dyDescent="0.25">
      <c r="B12" s="63" t="s">
        <v>176</v>
      </c>
      <c r="C12" s="81" t="s">
        <v>168</v>
      </c>
      <c r="D12" s="82">
        <f t="shared" ca="1" si="39"/>
        <v>1</v>
      </c>
      <c r="E12" s="34">
        <f t="shared" ca="1" si="0"/>
        <v>30</v>
      </c>
      <c r="F12" s="53">
        <f t="shared" ca="1" si="1"/>
        <v>0</v>
      </c>
      <c r="G12" s="53">
        <f t="shared" ca="1" si="40"/>
        <v>30</v>
      </c>
      <c r="H12" s="35">
        <f t="shared" ca="1" si="2"/>
        <v>0</v>
      </c>
      <c r="I12" s="34">
        <f t="shared" ca="1" si="3"/>
        <v>24</v>
      </c>
      <c r="J12" s="53">
        <f t="shared" ca="1" si="4"/>
        <v>0</v>
      </c>
      <c r="K12" s="53">
        <f t="shared" ca="1" si="41"/>
        <v>24</v>
      </c>
      <c r="L12" s="35">
        <f t="shared" ca="1" si="5"/>
        <v>0</v>
      </c>
      <c r="M12" s="34">
        <f t="shared" ca="1" si="6"/>
        <v>31</v>
      </c>
      <c r="N12" s="53">
        <f t="shared" ca="1" si="7"/>
        <v>0</v>
      </c>
      <c r="O12" s="53">
        <f t="shared" ca="1" si="42"/>
        <v>31</v>
      </c>
      <c r="P12" s="35">
        <f t="shared" ca="1" si="8"/>
        <v>0</v>
      </c>
      <c r="Q12" s="34">
        <f t="shared" ca="1" si="9"/>
        <v>29</v>
      </c>
      <c r="R12" s="53">
        <f t="shared" ca="1" si="10"/>
        <v>0</v>
      </c>
      <c r="S12" s="53">
        <f t="shared" ca="1" si="43"/>
        <v>0</v>
      </c>
      <c r="T12" s="35">
        <f t="shared" ca="1" si="11"/>
        <v>0</v>
      </c>
      <c r="U12" s="34">
        <f t="shared" ca="1" si="12"/>
        <v>27</v>
      </c>
      <c r="V12" s="53">
        <f t="shared" ca="1" si="13"/>
        <v>0</v>
      </c>
      <c r="W12" s="53">
        <f t="shared" ca="1" si="44"/>
        <v>27</v>
      </c>
      <c r="X12" s="35">
        <f t="shared" ca="1" si="14"/>
        <v>0</v>
      </c>
      <c r="Y12" s="34">
        <f t="shared" ca="1" si="15"/>
        <v>29</v>
      </c>
      <c r="Z12" s="53">
        <f t="shared" ca="1" si="16"/>
        <v>0</v>
      </c>
      <c r="AA12" s="53">
        <f t="shared" ca="1" si="45"/>
        <v>29</v>
      </c>
      <c r="AB12" s="35">
        <f t="shared" ca="1" si="17"/>
        <v>0</v>
      </c>
      <c r="AC12" s="34">
        <f t="shared" ca="1" si="18"/>
        <v>34</v>
      </c>
      <c r="AD12" s="53">
        <f t="shared" ca="1" si="19"/>
        <v>0</v>
      </c>
      <c r="AE12" s="53">
        <f t="shared" ca="1" si="46"/>
        <v>34</v>
      </c>
      <c r="AF12" s="35">
        <f t="shared" ca="1" si="20"/>
        <v>3</v>
      </c>
      <c r="AG12" s="34">
        <f t="shared" ca="1" si="21"/>
        <v>38</v>
      </c>
      <c r="AH12" s="53">
        <f t="shared" ca="1" si="22"/>
        <v>0</v>
      </c>
      <c r="AI12" s="53">
        <f t="shared" ca="1" si="47"/>
        <v>38</v>
      </c>
      <c r="AJ12" s="35">
        <f t="shared" ca="1" si="23"/>
        <v>2</v>
      </c>
      <c r="AK12" s="34">
        <f t="shared" ca="1" si="24"/>
        <v>27</v>
      </c>
      <c r="AL12" s="53">
        <f t="shared" ca="1" si="25"/>
        <v>0</v>
      </c>
      <c r="AM12" s="53">
        <f t="shared" ca="1" si="48"/>
        <v>27</v>
      </c>
      <c r="AN12" s="35">
        <f t="shared" ca="1" si="26"/>
        <v>0</v>
      </c>
      <c r="AO12" s="34">
        <f t="shared" ca="1" si="27"/>
        <v>38</v>
      </c>
      <c r="AP12" s="53">
        <f t="shared" ca="1" si="28"/>
        <v>0</v>
      </c>
      <c r="AQ12" s="53">
        <f t="shared" ca="1" si="49"/>
        <v>38</v>
      </c>
      <c r="AR12" s="35">
        <f t="shared" ca="1" si="29"/>
        <v>10</v>
      </c>
      <c r="AS12" s="34">
        <f t="shared" ca="1" si="30"/>
        <v>37</v>
      </c>
      <c r="AT12" s="53">
        <f t="shared" ca="1" si="31"/>
        <v>0</v>
      </c>
      <c r="AU12" s="53">
        <f t="shared" ca="1" si="50"/>
        <v>37</v>
      </c>
      <c r="AV12" s="35">
        <f t="shared" ca="1" si="32"/>
        <v>3</v>
      </c>
      <c r="AW12" s="34">
        <f t="shared" ca="1" si="33"/>
        <v>35</v>
      </c>
      <c r="AX12" s="53">
        <f t="shared" ca="1" si="34"/>
        <v>0</v>
      </c>
      <c r="AY12" s="53">
        <f t="shared" ca="1" si="51"/>
        <v>35</v>
      </c>
      <c r="AZ12" s="35">
        <f t="shared" ca="1" si="35"/>
        <v>0</v>
      </c>
      <c r="BA12" s="34">
        <f t="shared" ca="1" si="36"/>
        <v>32</v>
      </c>
      <c r="BB12" s="53">
        <f t="shared" ca="1" si="37"/>
        <v>0</v>
      </c>
      <c r="BC12" s="53">
        <f t="shared" ca="1" si="52"/>
        <v>32</v>
      </c>
      <c r="BD12" s="35">
        <f t="shared" ca="1" si="38"/>
        <v>5</v>
      </c>
    </row>
    <row r="13" spans="2:57" x14ac:dyDescent="0.25">
      <c r="B13" s="63" t="s">
        <v>208</v>
      </c>
      <c r="C13" s="81" t="s">
        <v>352</v>
      </c>
      <c r="D13" s="82">
        <f t="shared" ca="1" si="39"/>
        <v>1</v>
      </c>
      <c r="E13" s="34">
        <f t="shared" ca="1" si="0"/>
        <v>30</v>
      </c>
      <c r="F13" s="53">
        <f t="shared" ca="1" si="1"/>
        <v>0</v>
      </c>
      <c r="G13" s="53">
        <f t="shared" ca="1" si="40"/>
        <v>30</v>
      </c>
      <c r="H13" s="35">
        <f t="shared" ca="1" si="2"/>
        <v>0</v>
      </c>
      <c r="I13" s="34">
        <f t="shared" ca="1" si="3"/>
        <v>24</v>
      </c>
      <c r="J13" s="53">
        <f t="shared" ca="1" si="4"/>
        <v>0</v>
      </c>
      <c r="K13" s="53">
        <f t="shared" ca="1" si="41"/>
        <v>24</v>
      </c>
      <c r="L13" s="35">
        <f t="shared" ca="1" si="5"/>
        <v>0</v>
      </c>
      <c r="M13" s="34">
        <f t="shared" ca="1" si="6"/>
        <v>29</v>
      </c>
      <c r="N13" s="53">
        <f t="shared" ca="1" si="7"/>
        <v>0</v>
      </c>
      <c r="O13" s="53">
        <f t="shared" ca="1" si="42"/>
        <v>29</v>
      </c>
      <c r="P13" s="35">
        <f t="shared" ca="1" si="8"/>
        <v>0</v>
      </c>
      <c r="Q13" s="34">
        <f t="shared" ca="1" si="9"/>
        <v>28</v>
      </c>
      <c r="R13" s="53">
        <f t="shared" ca="1" si="10"/>
        <v>0</v>
      </c>
      <c r="S13" s="53">
        <f t="shared" ca="1" si="43"/>
        <v>28</v>
      </c>
      <c r="T13" s="35">
        <f t="shared" ca="1" si="11"/>
        <v>0</v>
      </c>
      <c r="U13" s="34">
        <f t="shared" ca="1" si="12"/>
        <v>24</v>
      </c>
      <c r="V13" s="53">
        <f t="shared" ca="1" si="13"/>
        <v>0</v>
      </c>
      <c r="W13" s="53">
        <f t="shared" ca="1" si="44"/>
        <v>24</v>
      </c>
      <c r="X13" s="35">
        <f t="shared" ca="1" si="14"/>
        <v>24</v>
      </c>
      <c r="Y13" s="34">
        <f t="shared" ca="1" si="15"/>
        <v>26</v>
      </c>
      <c r="Z13" s="53">
        <f t="shared" ca="1" si="16"/>
        <v>0</v>
      </c>
      <c r="AA13" s="53">
        <f t="shared" ca="1" si="45"/>
        <v>26</v>
      </c>
      <c r="AB13" s="35">
        <f t="shared" ca="1" si="17"/>
        <v>26</v>
      </c>
      <c r="AC13" s="34">
        <f t="shared" ca="1" si="18"/>
        <v>31</v>
      </c>
      <c r="AD13" s="53">
        <f t="shared" ca="1" si="19"/>
        <v>0</v>
      </c>
      <c r="AE13" s="53">
        <f t="shared" ca="1" si="46"/>
        <v>31</v>
      </c>
      <c r="AF13" s="35">
        <f t="shared" ca="1" si="20"/>
        <v>31</v>
      </c>
      <c r="AG13" s="34">
        <f t="shared" ca="1" si="21"/>
        <v>34</v>
      </c>
      <c r="AH13" s="53">
        <f t="shared" ca="1" si="22"/>
        <v>0</v>
      </c>
      <c r="AI13" s="53">
        <f t="shared" ca="1" si="47"/>
        <v>34</v>
      </c>
      <c r="AJ13" s="35">
        <f t="shared" ca="1" si="23"/>
        <v>34</v>
      </c>
      <c r="AK13" s="34">
        <f t="shared" ca="1" si="24"/>
        <v>29</v>
      </c>
      <c r="AL13" s="53">
        <f t="shared" ca="1" si="25"/>
        <v>0</v>
      </c>
      <c r="AM13" s="53">
        <f t="shared" ca="1" si="48"/>
        <v>29</v>
      </c>
      <c r="AN13" s="35">
        <f t="shared" ca="1" si="26"/>
        <v>29</v>
      </c>
      <c r="AO13" s="34">
        <f t="shared" ca="1" si="27"/>
        <v>37</v>
      </c>
      <c r="AP13" s="53">
        <f t="shared" ca="1" si="28"/>
        <v>0</v>
      </c>
      <c r="AQ13" s="53">
        <f t="shared" ca="1" si="49"/>
        <v>37</v>
      </c>
      <c r="AR13" s="35">
        <f t="shared" ca="1" si="29"/>
        <v>17</v>
      </c>
      <c r="AS13" s="34">
        <f t="shared" ca="1" si="30"/>
        <v>32</v>
      </c>
      <c r="AT13" s="53">
        <f t="shared" ca="1" si="31"/>
        <v>0</v>
      </c>
      <c r="AU13" s="53">
        <f t="shared" ca="1" si="50"/>
        <v>13</v>
      </c>
      <c r="AV13" s="35">
        <f t="shared" ca="1" si="32"/>
        <v>32</v>
      </c>
      <c r="AW13" s="34">
        <f t="shared" ca="1" si="33"/>
        <v>33</v>
      </c>
      <c r="AX13" s="53">
        <f t="shared" ca="1" si="34"/>
        <v>0</v>
      </c>
      <c r="AY13" s="53">
        <f t="shared" ca="1" si="51"/>
        <v>33</v>
      </c>
      <c r="AZ13" s="35">
        <f t="shared" ca="1" si="35"/>
        <v>33</v>
      </c>
      <c r="BA13" s="34">
        <f t="shared" ca="1" si="36"/>
        <v>32</v>
      </c>
      <c r="BB13" s="53">
        <f t="shared" ca="1" si="37"/>
        <v>0</v>
      </c>
      <c r="BC13" s="53">
        <f t="shared" ca="1" si="52"/>
        <v>32</v>
      </c>
      <c r="BD13" s="35">
        <f t="shared" ca="1" si="38"/>
        <v>32</v>
      </c>
    </row>
    <row r="14" spans="2:57" x14ac:dyDescent="0.25">
      <c r="B14" s="63" t="s">
        <v>371</v>
      </c>
      <c r="C14" s="81" t="s">
        <v>34</v>
      </c>
      <c r="D14" s="82">
        <f t="shared" ca="1" si="39"/>
        <v>1</v>
      </c>
      <c r="E14" s="34">
        <f t="shared" ca="1" si="0"/>
        <v>30</v>
      </c>
      <c r="F14" s="53">
        <f t="shared" ca="1" si="1"/>
        <v>0</v>
      </c>
      <c r="G14" s="53">
        <f t="shared" ca="1" si="40"/>
        <v>30</v>
      </c>
      <c r="H14" s="35">
        <f t="shared" ca="1" si="2"/>
        <v>0</v>
      </c>
      <c r="I14" s="34">
        <f t="shared" ca="1" si="3"/>
        <v>24</v>
      </c>
      <c r="J14" s="53">
        <f t="shared" ca="1" si="4"/>
        <v>0</v>
      </c>
      <c r="K14" s="53">
        <f t="shared" ca="1" si="41"/>
        <v>24</v>
      </c>
      <c r="L14" s="35">
        <f t="shared" ca="1" si="5"/>
        <v>0</v>
      </c>
      <c r="M14" s="34">
        <f t="shared" ca="1" si="6"/>
        <v>31</v>
      </c>
      <c r="N14" s="53">
        <f t="shared" ca="1" si="7"/>
        <v>0</v>
      </c>
      <c r="O14" s="53">
        <f t="shared" ca="1" si="42"/>
        <v>31</v>
      </c>
      <c r="P14" s="35">
        <f t="shared" ca="1" si="8"/>
        <v>0</v>
      </c>
      <c r="Q14" s="34">
        <f t="shared" ca="1" si="9"/>
        <v>29</v>
      </c>
      <c r="R14" s="53">
        <f t="shared" ca="1" si="10"/>
        <v>0</v>
      </c>
      <c r="S14" s="53">
        <f t="shared" ca="1" si="43"/>
        <v>29</v>
      </c>
      <c r="T14" s="35">
        <f t="shared" ca="1" si="11"/>
        <v>0</v>
      </c>
      <c r="U14" s="34">
        <f t="shared" ca="1" si="12"/>
        <v>27</v>
      </c>
      <c r="V14" s="53">
        <f t="shared" ca="1" si="13"/>
        <v>0</v>
      </c>
      <c r="W14" s="53">
        <f t="shared" ca="1" si="44"/>
        <v>27</v>
      </c>
      <c r="X14" s="35">
        <f t="shared" ca="1" si="14"/>
        <v>2</v>
      </c>
      <c r="Y14" s="34">
        <f t="shared" ca="1" si="15"/>
        <v>29</v>
      </c>
      <c r="Z14" s="53">
        <f t="shared" ca="1" si="16"/>
        <v>0</v>
      </c>
      <c r="AA14" s="53">
        <f t="shared" ca="1" si="45"/>
        <v>29</v>
      </c>
      <c r="AB14" s="35">
        <f t="shared" ca="1" si="17"/>
        <v>26</v>
      </c>
      <c r="AC14" s="34">
        <f t="shared" ca="1" si="18"/>
        <v>34</v>
      </c>
      <c r="AD14" s="53">
        <f t="shared" ca="1" si="19"/>
        <v>0</v>
      </c>
      <c r="AE14" s="53">
        <f t="shared" ca="1" si="46"/>
        <v>34</v>
      </c>
      <c r="AF14" s="35">
        <f t="shared" ca="1" si="20"/>
        <v>34</v>
      </c>
      <c r="AG14" s="34">
        <f t="shared" ca="1" si="21"/>
        <v>38</v>
      </c>
      <c r="AH14" s="53">
        <f t="shared" ca="1" si="22"/>
        <v>0</v>
      </c>
      <c r="AI14" s="53">
        <f t="shared" ca="1" si="47"/>
        <v>38</v>
      </c>
      <c r="AJ14" s="35">
        <f t="shared" ca="1" si="23"/>
        <v>0</v>
      </c>
      <c r="AK14" s="34">
        <f t="shared" ca="1" si="24"/>
        <v>29</v>
      </c>
      <c r="AL14" s="53">
        <f t="shared" ca="1" si="25"/>
        <v>0</v>
      </c>
      <c r="AM14" s="53">
        <f t="shared" ca="1" si="48"/>
        <v>29</v>
      </c>
      <c r="AN14" s="35">
        <f t="shared" ca="1" si="26"/>
        <v>0</v>
      </c>
      <c r="AO14" s="34">
        <f t="shared" ca="1" si="27"/>
        <v>38</v>
      </c>
      <c r="AP14" s="53">
        <f t="shared" ca="1" si="28"/>
        <v>0</v>
      </c>
      <c r="AQ14" s="53">
        <f t="shared" ca="1" si="49"/>
        <v>38</v>
      </c>
      <c r="AR14" s="35">
        <f t="shared" ca="1" si="29"/>
        <v>38</v>
      </c>
      <c r="AS14" s="34">
        <f t="shared" ca="1" si="30"/>
        <v>37</v>
      </c>
      <c r="AT14" s="53">
        <f t="shared" ca="1" si="31"/>
        <v>0</v>
      </c>
      <c r="AU14" s="53">
        <f t="shared" ca="1" si="50"/>
        <v>37</v>
      </c>
      <c r="AV14" s="35">
        <f t="shared" ca="1" si="32"/>
        <v>37</v>
      </c>
      <c r="AW14" s="34">
        <f t="shared" ca="1" si="33"/>
        <v>35</v>
      </c>
      <c r="AX14" s="53">
        <f t="shared" ca="1" si="34"/>
        <v>0</v>
      </c>
      <c r="AY14" s="53">
        <f t="shared" ca="1" si="51"/>
        <v>35</v>
      </c>
      <c r="AZ14" s="35">
        <f t="shared" ca="1" si="35"/>
        <v>35</v>
      </c>
      <c r="BA14" s="34">
        <f t="shared" ca="1" si="36"/>
        <v>32</v>
      </c>
      <c r="BB14" s="53">
        <f t="shared" ca="1" si="37"/>
        <v>0</v>
      </c>
      <c r="BC14" s="53">
        <f t="shared" ca="1" si="52"/>
        <v>32</v>
      </c>
      <c r="BD14" s="35">
        <f t="shared" ca="1" si="38"/>
        <v>28</v>
      </c>
    </row>
    <row r="15" spans="2:57" x14ac:dyDescent="0.25">
      <c r="B15" s="63" t="s">
        <v>325</v>
      </c>
      <c r="C15" s="81" t="s">
        <v>244</v>
      </c>
      <c r="D15" s="82">
        <f t="shared" ca="1" si="39"/>
        <v>1</v>
      </c>
      <c r="E15" s="34">
        <f t="shared" ca="1" si="0"/>
        <v>15</v>
      </c>
      <c r="F15" s="53">
        <f t="shared" ca="1" si="1"/>
        <v>0</v>
      </c>
      <c r="G15" s="53">
        <f t="shared" ca="1" si="40"/>
        <v>15</v>
      </c>
      <c r="H15" s="35">
        <f t="shared" ca="1" si="2"/>
        <v>0</v>
      </c>
      <c r="I15" s="34">
        <f t="shared" ca="1" si="3"/>
        <v>15</v>
      </c>
      <c r="J15" s="53">
        <f t="shared" ca="1" si="4"/>
        <v>0</v>
      </c>
      <c r="K15" s="53">
        <f t="shared" ca="1" si="41"/>
        <v>15</v>
      </c>
      <c r="L15" s="35">
        <f t="shared" ca="1" si="5"/>
        <v>0</v>
      </c>
      <c r="M15" s="34">
        <f t="shared" ca="1" si="6"/>
        <v>15</v>
      </c>
      <c r="N15" s="53">
        <f t="shared" ca="1" si="7"/>
        <v>0</v>
      </c>
      <c r="O15" s="53">
        <f t="shared" ca="1" si="42"/>
        <v>15</v>
      </c>
      <c r="P15" s="35">
        <f t="shared" ca="1" si="8"/>
        <v>0</v>
      </c>
      <c r="Q15" s="34">
        <f t="shared" ca="1" si="9"/>
        <v>15</v>
      </c>
      <c r="R15" s="53">
        <f t="shared" ca="1" si="10"/>
        <v>0</v>
      </c>
      <c r="S15" s="53">
        <f t="shared" ca="1" si="43"/>
        <v>15</v>
      </c>
      <c r="T15" s="35">
        <f t="shared" ca="1" si="11"/>
        <v>0</v>
      </c>
      <c r="U15" s="34">
        <f t="shared" ca="1" si="12"/>
        <v>15</v>
      </c>
      <c r="V15" s="53">
        <f t="shared" ca="1" si="13"/>
        <v>0</v>
      </c>
      <c r="W15" s="53">
        <f t="shared" ca="1" si="44"/>
        <v>15</v>
      </c>
      <c r="X15" s="35">
        <f t="shared" ca="1" si="14"/>
        <v>0</v>
      </c>
      <c r="Y15" s="34">
        <f t="shared" ca="1" si="15"/>
        <v>15</v>
      </c>
      <c r="Z15" s="53">
        <f t="shared" ca="1" si="16"/>
        <v>0</v>
      </c>
      <c r="AA15" s="53">
        <f t="shared" ca="1" si="45"/>
        <v>15</v>
      </c>
      <c r="AB15" s="35">
        <f t="shared" ca="1" si="17"/>
        <v>15</v>
      </c>
      <c r="AC15" s="34">
        <f t="shared" ca="1" si="18"/>
        <v>15</v>
      </c>
      <c r="AD15" s="53">
        <f t="shared" ca="1" si="19"/>
        <v>0</v>
      </c>
      <c r="AE15" s="53">
        <f t="shared" ca="1" si="46"/>
        <v>15</v>
      </c>
      <c r="AF15" s="35">
        <f t="shared" ca="1" si="20"/>
        <v>15</v>
      </c>
      <c r="AG15" s="34">
        <f t="shared" ca="1" si="21"/>
        <v>15</v>
      </c>
      <c r="AH15" s="53">
        <f t="shared" ca="1" si="22"/>
        <v>0</v>
      </c>
      <c r="AI15" s="53">
        <f t="shared" ca="1" si="47"/>
        <v>15</v>
      </c>
      <c r="AJ15" s="35">
        <f t="shared" ca="1" si="23"/>
        <v>15</v>
      </c>
      <c r="AK15" s="34">
        <f t="shared" ca="1" si="24"/>
        <v>15</v>
      </c>
      <c r="AL15" s="53">
        <f t="shared" ca="1" si="25"/>
        <v>0</v>
      </c>
      <c r="AM15" s="53">
        <f t="shared" ca="1" si="48"/>
        <v>15</v>
      </c>
      <c r="AN15" s="35">
        <f t="shared" ca="1" si="26"/>
        <v>15</v>
      </c>
      <c r="AO15" s="34">
        <f t="shared" ca="1" si="27"/>
        <v>15</v>
      </c>
      <c r="AP15" s="53">
        <f t="shared" ca="1" si="28"/>
        <v>0</v>
      </c>
      <c r="AQ15" s="53">
        <f t="shared" ca="1" si="49"/>
        <v>15</v>
      </c>
      <c r="AR15" s="35">
        <f t="shared" ca="1" si="29"/>
        <v>15</v>
      </c>
      <c r="AS15" s="34">
        <f t="shared" ca="1" si="30"/>
        <v>15</v>
      </c>
      <c r="AT15" s="53">
        <f t="shared" ca="1" si="31"/>
        <v>0</v>
      </c>
      <c r="AU15" s="53">
        <f t="shared" ca="1" si="50"/>
        <v>15</v>
      </c>
      <c r="AV15" s="35">
        <f t="shared" ca="1" si="32"/>
        <v>15</v>
      </c>
      <c r="AW15" s="34">
        <f t="shared" ca="1" si="33"/>
        <v>15</v>
      </c>
      <c r="AX15" s="53">
        <f t="shared" ca="1" si="34"/>
        <v>0</v>
      </c>
      <c r="AY15" s="53">
        <f t="shared" ca="1" si="51"/>
        <v>15</v>
      </c>
      <c r="AZ15" s="35">
        <f t="shared" ca="1" si="35"/>
        <v>14</v>
      </c>
      <c r="BA15" s="34">
        <f t="shared" ca="1" si="36"/>
        <v>14</v>
      </c>
      <c r="BB15" s="53">
        <f t="shared" ca="1" si="37"/>
        <v>0</v>
      </c>
      <c r="BC15" s="53">
        <f t="shared" ca="1" si="52"/>
        <v>14</v>
      </c>
      <c r="BD15" s="35">
        <f t="shared" ca="1" si="38"/>
        <v>14</v>
      </c>
    </row>
    <row r="16" spans="2:57" x14ac:dyDescent="0.25">
      <c r="B16" s="63" t="s">
        <v>64</v>
      </c>
      <c r="C16" s="81" t="s">
        <v>114</v>
      </c>
      <c r="D16" s="82">
        <f t="shared" ca="1" si="39"/>
        <v>1</v>
      </c>
      <c r="E16" s="34">
        <f t="shared" ca="1" si="0"/>
        <v>15</v>
      </c>
      <c r="F16" s="53">
        <f t="shared" ca="1" si="1"/>
        <v>0</v>
      </c>
      <c r="G16" s="53">
        <f t="shared" ca="1" si="40"/>
        <v>15</v>
      </c>
      <c r="H16" s="35">
        <f t="shared" ca="1" si="2"/>
        <v>0</v>
      </c>
      <c r="I16" s="34">
        <f t="shared" ca="1" si="3"/>
        <v>15</v>
      </c>
      <c r="J16" s="53">
        <f t="shared" ca="1" si="4"/>
        <v>0</v>
      </c>
      <c r="K16" s="53">
        <f t="shared" ca="1" si="41"/>
        <v>15</v>
      </c>
      <c r="L16" s="35">
        <f t="shared" ca="1" si="5"/>
        <v>0</v>
      </c>
      <c r="M16" s="34">
        <f t="shared" ca="1" si="6"/>
        <v>15</v>
      </c>
      <c r="N16" s="53">
        <f t="shared" ca="1" si="7"/>
        <v>0</v>
      </c>
      <c r="O16" s="53">
        <f t="shared" ca="1" si="42"/>
        <v>15</v>
      </c>
      <c r="P16" s="35">
        <f t="shared" ca="1" si="8"/>
        <v>0</v>
      </c>
      <c r="Q16" s="34">
        <f t="shared" ca="1" si="9"/>
        <v>15</v>
      </c>
      <c r="R16" s="53">
        <f t="shared" ca="1" si="10"/>
        <v>0</v>
      </c>
      <c r="S16" s="53">
        <f t="shared" ca="1" si="43"/>
        <v>15</v>
      </c>
      <c r="T16" s="35">
        <f t="shared" ca="1" si="11"/>
        <v>0</v>
      </c>
      <c r="U16" s="34">
        <f t="shared" ca="1" si="12"/>
        <v>15</v>
      </c>
      <c r="V16" s="53">
        <f t="shared" ca="1" si="13"/>
        <v>0</v>
      </c>
      <c r="W16" s="53">
        <f t="shared" ca="1" si="44"/>
        <v>0</v>
      </c>
      <c r="X16" s="35">
        <f t="shared" ca="1" si="14"/>
        <v>0</v>
      </c>
      <c r="Y16" s="34">
        <f t="shared" ca="1" si="15"/>
        <v>15</v>
      </c>
      <c r="Z16" s="53">
        <f t="shared" ca="1" si="16"/>
        <v>0</v>
      </c>
      <c r="AA16" s="53">
        <f t="shared" ca="1" si="45"/>
        <v>0</v>
      </c>
      <c r="AB16" s="35">
        <f t="shared" ca="1" si="17"/>
        <v>0</v>
      </c>
      <c r="AC16" s="34">
        <f t="shared" ca="1" si="18"/>
        <v>15</v>
      </c>
      <c r="AD16" s="53">
        <f t="shared" ca="1" si="19"/>
        <v>0</v>
      </c>
      <c r="AE16" s="53">
        <f t="shared" ca="1" si="46"/>
        <v>15</v>
      </c>
      <c r="AF16" s="35">
        <f t="shared" ca="1" si="20"/>
        <v>0</v>
      </c>
      <c r="AG16" s="34">
        <f t="shared" ca="1" si="21"/>
        <v>15</v>
      </c>
      <c r="AH16" s="53">
        <f t="shared" ca="1" si="22"/>
        <v>0</v>
      </c>
      <c r="AI16" s="53">
        <f t="shared" ca="1" si="47"/>
        <v>0</v>
      </c>
      <c r="AJ16" s="35">
        <f t="shared" ca="1" si="23"/>
        <v>0</v>
      </c>
      <c r="AK16" s="34">
        <f t="shared" ca="1" si="24"/>
        <v>15</v>
      </c>
      <c r="AL16" s="53">
        <f t="shared" ca="1" si="25"/>
        <v>0</v>
      </c>
      <c r="AM16" s="53">
        <f t="shared" ca="1" si="48"/>
        <v>0</v>
      </c>
      <c r="AN16" s="35">
        <f t="shared" ca="1" si="26"/>
        <v>0</v>
      </c>
      <c r="AO16" s="34">
        <f t="shared" ca="1" si="27"/>
        <v>15</v>
      </c>
      <c r="AP16" s="53">
        <f t="shared" ca="1" si="28"/>
        <v>0</v>
      </c>
      <c r="AQ16" s="53">
        <f t="shared" ca="1" si="49"/>
        <v>15</v>
      </c>
      <c r="AR16" s="35">
        <f t="shared" ca="1" si="29"/>
        <v>0</v>
      </c>
      <c r="AS16" s="34">
        <f t="shared" ca="1" si="30"/>
        <v>15</v>
      </c>
      <c r="AT16" s="53">
        <f t="shared" ca="1" si="31"/>
        <v>0</v>
      </c>
      <c r="AU16" s="53">
        <f t="shared" ca="1" si="50"/>
        <v>15</v>
      </c>
      <c r="AV16" s="35">
        <f t="shared" ca="1" si="32"/>
        <v>15</v>
      </c>
      <c r="AW16" s="34">
        <f t="shared" ca="1" si="33"/>
        <v>15</v>
      </c>
      <c r="AX16" s="53">
        <f t="shared" ca="1" si="34"/>
        <v>0</v>
      </c>
      <c r="AY16" s="53">
        <f t="shared" ca="1" si="51"/>
        <v>15</v>
      </c>
      <c r="AZ16" s="35">
        <f t="shared" ca="1" si="35"/>
        <v>15</v>
      </c>
      <c r="BA16" s="34">
        <f t="shared" ca="1" si="36"/>
        <v>15</v>
      </c>
      <c r="BB16" s="53">
        <f t="shared" ca="1" si="37"/>
        <v>0</v>
      </c>
      <c r="BC16" s="53">
        <f t="shared" ca="1" si="52"/>
        <v>15</v>
      </c>
      <c r="BD16" s="35">
        <f t="shared" ca="1" si="38"/>
        <v>15</v>
      </c>
    </row>
    <row r="17" spans="2:56" ht="15.75" thickBot="1" x14ac:dyDescent="0.3">
      <c r="B17" s="63" t="s">
        <v>245</v>
      </c>
      <c r="C17" s="81" t="s">
        <v>21</v>
      </c>
      <c r="D17" s="82">
        <f t="shared" ca="1" si="39"/>
        <v>1</v>
      </c>
      <c r="E17" s="36">
        <f t="shared" ca="1" si="0"/>
        <v>26</v>
      </c>
      <c r="F17" s="37">
        <f t="shared" ca="1" si="1"/>
        <v>0</v>
      </c>
      <c r="G17" s="37">
        <f t="shared" ca="1" si="40"/>
        <v>26</v>
      </c>
      <c r="H17" s="38">
        <f t="shared" ca="1" si="2"/>
        <v>0</v>
      </c>
      <c r="I17" s="36">
        <f t="shared" ca="1" si="3"/>
        <v>22</v>
      </c>
      <c r="J17" s="37">
        <f t="shared" ca="1" si="4"/>
        <v>0</v>
      </c>
      <c r="K17" s="37">
        <f t="shared" ca="1" si="41"/>
        <v>22</v>
      </c>
      <c r="L17" s="38">
        <f t="shared" ca="1" si="5"/>
        <v>0</v>
      </c>
      <c r="M17" s="36">
        <f t="shared" ca="1" si="6"/>
        <v>31</v>
      </c>
      <c r="N17" s="37">
        <f t="shared" ca="1" si="7"/>
        <v>0</v>
      </c>
      <c r="O17" s="37">
        <f t="shared" ca="1" si="42"/>
        <v>31</v>
      </c>
      <c r="P17" s="38">
        <f t="shared" ca="1" si="8"/>
        <v>0</v>
      </c>
      <c r="Q17" s="36">
        <f t="shared" ca="1" si="9"/>
        <v>29</v>
      </c>
      <c r="R17" s="37">
        <f t="shared" ca="1" si="10"/>
        <v>0</v>
      </c>
      <c r="S17" s="37">
        <f t="shared" ca="1" si="43"/>
        <v>29</v>
      </c>
      <c r="T17" s="38">
        <f t="shared" ca="1" si="11"/>
        <v>0</v>
      </c>
      <c r="U17" s="36">
        <f t="shared" ca="1" si="12"/>
        <v>27</v>
      </c>
      <c r="V17" s="37">
        <f t="shared" ca="1" si="13"/>
        <v>0</v>
      </c>
      <c r="W17" s="37">
        <f t="shared" ca="1" si="44"/>
        <v>27</v>
      </c>
      <c r="X17" s="38">
        <f t="shared" ca="1" si="14"/>
        <v>0</v>
      </c>
      <c r="Y17" s="36">
        <f t="shared" ca="1" si="15"/>
        <v>29</v>
      </c>
      <c r="Z17" s="37">
        <f t="shared" ca="1" si="16"/>
        <v>0</v>
      </c>
      <c r="AA17" s="37">
        <f t="shared" ca="1" si="45"/>
        <v>29</v>
      </c>
      <c r="AB17" s="38">
        <f t="shared" ca="1" si="17"/>
        <v>29</v>
      </c>
      <c r="AC17" s="36">
        <f t="shared" ca="1" si="18"/>
        <v>34</v>
      </c>
      <c r="AD17" s="37">
        <f t="shared" ca="1" si="19"/>
        <v>0</v>
      </c>
      <c r="AE17" s="37">
        <f t="shared" ca="1" si="46"/>
        <v>34</v>
      </c>
      <c r="AF17" s="38">
        <f t="shared" ca="1" si="20"/>
        <v>34</v>
      </c>
      <c r="AG17" s="36">
        <f t="shared" ca="1" si="21"/>
        <v>38</v>
      </c>
      <c r="AH17" s="37">
        <f t="shared" ca="1" si="22"/>
        <v>0</v>
      </c>
      <c r="AI17" s="37">
        <f t="shared" ca="1" si="47"/>
        <v>38</v>
      </c>
      <c r="AJ17" s="38">
        <f t="shared" ca="1" si="23"/>
        <v>23</v>
      </c>
      <c r="AK17" s="36">
        <f t="shared" ca="1" si="24"/>
        <v>29</v>
      </c>
      <c r="AL17" s="37">
        <f t="shared" ca="1" si="25"/>
        <v>0</v>
      </c>
      <c r="AM17" s="37">
        <f t="shared" ca="1" si="48"/>
        <v>27</v>
      </c>
      <c r="AN17" s="38">
        <f t="shared" ca="1" si="26"/>
        <v>0</v>
      </c>
      <c r="AO17" s="36">
        <f t="shared" ca="1" si="27"/>
        <v>38</v>
      </c>
      <c r="AP17" s="37">
        <f t="shared" ca="1" si="28"/>
        <v>0</v>
      </c>
      <c r="AQ17" s="37">
        <f t="shared" ca="1" si="49"/>
        <v>37</v>
      </c>
      <c r="AR17" s="38">
        <f t="shared" ca="1" si="29"/>
        <v>0</v>
      </c>
      <c r="AS17" s="36">
        <f t="shared" ca="1" si="30"/>
        <v>37</v>
      </c>
      <c r="AT17" s="37">
        <f t="shared" ca="1" si="31"/>
        <v>0</v>
      </c>
      <c r="AU17" s="37">
        <f t="shared" ca="1" si="50"/>
        <v>37</v>
      </c>
      <c r="AV17" s="38">
        <f t="shared" ca="1" si="32"/>
        <v>22</v>
      </c>
      <c r="AW17" s="36">
        <f t="shared" ca="1" si="33"/>
        <v>35</v>
      </c>
      <c r="AX17" s="37">
        <f t="shared" ca="1" si="34"/>
        <v>0</v>
      </c>
      <c r="AY17" s="37">
        <f t="shared" ca="1" si="51"/>
        <v>35</v>
      </c>
      <c r="AZ17" s="38">
        <f t="shared" ca="1" si="35"/>
        <v>1</v>
      </c>
      <c r="BA17" s="36">
        <f t="shared" ca="1" si="36"/>
        <v>32</v>
      </c>
      <c r="BB17" s="37">
        <f t="shared" ca="1" si="37"/>
        <v>0</v>
      </c>
      <c r="BC17" s="37">
        <f t="shared" ca="1" si="52"/>
        <v>32</v>
      </c>
      <c r="BD17" s="38">
        <f t="shared" ca="1" si="38"/>
        <v>0</v>
      </c>
    </row>
    <row r="18" spans="2:56" x14ac:dyDescent="0.25">
      <c r="C18" s="4"/>
      <c r="D18" s="4" t="s">
        <v>3058</v>
      </c>
      <c r="E18" s="101">
        <f ca="1">IF(E10="","",SUM(E10:F17))</f>
        <v>191</v>
      </c>
      <c r="F18" s="102"/>
      <c r="G18" s="102"/>
      <c r="H18" s="105"/>
      <c r="I18" s="101">
        <f t="shared" ref="I18" ca="1" si="53">IF(I10="","",SUM(I10:J17))</f>
        <v>163</v>
      </c>
      <c r="J18" s="102"/>
      <c r="K18" s="102"/>
      <c r="L18" s="105"/>
      <c r="M18" s="101">
        <f t="shared" ref="M18" ca="1" si="54">IF(M10="","",SUM(M10:N17))</f>
        <v>198</v>
      </c>
      <c r="N18" s="102"/>
      <c r="O18" s="102"/>
      <c r="P18" s="105"/>
      <c r="Q18" s="101">
        <f t="shared" ref="Q18" ca="1" si="55">IF(Q10="","",SUM(Q10:R17))</f>
        <v>189</v>
      </c>
      <c r="R18" s="102"/>
      <c r="S18" s="102"/>
      <c r="T18" s="105"/>
      <c r="U18" s="101">
        <f t="shared" ref="U18" ca="1" si="56">IF(U10="","",SUM(U10:V17))</f>
        <v>177</v>
      </c>
      <c r="V18" s="102"/>
      <c r="W18" s="102"/>
      <c r="X18" s="105"/>
      <c r="Y18" s="101">
        <f t="shared" ref="Y18" ca="1" si="57">IF(Y10="","",SUM(Y10:Z17))</f>
        <v>187</v>
      </c>
      <c r="Z18" s="102"/>
      <c r="AA18" s="102"/>
      <c r="AB18" s="105"/>
      <c r="AC18" s="101">
        <f t="shared" ref="AC18" ca="1" si="58">IF(AC10="","",SUM(AC10:AD17))</f>
        <v>180</v>
      </c>
      <c r="AD18" s="102"/>
      <c r="AE18" s="102"/>
      <c r="AF18" s="105"/>
      <c r="AG18" s="101">
        <f t="shared" ref="AG18" ca="1" si="59">IF(AG10="","",SUM(AG10:AH17))</f>
        <v>194</v>
      </c>
      <c r="AH18" s="102"/>
      <c r="AI18" s="102"/>
      <c r="AJ18" s="105"/>
      <c r="AK18" s="101">
        <f t="shared" ref="AK18" ca="1" si="60">IF(AK10="","",SUM(AK10:AL17))</f>
        <v>159</v>
      </c>
      <c r="AL18" s="102"/>
      <c r="AM18" s="102"/>
      <c r="AN18" s="105"/>
      <c r="AO18" s="101">
        <f t="shared" ref="AO18" ca="1" si="61">IF(AO10="","",SUM(AO10:AP17))</f>
        <v>196</v>
      </c>
      <c r="AP18" s="102"/>
      <c r="AQ18" s="102"/>
      <c r="AR18" s="105"/>
      <c r="AS18" s="101">
        <f t="shared" ref="AS18" ca="1" si="62">IF(AS10="","",SUM(AS10:AT17))</f>
        <v>191</v>
      </c>
      <c r="AT18" s="102"/>
      <c r="AU18" s="102"/>
      <c r="AV18" s="105"/>
      <c r="AW18" s="101">
        <f t="shared" ref="AW18" ca="1" si="63">IF(AW10="","",SUM(AW10:AX17))</f>
        <v>185</v>
      </c>
      <c r="AX18" s="102"/>
      <c r="AY18" s="102"/>
      <c r="AZ18" s="105"/>
      <c r="BA18" s="101">
        <f t="shared" ref="BA18" ca="1" si="64">IF(BA10="","",SUM(BA10:BB17))</f>
        <v>172</v>
      </c>
      <c r="BB18" s="102"/>
      <c r="BC18" s="102"/>
      <c r="BD18" s="103"/>
    </row>
    <row r="19" spans="2:56" ht="15.75" thickBot="1" x14ac:dyDescent="0.3">
      <c r="C19" s="4"/>
      <c r="D19" s="4" t="s">
        <v>3059</v>
      </c>
      <c r="E19" s="98">
        <f ca="1">IFERROR((SUM(E10:E17)/E18),"")</f>
        <v>1</v>
      </c>
      <c r="F19" s="99"/>
      <c r="G19" s="99"/>
      <c r="H19" s="100"/>
      <c r="I19" s="98">
        <f t="shared" ref="I19" ca="1" si="65">IFERROR((SUM(I10:I17)/I18),"")</f>
        <v>1</v>
      </c>
      <c r="J19" s="99"/>
      <c r="K19" s="99"/>
      <c r="L19" s="100"/>
      <c r="M19" s="98">
        <f t="shared" ref="M19" ca="1" si="66">IFERROR((SUM(M10:M17)/M18),"")</f>
        <v>1</v>
      </c>
      <c r="N19" s="99"/>
      <c r="O19" s="99"/>
      <c r="P19" s="100"/>
      <c r="Q19" s="98">
        <f t="shared" ref="Q19" ca="1" si="67">IFERROR((SUM(Q10:Q17)/Q18),"")</f>
        <v>1</v>
      </c>
      <c r="R19" s="99"/>
      <c r="S19" s="99"/>
      <c r="T19" s="100"/>
      <c r="U19" s="98">
        <f t="shared" ref="U19" ca="1" si="68">IFERROR((SUM(U10:U17)/U18),"")</f>
        <v>1</v>
      </c>
      <c r="V19" s="99"/>
      <c r="W19" s="99"/>
      <c r="X19" s="100"/>
      <c r="Y19" s="98">
        <f t="shared" ref="Y19" ca="1" si="69">IFERROR((SUM(Y10:Y17)/Y18),"")</f>
        <v>1</v>
      </c>
      <c r="Z19" s="99"/>
      <c r="AA19" s="99"/>
      <c r="AB19" s="100"/>
      <c r="AC19" s="98">
        <f t="shared" ref="AC19" ca="1" si="70">IFERROR((SUM(AC10:AC17)/AC18),"")</f>
        <v>1</v>
      </c>
      <c r="AD19" s="99"/>
      <c r="AE19" s="99"/>
      <c r="AF19" s="100"/>
      <c r="AG19" s="98">
        <f t="shared" ref="AG19" ca="1" si="71">IFERROR((SUM(AG10:AG17)/AG18),"")</f>
        <v>1</v>
      </c>
      <c r="AH19" s="99"/>
      <c r="AI19" s="99"/>
      <c r="AJ19" s="100"/>
      <c r="AK19" s="98">
        <f t="shared" ref="AK19" ca="1" si="72">IFERROR((SUM(AK10:AK17)/AK18),"")</f>
        <v>1</v>
      </c>
      <c r="AL19" s="99"/>
      <c r="AM19" s="99"/>
      <c r="AN19" s="100"/>
      <c r="AO19" s="98">
        <f t="shared" ref="AO19" ca="1" si="73">IFERROR((SUM(AO10:AO17)/AO18),"")</f>
        <v>1</v>
      </c>
      <c r="AP19" s="99"/>
      <c r="AQ19" s="99"/>
      <c r="AR19" s="100"/>
      <c r="AS19" s="98">
        <f t="shared" ref="AS19" ca="1" si="74">IFERROR((SUM(AS10:AS17)/AS18),"")</f>
        <v>1</v>
      </c>
      <c r="AT19" s="99"/>
      <c r="AU19" s="99"/>
      <c r="AV19" s="100"/>
      <c r="AW19" s="98">
        <f t="shared" ref="AW19" ca="1" si="75">IFERROR((SUM(AW10:AW17)/AW18),"")</f>
        <v>1</v>
      </c>
      <c r="AX19" s="99"/>
      <c r="AY19" s="99"/>
      <c r="AZ19" s="100"/>
      <c r="BA19" s="98">
        <f t="shared" ref="BA19" ca="1" si="76">IFERROR((SUM(BA10:BA17)/BA18),"")</f>
        <v>1</v>
      </c>
      <c r="BB19" s="99"/>
      <c r="BC19" s="99"/>
      <c r="BD19" s="104"/>
    </row>
    <row r="20" spans="2:56" x14ac:dyDescent="0.25">
      <c r="C20" s="4"/>
      <c r="D20" s="4" t="s">
        <v>3060</v>
      </c>
      <c r="E20" s="86" t="s">
        <v>506</v>
      </c>
      <c r="F20" s="87"/>
      <c r="G20" s="87"/>
      <c r="H20" s="88"/>
      <c r="I20" s="86" t="s">
        <v>466</v>
      </c>
      <c r="J20" s="87"/>
      <c r="K20" s="87"/>
      <c r="L20" s="88"/>
      <c r="M20" s="86" t="s">
        <v>466</v>
      </c>
      <c r="N20" s="87"/>
      <c r="O20" s="87"/>
      <c r="P20" s="88"/>
      <c r="Q20" s="86" t="s">
        <v>466</v>
      </c>
      <c r="R20" s="87"/>
      <c r="S20" s="87"/>
      <c r="T20" s="88"/>
      <c r="U20" s="86" t="s">
        <v>466</v>
      </c>
      <c r="V20" s="87"/>
      <c r="W20" s="87"/>
      <c r="X20" s="88"/>
      <c r="Y20" s="86" t="s">
        <v>466</v>
      </c>
      <c r="Z20" s="87"/>
      <c r="AA20" s="87"/>
      <c r="AB20" s="88"/>
      <c r="AC20" s="86" t="s">
        <v>466</v>
      </c>
      <c r="AD20" s="87"/>
      <c r="AE20" s="87"/>
      <c r="AF20" s="88"/>
      <c r="AG20" s="86"/>
      <c r="AH20" s="87"/>
      <c r="AI20" s="87"/>
      <c r="AJ20" s="88"/>
      <c r="AK20" s="86"/>
      <c r="AL20" s="87"/>
      <c r="AM20" s="87"/>
      <c r="AN20" s="88"/>
      <c r="AO20" s="86"/>
      <c r="AP20" s="87"/>
      <c r="AQ20" s="87"/>
      <c r="AR20" s="88"/>
      <c r="AS20" s="86"/>
      <c r="AT20" s="87"/>
      <c r="AU20" s="87"/>
      <c r="AV20" s="88"/>
      <c r="AW20" s="86"/>
      <c r="AX20" s="87"/>
      <c r="AY20" s="87"/>
      <c r="AZ20" s="88"/>
      <c r="BA20" s="86"/>
      <c r="BB20" s="87"/>
      <c r="BC20" s="87"/>
      <c r="BD20" s="88"/>
    </row>
    <row r="21" spans="2:56" x14ac:dyDescent="0.25">
      <c r="C21" s="4"/>
      <c r="D21" s="4" t="s">
        <v>3061</v>
      </c>
      <c r="E21" s="95" t="s">
        <v>466</v>
      </c>
      <c r="F21" s="96"/>
      <c r="G21" s="96"/>
      <c r="H21" s="97"/>
      <c r="I21" s="95" t="s">
        <v>466</v>
      </c>
      <c r="J21" s="96"/>
      <c r="K21" s="96"/>
      <c r="L21" s="97"/>
      <c r="M21" s="95"/>
      <c r="N21" s="96"/>
      <c r="O21" s="96"/>
      <c r="P21" s="97"/>
      <c r="Q21" s="95"/>
      <c r="R21" s="96"/>
      <c r="S21" s="96"/>
      <c r="T21" s="97"/>
      <c r="U21" s="95"/>
      <c r="V21" s="96"/>
      <c r="W21" s="96"/>
      <c r="X21" s="97"/>
      <c r="Y21" s="95"/>
      <c r="Z21" s="96"/>
      <c r="AA21" s="96"/>
      <c r="AB21" s="97"/>
      <c r="AC21" s="95"/>
      <c r="AD21" s="96"/>
      <c r="AE21" s="96"/>
      <c r="AF21" s="97"/>
      <c r="AG21" s="95"/>
      <c r="AH21" s="96"/>
      <c r="AI21" s="96"/>
      <c r="AJ21" s="97"/>
      <c r="AK21" s="95"/>
      <c r="AL21" s="96"/>
      <c r="AM21" s="96"/>
      <c r="AN21" s="97"/>
      <c r="AO21" s="95"/>
      <c r="AP21" s="96"/>
      <c r="AQ21" s="96"/>
      <c r="AR21" s="97"/>
      <c r="AS21" s="95"/>
      <c r="AT21" s="96"/>
      <c r="AU21" s="96"/>
      <c r="AV21" s="97"/>
      <c r="AW21" s="95"/>
      <c r="AX21" s="96"/>
      <c r="AY21" s="96"/>
      <c r="AZ21" s="97"/>
      <c r="BA21" s="95"/>
      <c r="BB21" s="96"/>
      <c r="BC21" s="96"/>
      <c r="BD21" s="97"/>
    </row>
    <row r="22" spans="2:56" ht="15" customHeight="1" x14ac:dyDescent="0.25">
      <c r="C22" s="11"/>
      <c r="D22" s="4" t="s">
        <v>3062</v>
      </c>
      <c r="E22" s="92" t="s">
        <v>466</v>
      </c>
      <c r="F22" s="93"/>
      <c r="G22" s="93"/>
      <c r="H22" s="94"/>
      <c r="I22" s="92" t="s">
        <v>466</v>
      </c>
      <c r="J22" s="93"/>
      <c r="K22" s="93"/>
      <c r="L22" s="94"/>
      <c r="M22" s="92"/>
      <c r="N22" s="93"/>
      <c r="O22" s="93"/>
      <c r="P22" s="94"/>
      <c r="Q22" s="92"/>
      <c r="R22" s="93"/>
      <c r="S22" s="93"/>
      <c r="T22" s="94"/>
      <c r="U22" s="92"/>
      <c r="V22" s="93"/>
      <c r="W22" s="93"/>
      <c r="X22" s="94"/>
      <c r="Y22" s="92"/>
      <c r="Z22" s="93"/>
      <c r="AA22" s="93"/>
      <c r="AB22" s="94"/>
      <c r="AC22" s="92"/>
      <c r="AD22" s="93"/>
      <c r="AE22" s="93"/>
      <c r="AF22" s="94"/>
      <c r="AG22" s="92"/>
      <c r="AH22" s="93"/>
      <c r="AI22" s="93"/>
      <c r="AJ22" s="94"/>
      <c r="AK22" s="92"/>
      <c r="AL22" s="93"/>
      <c r="AM22" s="93"/>
      <c r="AN22" s="94"/>
      <c r="AO22" s="92"/>
      <c r="AP22" s="93"/>
      <c r="AQ22" s="93"/>
      <c r="AR22" s="94"/>
      <c r="AS22" s="92"/>
      <c r="AT22" s="93"/>
      <c r="AU22" s="93"/>
      <c r="AV22" s="94"/>
      <c r="AW22" s="92"/>
      <c r="AX22" s="93"/>
      <c r="AY22" s="93"/>
      <c r="AZ22" s="94"/>
      <c r="BA22" s="92"/>
      <c r="BB22" s="93"/>
      <c r="BC22" s="93"/>
      <c r="BD22" s="94"/>
    </row>
    <row r="23" spans="2:56" ht="15" customHeight="1" thickBot="1" x14ac:dyDescent="0.3">
      <c r="C23" s="11"/>
      <c r="D23" s="4" t="s">
        <v>3063</v>
      </c>
      <c r="E23" s="89" t="s">
        <v>466</v>
      </c>
      <c r="F23" s="90"/>
      <c r="G23" s="90"/>
      <c r="H23" s="91"/>
      <c r="I23" s="89" t="s">
        <v>466</v>
      </c>
      <c r="J23" s="90"/>
      <c r="K23" s="90"/>
      <c r="L23" s="91"/>
      <c r="M23" s="89"/>
      <c r="N23" s="90"/>
      <c r="O23" s="90"/>
      <c r="P23" s="91"/>
      <c r="Q23" s="89"/>
      <c r="R23" s="90"/>
      <c r="S23" s="90"/>
      <c r="T23" s="91"/>
      <c r="U23" s="89"/>
      <c r="V23" s="90"/>
      <c r="W23" s="90"/>
      <c r="X23" s="91"/>
      <c r="Y23" s="89"/>
      <c r="Z23" s="90"/>
      <c r="AA23" s="90"/>
      <c r="AB23" s="91"/>
      <c r="AC23" s="89"/>
      <c r="AD23" s="90"/>
      <c r="AE23" s="90"/>
      <c r="AF23" s="91"/>
      <c r="AG23" s="89"/>
      <c r="AH23" s="90"/>
      <c r="AI23" s="90"/>
      <c r="AJ23" s="91"/>
      <c r="AK23" s="89"/>
      <c r="AL23" s="90"/>
      <c r="AM23" s="90"/>
      <c r="AN23" s="91"/>
      <c r="AO23" s="89"/>
      <c r="AP23" s="90"/>
      <c r="AQ23" s="90"/>
      <c r="AR23" s="91"/>
      <c r="AS23" s="89"/>
      <c r="AT23" s="90"/>
      <c r="AU23" s="90"/>
      <c r="AV23" s="91"/>
      <c r="AW23" s="89"/>
      <c r="AX23" s="90"/>
      <c r="AY23" s="90"/>
      <c r="AZ23" s="91"/>
      <c r="BA23" s="89"/>
      <c r="BB23" s="90"/>
      <c r="BC23" s="90"/>
      <c r="BD23" s="91"/>
    </row>
    <row r="100" spans="1:1" x14ac:dyDescent="0.25">
      <c r="A100" t="b">
        <v>0</v>
      </c>
    </row>
    <row r="101" spans="1:1" x14ac:dyDescent="0.25">
      <c r="A101" t="b">
        <v>0</v>
      </c>
    </row>
  </sheetData>
  <customSheetViews>
    <customSheetView guid="{83A2DA31-60F6-4C74-93BD-40FF99C1C7A8}">
      <selection activeCell="Q27" sqref="Q27"/>
      <pageMargins left="0" right="0" top="0" bottom="0" header="0" footer="0"/>
    </customSheetView>
    <customSheetView guid="{F8CBCBDD-5FE1-4656-8906-81A832D861EF}" topLeftCell="A7">
      <selection activeCell="AB28" sqref="AB28"/>
      <pageMargins left="0" right="0" top="0" bottom="0" header="0" footer="0"/>
    </customSheetView>
    <customSheetView guid="{8751A03A-3443-4C38-AE50-B3AE313663B0}">
      <selection activeCell="D26" sqref="D26"/>
      <pageMargins left="0" right="0" top="0" bottom="0" header="0" footer="0"/>
    </customSheetView>
    <customSheetView guid="{F567BCB2-6D48-41F2-A191-09CE8F64E918}">
      <selection activeCell="D26" sqref="D26"/>
      <pageMargins left="0" right="0" top="0" bottom="0" header="0" footer="0"/>
    </customSheetView>
    <customSheetView guid="{ADFAD4B4-1AD9-4570-8307-CE0121173A42}">
      <selection activeCell="D26" sqref="D26"/>
      <pageMargins left="0" right="0" top="0" bottom="0" header="0" footer="0"/>
    </customSheetView>
    <customSheetView guid="{DD6C8357-A7F2-44E6-AC58-30945CFAD161}">
      <selection activeCell="D26" sqref="D26"/>
      <pageMargins left="0" right="0" top="0" bottom="0" header="0" footer="0"/>
    </customSheetView>
    <customSheetView guid="{E8EA09A6-9A5D-41BD-A1B6-DD1E2B4E5703}">
      <selection activeCell="Q27" sqref="Q27"/>
      <pageMargins left="0" right="0" top="0" bottom="0" header="0" footer="0"/>
    </customSheetView>
    <customSheetView guid="{3EE9CC87-2444-446D-B867-08D102D54FBA}">
      <selection activeCell="G26" sqref="G26"/>
      <pageMargins left="0" right="0" top="0" bottom="0" header="0" footer="0"/>
    </customSheetView>
    <customSheetView guid="{59FEBC5D-7E48-4444-A38F-E4C647AEA35E}">
      <selection activeCell="G26" sqref="G26"/>
      <pageMargins left="0" right="0" top="0" bottom="0" header="0" footer="0"/>
    </customSheetView>
  </customSheetViews>
  <mergeCells count="106">
    <mergeCell ref="E5:BD5"/>
    <mergeCell ref="E6:BD6"/>
    <mergeCell ref="E7:H7"/>
    <mergeCell ref="I7:L7"/>
    <mergeCell ref="M7:P7"/>
    <mergeCell ref="Q7:T7"/>
    <mergeCell ref="U7:X7"/>
    <mergeCell ref="Y7:AB7"/>
    <mergeCell ref="AC7:AF7"/>
    <mergeCell ref="AG7:AJ7"/>
    <mergeCell ref="BA7:BD7"/>
    <mergeCell ref="AK7:AN7"/>
    <mergeCell ref="AO7:AR7"/>
    <mergeCell ref="AS7:AV7"/>
    <mergeCell ref="AW7:AZ7"/>
    <mergeCell ref="E8:H8"/>
    <mergeCell ref="I8:L8"/>
    <mergeCell ref="M8:P8"/>
    <mergeCell ref="Q8:T8"/>
    <mergeCell ref="U8:X8"/>
    <mergeCell ref="AW8:AZ8"/>
    <mergeCell ref="BA8:BD8"/>
    <mergeCell ref="E18:H18"/>
    <mergeCell ref="I18:L18"/>
    <mergeCell ref="M18:P18"/>
    <mergeCell ref="Q18:T18"/>
    <mergeCell ref="U18:X18"/>
    <mergeCell ref="Y18:AB18"/>
    <mergeCell ref="AC18:AF18"/>
    <mergeCell ref="Y8:AB8"/>
    <mergeCell ref="AC8:AF8"/>
    <mergeCell ref="AG8:AJ8"/>
    <mergeCell ref="AK8:AN8"/>
    <mergeCell ref="AO8:AR8"/>
    <mergeCell ref="AG18:AJ18"/>
    <mergeCell ref="AS8:AV8"/>
    <mergeCell ref="AO18:AR18"/>
    <mergeCell ref="AS18:AV18"/>
    <mergeCell ref="AW18:AZ18"/>
    <mergeCell ref="BA18:BD18"/>
    <mergeCell ref="AW19:AZ19"/>
    <mergeCell ref="BA19:BD19"/>
    <mergeCell ref="AO19:AR19"/>
    <mergeCell ref="I19:L19"/>
    <mergeCell ref="M19:P19"/>
    <mergeCell ref="Q19:T19"/>
    <mergeCell ref="U19:X19"/>
    <mergeCell ref="AK18:AN18"/>
    <mergeCell ref="AK19:AN19"/>
    <mergeCell ref="E19:H19"/>
    <mergeCell ref="AO21:AR21"/>
    <mergeCell ref="AS21:AV21"/>
    <mergeCell ref="AW21:AZ21"/>
    <mergeCell ref="AS22:AV22"/>
    <mergeCell ref="E22:H22"/>
    <mergeCell ref="Y21:AB21"/>
    <mergeCell ref="AC21:AF21"/>
    <mergeCell ref="Y19:AB19"/>
    <mergeCell ref="AC19:AF19"/>
    <mergeCell ref="AG19:AJ19"/>
    <mergeCell ref="AG21:AJ21"/>
    <mergeCell ref="E21:H21"/>
    <mergeCell ref="I21:L21"/>
    <mergeCell ref="M21:P21"/>
    <mergeCell ref="Q21:T21"/>
    <mergeCell ref="AS19:AV19"/>
    <mergeCell ref="E20:H20"/>
    <mergeCell ref="I20:L20"/>
    <mergeCell ref="M20:P20"/>
    <mergeCell ref="Q20:T20"/>
    <mergeCell ref="U20:X20"/>
    <mergeCell ref="Y20:AB20"/>
    <mergeCell ref="AC20:AF20"/>
    <mergeCell ref="E23:H23"/>
    <mergeCell ref="I23:L23"/>
    <mergeCell ref="M23:P23"/>
    <mergeCell ref="Q23:T23"/>
    <mergeCell ref="U23:X23"/>
    <mergeCell ref="BA21:BD21"/>
    <mergeCell ref="I22:L22"/>
    <mergeCell ref="M22:P22"/>
    <mergeCell ref="Q22:T22"/>
    <mergeCell ref="U22:X22"/>
    <mergeCell ref="AK21:AN21"/>
    <mergeCell ref="AW22:AZ22"/>
    <mergeCell ref="BA22:BD22"/>
    <mergeCell ref="AK22:AN22"/>
    <mergeCell ref="AO22:AR22"/>
    <mergeCell ref="U21:X21"/>
    <mergeCell ref="AG22:AJ22"/>
    <mergeCell ref="AG20:AJ20"/>
    <mergeCell ref="AK20:AN20"/>
    <mergeCell ref="AO20:AR20"/>
    <mergeCell ref="AS20:AV20"/>
    <mergeCell ref="AW20:AZ20"/>
    <mergeCell ref="BA20:BD20"/>
    <mergeCell ref="Y23:AB23"/>
    <mergeCell ref="AC23:AF23"/>
    <mergeCell ref="AG23:AJ23"/>
    <mergeCell ref="AK23:AN23"/>
    <mergeCell ref="AO23:AR23"/>
    <mergeCell ref="AS23:AV23"/>
    <mergeCell ref="AW23:AZ23"/>
    <mergeCell ref="BA23:BD23"/>
    <mergeCell ref="Y22:AB22"/>
    <mergeCell ref="AC22:AF22"/>
  </mergeCells>
  <conditionalFormatting sqref="E19:BD19">
    <cfRule type="dataBar" priority="16">
      <dataBar>
        <cfvo type="num" val="0"/>
        <cfvo type="num" val="1"/>
        <color rgb="FF63C384"/>
      </dataBar>
      <extLst>
        <ext xmlns:x14="http://schemas.microsoft.com/office/spreadsheetml/2009/9/main" uri="{B025F937-C7B1-47D3-B67F-A62EFF666E3E}">
          <x14:id>{56A1FB97-C239-4F6B-827B-BED7B75DB7F2}</x14:id>
        </ext>
      </extLst>
    </cfRule>
  </conditionalFormatting>
  <conditionalFormatting sqref="F10:F17 J10:J17 N10:N17 R10:R17 V10:V17 Z10:Z17 AD10:AD17 AH10:AH17 AL10:AL17 AP10:AP17 AT10:AT17 AX10:AX17 BB10:BB17">
    <cfRule type="cellIs" dxfId="28" priority="18" operator="equal">
      <formula>0</formula>
    </cfRule>
    <cfRule type="cellIs" dxfId="27" priority="19" operator="greaterThan">
      <formula>0</formula>
    </cfRule>
  </conditionalFormatting>
  <conditionalFormatting sqref="W25">
    <cfRule type="dataBar" priority="17">
      <dataBar>
        <cfvo type="min"/>
        <cfvo type="max"/>
        <color rgb="FF63C384"/>
      </dataBar>
      <extLst>
        <ext xmlns:x14="http://schemas.microsoft.com/office/spreadsheetml/2009/9/main" uri="{B025F937-C7B1-47D3-B67F-A62EFF666E3E}">
          <x14:id>{4354AA13-3D09-46BC-860F-5DE519524B96}</x14:id>
        </ext>
      </extLst>
    </cfRule>
  </conditionalFormatting>
  <conditionalFormatting sqref="D10:D17">
    <cfRule type="dataBar" priority="186">
      <dataBar>
        <cfvo type="min"/>
        <cfvo type="max"/>
        <color rgb="FF63C384"/>
      </dataBar>
      <extLst>
        <ext xmlns:x14="http://schemas.microsoft.com/office/spreadsheetml/2009/9/main" uri="{B025F937-C7B1-47D3-B67F-A62EFF666E3E}">
          <x14:id>{B0620BE1-E9F8-4D4F-AB89-FE03035D4A60}</x14:id>
        </ext>
      </extLst>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uditNewQuarter_LB">
                <anchor moveWithCells="1" sizeWithCells="1">
                  <from>
                    <xdr:col>1</xdr:col>
                    <xdr:colOff>0</xdr:colOff>
                    <xdr:row>23</xdr:row>
                    <xdr:rowOff>104775</xdr:rowOff>
                  </from>
                  <to>
                    <xdr:col>3</xdr:col>
                    <xdr:colOff>266700</xdr:colOff>
                    <xdr:row>25</xdr:row>
                    <xdr:rowOff>123825</xdr:rowOff>
                  </to>
                </anchor>
              </controlPr>
            </control>
          </mc:Choice>
        </mc:AlternateContent>
        <mc:AlternateContent xmlns:mc="http://schemas.openxmlformats.org/markup-compatibility/2006">
          <mc:Choice Requires="x14">
            <control shapeId="2052" r:id="rId5" name="Button 4">
              <controlPr defaultSize="0" print="0" autoFill="0" autoPict="0" macro="[0]!NewAuditWeek_LB">
                <anchor moveWithCells="1" sizeWithCells="1">
                  <from>
                    <xdr:col>50</xdr:col>
                    <xdr:colOff>104775</xdr:colOff>
                    <xdr:row>23</xdr:row>
                    <xdr:rowOff>85725</xdr:rowOff>
                  </from>
                  <to>
                    <xdr:col>55</xdr:col>
                    <xdr:colOff>257175</xdr:colOff>
                    <xdr:row>25</xdr:row>
                    <xdr:rowOff>104775</xdr:rowOff>
                  </to>
                </anchor>
              </controlPr>
            </control>
          </mc:Choice>
        </mc:AlternateContent>
        <mc:AlternateContent xmlns:mc="http://schemas.openxmlformats.org/markup-compatibility/2006">
          <mc:Choice Requires="x14">
            <control shapeId="2055" r:id="rId6" name="Button 7">
              <controlPr defaultSize="0" print="0" autoFill="0" autoPict="0" macro="[0]!CompletedAuditEmails_LB">
                <anchor moveWithCells="1" sizeWithCells="1">
                  <from>
                    <xdr:col>38</xdr:col>
                    <xdr:colOff>200025</xdr:colOff>
                    <xdr:row>2</xdr:row>
                    <xdr:rowOff>19050</xdr:rowOff>
                  </from>
                  <to>
                    <xdr:col>44</xdr:col>
                    <xdr:colOff>85725</xdr:colOff>
                    <xdr:row>3</xdr:row>
                    <xdr:rowOff>95250</xdr:rowOff>
                  </to>
                </anchor>
              </controlPr>
            </control>
          </mc:Choice>
        </mc:AlternateContent>
        <mc:AlternateContent xmlns:mc="http://schemas.openxmlformats.org/markup-compatibility/2006">
          <mc:Choice Requires="x14">
            <control shapeId="2056" r:id="rId7" name="Button 8">
              <controlPr defaultSize="0" print="0" autoFill="0" autoPict="0" macro="[0]!GetORWorkTotals_LB">
                <anchor moveWithCells="1" sizeWithCells="1">
                  <from>
                    <xdr:col>32</xdr:col>
                    <xdr:colOff>247650</xdr:colOff>
                    <xdr:row>2</xdr:row>
                    <xdr:rowOff>19050</xdr:rowOff>
                  </from>
                  <to>
                    <xdr:col>38</xdr:col>
                    <xdr:colOff>133350</xdr:colOff>
                    <xdr:row>3</xdr:row>
                    <xdr:rowOff>95250</xdr:rowOff>
                  </to>
                </anchor>
              </controlPr>
            </control>
          </mc:Choice>
        </mc:AlternateContent>
        <mc:AlternateContent xmlns:mc="http://schemas.openxmlformats.org/markup-compatibility/2006">
          <mc:Choice Requires="x14">
            <control shapeId="2057" r:id="rId8" name="Button 9">
              <controlPr defaultSize="0" print="0" autoFill="0" autoPict="0" macro="[0]!AddPDSAPerOR_LB">
                <anchor moveWithCells="1" sizeWithCells="1">
                  <from>
                    <xdr:col>44</xdr:col>
                    <xdr:colOff>152400</xdr:colOff>
                    <xdr:row>2</xdr:row>
                    <xdr:rowOff>19050</xdr:rowOff>
                  </from>
                  <to>
                    <xdr:col>50</xdr:col>
                    <xdr:colOff>38100</xdr:colOff>
                    <xdr:row>3</xdr:row>
                    <xdr:rowOff>95250</xdr:rowOff>
                  </to>
                </anchor>
              </controlPr>
            </control>
          </mc:Choice>
        </mc:AlternateContent>
        <mc:AlternateContent xmlns:mc="http://schemas.openxmlformats.org/markup-compatibility/2006">
          <mc:Choice Requires="x14">
            <control shapeId="2058" r:id="rId9" name="Button 10">
              <controlPr defaultSize="0" print="0" autoFill="0" autoPict="0" macro="[0]!ORMCUpdate_LB">
                <anchor moveWithCells="1" sizeWithCells="1">
                  <from>
                    <xdr:col>50</xdr:col>
                    <xdr:colOff>114300</xdr:colOff>
                    <xdr:row>2</xdr:row>
                    <xdr:rowOff>9525</xdr:rowOff>
                  </from>
                  <to>
                    <xdr:col>56</xdr:col>
                    <xdr:colOff>0</xdr:colOff>
                    <xdr:row>3</xdr:row>
                    <xdr:rowOff>95250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56A1FB97-C239-4F6B-827B-BED7B75DB7F2}">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E19:BD19</xm:sqref>
        </x14:conditionalFormatting>
        <x14:conditionalFormatting xmlns:xm="http://schemas.microsoft.com/office/excel/2006/main">
          <x14:cfRule type="dataBar" id="{4354AA13-3D09-46BC-860F-5DE519524B96}">
            <x14:dataBar minLength="0" maxLength="100" gradient="0">
              <x14:cfvo type="autoMin"/>
              <x14:cfvo type="autoMax"/>
              <x14:negativeFillColor rgb="FFFF0000"/>
              <x14:axisColor rgb="FF000000"/>
            </x14:dataBar>
          </x14:cfRule>
          <xm:sqref>W25</xm:sqref>
        </x14:conditionalFormatting>
        <x14:conditionalFormatting xmlns:xm="http://schemas.microsoft.com/office/excel/2006/main">
          <x14:cfRule type="dataBar" id="{B0620BE1-E9F8-4D4F-AB89-FE03035D4A60}">
            <x14:dataBar minLength="0" maxLength="100" border="1" negativeBarBorderColorSameAsPositive="0">
              <x14:cfvo type="autoMin"/>
              <x14:cfvo type="autoMax"/>
              <x14:borderColor rgb="FF63C384"/>
              <x14:negativeFillColor rgb="FFFF0000"/>
              <x14:negativeBorderColor rgb="FFFF0000"/>
              <x14:axisColor rgb="FF000000"/>
            </x14:dataBar>
          </x14:cfRule>
          <xm:sqref>D10:D17</xm:sqref>
        </x14:conditionalFormatting>
      </x14:conditionalFormatting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7AE48E-BD61-4611-A6F6-860E57FBBBFD}">
  <sheetPr codeName="Sheet6"/>
  <dimension ref="B2:AR200"/>
  <sheetViews>
    <sheetView topLeftCell="A3" workbookViewId="0">
      <selection activeCell="Y13" sqref="Y13"/>
    </sheetView>
  </sheetViews>
  <sheetFormatPr defaultRowHeight="15" x14ac:dyDescent="0.25"/>
  <cols>
    <col min="1" max="1" width="2.7109375" customWidth="1"/>
    <col min="2" max="2" width="28.140625" style="1" bestFit="1" customWidth="1"/>
    <col min="3" max="3" width="19.85546875" hidden="1" customWidth="1"/>
    <col min="4" max="16" width="26.140625" hidden="1" customWidth="1"/>
    <col min="17" max="17" width="8" customWidth="1"/>
    <col min="18" max="18" width="8" style="6" customWidth="1"/>
    <col min="19" max="19" width="8" customWidth="1"/>
    <col min="20" max="20" width="8" style="6" customWidth="1"/>
    <col min="21" max="25" width="8" customWidth="1"/>
    <col min="26" max="26" width="8.7109375" bestFit="1" customWidth="1"/>
    <col min="27" max="44" width="8" customWidth="1"/>
  </cols>
  <sheetData>
    <row r="2" spans="2:44" ht="34.5" x14ac:dyDescent="0.55000000000000004">
      <c r="B2" s="3" t="s">
        <v>3064</v>
      </c>
    </row>
    <row r="3" spans="2:44" ht="28.5" x14ac:dyDescent="0.45">
      <c r="B3" s="13" t="s">
        <v>3035</v>
      </c>
    </row>
    <row r="4" spans="2:44" x14ac:dyDescent="0.25">
      <c r="B4" s="12"/>
    </row>
    <row r="5" spans="2:44" ht="24" customHeight="1" x14ac:dyDescent="0.4">
      <c r="B5" s="122" t="s">
        <v>3065</v>
      </c>
      <c r="C5" s="54"/>
      <c r="D5" s="54"/>
      <c r="E5" s="54"/>
      <c r="F5" s="54"/>
      <c r="G5" s="54"/>
      <c r="H5" s="54"/>
      <c r="I5" s="54"/>
      <c r="J5" s="54"/>
      <c r="K5" s="54"/>
      <c r="L5" s="54"/>
      <c r="M5" s="54"/>
      <c r="N5" s="54"/>
      <c r="O5" s="54"/>
      <c r="P5" s="54"/>
      <c r="Q5" s="124" t="s">
        <v>3066</v>
      </c>
      <c r="R5" s="124"/>
      <c r="S5" s="125" t="s">
        <v>3036</v>
      </c>
      <c r="T5" s="125"/>
      <c r="U5" s="125"/>
      <c r="V5" s="125"/>
      <c r="W5" s="125"/>
      <c r="X5" s="125"/>
      <c r="Y5" s="125"/>
      <c r="Z5" s="125"/>
      <c r="AA5" s="125"/>
      <c r="AB5" s="125"/>
      <c r="AC5" s="125"/>
      <c r="AD5" s="125"/>
      <c r="AE5" s="125"/>
      <c r="AF5" s="125"/>
      <c r="AG5" s="125"/>
      <c r="AH5" s="125"/>
      <c r="AI5" s="125"/>
      <c r="AJ5" s="125"/>
      <c r="AK5" s="125"/>
      <c r="AL5" s="125"/>
      <c r="AM5" s="125"/>
      <c r="AN5" s="125"/>
      <c r="AO5" s="125"/>
      <c r="AP5" s="125"/>
      <c r="AQ5" s="125"/>
      <c r="AR5" s="125"/>
    </row>
    <row r="6" spans="2:44" ht="15.75" customHeight="1" x14ac:dyDescent="0.25">
      <c r="B6" s="122"/>
      <c r="C6" s="126" t="s">
        <v>443</v>
      </c>
      <c r="D6" s="126" t="s">
        <v>3067</v>
      </c>
      <c r="E6" s="55"/>
      <c r="F6" s="55"/>
      <c r="G6" s="55"/>
      <c r="H6" s="55"/>
      <c r="I6" s="55"/>
      <c r="J6" s="55"/>
      <c r="K6" s="55"/>
      <c r="L6" s="55"/>
      <c r="M6" s="55"/>
      <c r="N6" s="55"/>
      <c r="O6" s="55"/>
      <c r="P6" s="55"/>
      <c r="Q6" s="124"/>
      <c r="R6" s="124"/>
      <c r="S6" s="121" t="s">
        <v>3039</v>
      </c>
      <c r="T6" s="121"/>
      <c r="U6" s="121" t="s">
        <v>3040</v>
      </c>
      <c r="V6" s="121"/>
      <c r="W6" s="121" t="s">
        <v>3041</v>
      </c>
      <c r="X6" s="121"/>
      <c r="Y6" s="121" t="s">
        <v>3042</v>
      </c>
      <c r="Z6" s="121"/>
      <c r="AA6" s="121" t="s">
        <v>3043</v>
      </c>
      <c r="AB6" s="121"/>
      <c r="AC6" s="121" t="s">
        <v>3044</v>
      </c>
      <c r="AD6" s="121"/>
      <c r="AE6" s="121" t="s">
        <v>3045</v>
      </c>
      <c r="AF6" s="121"/>
      <c r="AG6" s="121" t="s">
        <v>3046</v>
      </c>
      <c r="AH6" s="121"/>
      <c r="AI6" s="121" t="s">
        <v>3047</v>
      </c>
      <c r="AJ6" s="121"/>
      <c r="AK6" s="121" t="s">
        <v>3048</v>
      </c>
      <c r="AL6" s="121"/>
      <c r="AM6" s="121" t="s">
        <v>3049</v>
      </c>
      <c r="AN6" s="121"/>
      <c r="AO6" s="121" t="s">
        <v>3050</v>
      </c>
      <c r="AP6" s="121"/>
      <c r="AQ6" s="121" t="s">
        <v>3051</v>
      </c>
      <c r="AR6" s="121"/>
    </row>
    <row r="7" spans="2:44" ht="15.75" customHeight="1" x14ac:dyDescent="0.25">
      <c r="B7" s="123"/>
      <c r="C7" s="126"/>
      <c r="D7" s="126"/>
      <c r="E7" s="55"/>
      <c r="F7" s="55"/>
      <c r="G7" s="55"/>
      <c r="H7" s="55"/>
      <c r="I7" s="55"/>
      <c r="J7" s="55"/>
      <c r="K7" s="55"/>
      <c r="L7" s="55"/>
      <c r="M7" s="55"/>
      <c r="N7" s="55"/>
      <c r="O7" s="55"/>
      <c r="P7" s="55"/>
      <c r="Q7" s="56" t="s">
        <v>3068</v>
      </c>
      <c r="R7" s="57" t="s">
        <v>3069</v>
      </c>
      <c r="S7" s="56" t="s">
        <v>3068</v>
      </c>
      <c r="T7" s="56" t="s">
        <v>3069</v>
      </c>
      <c r="U7" s="56" t="s">
        <v>3068</v>
      </c>
      <c r="V7" s="56" t="s">
        <v>3069</v>
      </c>
      <c r="W7" s="56" t="s">
        <v>3068</v>
      </c>
      <c r="X7" s="56" t="s">
        <v>3069</v>
      </c>
      <c r="Y7" s="56" t="s">
        <v>3068</v>
      </c>
      <c r="Z7" s="56" t="s">
        <v>3069</v>
      </c>
      <c r="AA7" s="56" t="s">
        <v>3068</v>
      </c>
      <c r="AB7" s="56" t="s">
        <v>3069</v>
      </c>
      <c r="AC7" s="56" t="s">
        <v>3068</v>
      </c>
      <c r="AD7" s="56" t="s">
        <v>3069</v>
      </c>
      <c r="AE7" s="56" t="s">
        <v>3068</v>
      </c>
      <c r="AF7" s="56" t="s">
        <v>3069</v>
      </c>
      <c r="AG7" s="56" t="s">
        <v>3068</v>
      </c>
      <c r="AH7" s="56" t="s">
        <v>3069</v>
      </c>
      <c r="AI7" s="56" t="s">
        <v>3068</v>
      </c>
      <c r="AJ7" s="56" t="s">
        <v>3069</v>
      </c>
      <c r="AK7" s="56" t="s">
        <v>3068</v>
      </c>
      <c r="AL7" s="56" t="s">
        <v>3069</v>
      </c>
      <c r="AM7" s="56" t="s">
        <v>3068</v>
      </c>
      <c r="AN7" s="56" t="s">
        <v>3069</v>
      </c>
      <c r="AO7" s="56" t="s">
        <v>3068</v>
      </c>
      <c r="AP7" s="56" t="s">
        <v>3069</v>
      </c>
      <c r="AQ7" s="56" t="s">
        <v>3068</v>
      </c>
      <c r="AR7" s="56" t="s">
        <v>3069</v>
      </c>
    </row>
    <row r="8" spans="2:44" ht="15" customHeight="1" x14ac:dyDescent="0.25">
      <c r="B8" s="1" t="s">
        <v>455</v>
      </c>
      <c r="C8" s="1" t="s">
        <v>456</v>
      </c>
      <c r="D8" s="1" t="s">
        <v>297</v>
      </c>
      <c r="E8" s="1" t="s">
        <v>457</v>
      </c>
      <c r="F8" s="1" t="s">
        <v>458</v>
      </c>
      <c r="G8" s="1" t="s">
        <v>459</v>
      </c>
      <c r="H8" s="1" t="s">
        <v>460</v>
      </c>
      <c r="I8" s="1" t="s">
        <v>461</v>
      </c>
      <c r="J8" s="1" t="s">
        <v>462</v>
      </c>
      <c r="K8" s="1"/>
      <c r="L8" s="1" t="s">
        <v>463</v>
      </c>
      <c r="M8" s="1">
        <v>0</v>
      </c>
      <c r="N8" s="1" t="s">
        <v>464</v>
      </c>
      <c r="O8" s="1"/>
      <c r="P8" s="1"/>
      <c r="Q8" s="73">
        <f ca="1">IF(SUM(S8,U8,W8,Y8,AA8,AC8,AE8,AG8,AI8,AK8,AM8,AO8,AQ8)=0,"",SUM(S8,U8,W8,Y8,AA8,AC8,AE8,AG8,AI8,AK8,AM8,AO8,AQ8))</f>
        <v>154</v>
      </c>
      <c r="R8" s="74">
        <f ca="1">IFERROR(AVERAGE(T8,V8,X8,Z8,AB8,AD8,AF8,AH8,AJ8,AL8,AN8,AP8,AR8),"")</f>
        <v>0</v>
      </c>
      <c r="S8" s="54">
        <f ca="1">IFERROR(IF(VLOOKUP($B8,INDIRECT("'"&amp;$S$6&amp;" Acc Rate'!$B$1:$U$70"),16,FALSE)="","",VLOOKUP($B8,INDIRECT("'"&amp;$S$6&amp;" Acc Rate'!$B$1:$U$70"),16,FALSE)),"")</f>
        <v>6</v>
      </c>
      <c r="T8" s="74">
        <f ca="1">IFERROR(IF(VLOOKUP($B8,INDIRECT("'"&amp;$S$6&amp;" Acc Rate'!$B$1:$U$70"),20,FALSE)="","",VLOOKUP($B8,INDIRECT("'"&amp;$S$6&amp;" Acc Rate'!$B$1:$U$70"),20,FALSE)),"")</f>
        <v>0</v>
      </c>
      <c r="U8" s="54">
        <f ca="1">IFERROR(IF(VLOOKUP($B8,INDIRECT("'"&amp;$U$6&amp;" Acc Rate'!$B$1:$U$70"),16,FALSE)="","",VLOOKUP($B8,INDIRECT("'"&amp;$U$6&amp;" Acc Rate'!$B$1:$U$70"),16,FALSE)),"")</f>
        <v>1</v>
      </c>
      <c r="V8" s="74">
        <f ca="1">IFERROR(IF(VLOOKUP($B8,INDIRECT("'"&amp;$U$6&amp;" Acc Rate'!$B$1:$U$70"),20,FALSE)="","",VLOOKUP($B8,INDIRECT("'"&amp;$U$6&amp;" Acc Rate'!$B$1:$U$70"),20,FALSE)),"")</f>
        <v>0</v>
      </c>
      <c r="W8" s="54">
        <f ca="1">IFERROR(IF(VLOOKUP($B8,INDIRECT("'"&amp;$W$6&amp;" Acc Rate'!$B$1:$U$70"),16,FALSE)="","",VLOOKUP($B8,INDIRECT("'"&amp;$W$6&amp;" Acc Rate'!$B$1:$U$70"),16,FALSE)),"")</f>
        <v>50</v>
      </c>
      <c r="X8" s="74">
        <f ca="1">IFERROR(IF(VLOOKUP($B8,INDIRECT("'"&amp;$W$6&amp;" Acc Rate'!$B$1:$U$70"),20,FALSE)="","",VLOOKUP($B8,INDIRECT("'"&amp;$W$6&amp;" Acc Rate'!$B$1:$U$70"),20,FALSE)),"")</f>
        <v>0</v>
      </c>
      <c r="Y8" s="54">
        <f ca="1">IFERROR(IF(VLOOKUP($B8,INDIRECT("'"&amp;$Y$6&amp;" Acc Rate'!$B$1:$U$70"),16,FALSE)="","",VLOOKUP($B8,INDIRECT("'"&amp;$Y$6&amp;" Acc Rate'!$B$1:$U$70"),16,FALSE)),"")</f>
        <v>32</v>
      </c>
      <c r="Z8" s="74">
        <f ca="1">IFERROR(IF(VLOOKUP($B8,INDIRECT("'"&amp;$Y$6&amp;" Acc Rate'!$B$1:$U$70"),20,FALSE)="","",VLOOKUP($B8,INDIRECT("'"&amp;$Y$6&amp;" Acc Rate'!$B$1:$U$70"),20,FALSE)),"")</f>
        <v>0</v>
      </c>
      <c r="AA8" s="54">
        <f ca="1">IFERROR(IF(VLOOKUP($B8,INDIRECT("'"&amp;$AA$6&amp;" Acc Rate'!$B$1:$U$70"),16,FALSE)="","",VLOOKUP($B8,INDIRECT("'"&amp;$AA$6&amp;" Acc Rate'!$B$1:$U$70"),16,FALSE)),"")</f>
        <v>16</v>
      </c>
      <c r="AB8" s="74">
        <f ca="1">IFERROR(IF(VLOOKUP($B8,INDIRECT("'"&amp;$AA$6&amp;" Acc Rate'!$B$1:$U$70"),20,FALSE)="","",VLOOKUP($B8,INDIRECT("'"&amp;$AA$6&amp;" Acc Rate'!$B$1:$U$70"),20,FALSE)),"")</f>
        <v>0</v>
      </c>
      <c r="AC8" s="54">
        <f ca="1">IFERROR(IF(VLOOKUP($B8,INDIRECT("'"&amp;$AC$6&amp;" Acc Rate'!$B$1:$U$70"),16,FALSE)="","",VLOOKUP($B8,INDIRECT("'"&amp;$AC$6&amp;" Acc Rate'!$B$1:$U$70"),16,FALSE)),"")</f>
        <v>49</v>
      </c>
      <c r="AD8" s="74">
        <f ca="1">IFERROR(IF(VLOOKUP($B8,INDIRECT("'"&amp;$AC$6&amp;" Acc Rate'!$B$1:$U$70"),20,FALSE)="","",VLOOKUP($B8,INDIRECT("'"&amp;$AC$6&amp;" Acc Rate'!$B$1:$U$70"),20,FALSE)),"")</f>
        <v>0</v>
      </c>
      <c r="AE8" s="54" t="str">
        <f ca="1">IFERROR(IF(VLOOKUP($B8,INDIRECT("'"&amp;$AE$6&amp;" Acc Rate'!$B$1:$U$70"),16,FALSE)="","",VLOOKUP($B8,INDIRECT("'"&amp;$AE$6&amp;" Acc Rate'!$B$1:$U$70"),16,FALSE)),"")</f>
        <v/>
      </c>
      <c r="AF8" s="74" t="str">
        <f ca="1">IFERROR(IF(VLOOKUP($B8,INDIRECT("'"&amp;$AE$6&amp;" Acc Rate'!$B$1:$U$70"),20,FALSE)="","",VLOOKUP($B8,INDIRECT("'"&amp;$AE$6&amp;" Acc Rate'!$B$1:$U$70"),20,FALSE)),"")</f>
        <v/>
      </c>
      <c r="AG8" s="54" t="str">
        <f ca="1">IFERROR(IF(VLOOKUP($B8,INDIRECT("'"&amp;$AG$6&amp;" Acc Rate'!$B$1:$U$70"),16,FALSE)="","",VLOOKUP($B8,INDIRECT("'"&amp;$AG$6&amp;" Acc Rate'!$B$1:$U$70"),16,FALSE)),"")</f>
        <v/>
      </c>
      <c r="AH8" s="74" t="str">
        <f ca="1">IFERROR(IF(VLOOKUP($B8,INDIRECT("'"&amp;$AG$6&amp;" Acc Rate'!$B$1:$U$70"),20,FALSE)="","",VLOOKUP($B8,INDIRECT("'"&amp;$AG$6&amp;" Acc Rate'!$B$1:$U$70"),20,FALSE)),"")</f>
        <v/>
      </c>
      <c r="AI8" s="54" t="str">
        <f ca="1">IFERROR(IF(VLOOKUP($B8,INDIRECT("'"&amp;$AI$6&amp;" Acc Rate'!$B$1:$U$70"),16,FALSE)="","",VLOOKUP($B8,INDIRECT("'"&amp;$AI$6&amp;" Acc Rate'!$B$1:$U$70"),16,FALSE)),"")</f>
        <v/>
      </c>
      <c r="AJ8" s="74" t="str">
        <f ca="1">IFERROR(IF(VLOOKUP($B8,INDIRECT("'"&amp;$AI$6&amp;" Acc Rate'!$B$1:$U$70"),20,FALSE)="","",VLOOKUP($B8,INDIRECT("'"&amp;$AI$6&amp;" Acc Rate'!$B$1:$U$70"),20,FALSE)),"")</f>
        <v/>
      </c>
      <c r="AK8" s="54" t="str">
        <f ca="1">IFERROR(IF(VLOOKUP($B8,INDIRECT("'"&amp;$AK$6&amp;" Acc Rate'!$B$1:$U$70"),16,FALSE)="","",VLOOKUP($B8,INDIRECT("'"&amp;$AK$6&amp;" Acc Rate'!$B$1:$U$70"),16,FALSE)),"")</f>
        <v/>
      </c>
      <c r="AL8" s="74" t="str">
        <f ca="1">IFERROR(IF(VLOOKUP($B8,INDIRECT("'"&amp;$AK$6&amp;" Acc Rate'!$B$1:$U$70"),20,FALSE)="","",VLOOKUP($B8,INDIRECT("'"&amp;$AK$6&amp;" Acc Rate'!$B$1:$U$70"),20,FALSE)),"")</f>
        <v/>
      </c>
      <c r="AM8" s="54" t="str">
        <f ca="1">IFERROR(IF(VLOOKUP($B8,INDIRECT("'"&amp;$AM$6&amp;" Acc Rate'!$B$1:$U$70"),16,FALSE)="","",VLOOKUP($B8,INDIRECT("'"&amp;$AM$6&amp;" Acc Rate'!$B$1:$U$70"),16,FALSE)),"")</f>
        <v/>
      </c>
      <c r="AN8" s="74" t="str">
        <f ca="1">IFERROR(IF(VLOOKUP($B8,INDIRECT("'"&amp;$AM$6&amp;" Acc Rate'!$B$1:$U$70"),20,FALSE)="","",VLOOKUP($B8,INDIRECT("'"&amp;$AM$6&amp;" Acc Rate'!$B$1:$U$70"),20,FALSE)),"")</f>
        <v/>
      </c>
      <c r="AO8" s="54" t="str">
        <f ca="1">IFERROR(IF(VLOOKUP($B8,INDIRECT("'"&amp;$AO$6&amp;" Acc Rate'!$B$1:$U$70"),16,FALSE)="","",VLOOKUP($B8,INDIRECT("'"&amp;$AO$6&amp;" Acc Rate'!$B$1:$U$70"),16,FALSE)),"")</f>
        <v/>
      </c>
      <c r="AP8" s="74" t="str">
        <f ca="1">IFERROR(IF(VLOOKUP($B8,INDIRECT("'"&amp;$AO$6&amp;" Acc Rate'!$B$1:$U$70"),20,FALSE)="","",VLOOKUP($B8,INDIRECT("'"&amp;$AO$6&amp;" Acc Rate'!$B$1:$U$70"),20,FALSE)),"")</f>
        <v/>
      </c>
      <c r="AQ8" s="54" t="str">
        <f ca="1">IFERROR(IF(VLOOKUP($B8,INDIRECT("'"&amp;$AQ$6&amp;" Acc Rate'!$B$1:$U$70"),16,FALSE)="","",VLOOKUP($B8,INDIRECT("'"&amp;$AQ$6&amp;" Acc Rate'!$B$1:$U$70"),16,FALSE)),"")</f>
        <v/>
      </c>
      <c r="AR8" s="74" t="str">
        <f ca="1">IFERROR(IF(VLOOKUP($B8,INDIRECT("'"&amp;$AQ$6&amp;" Acc Rate'!$B$1:$U$70"),20,FALSE)="","",VLOOKUP($B8,INDIRECT("'"&amp;$AQ$6&amp;" Acc Rate'!$B$1:$U$70"),20,FALSE)),"")</f>
        <v/>
      </c>
    </row>
    <row r="9" spans="2:44" ht="15" customHeight="1" x14ac:dyDescent="0.25">
      <c r="B9" s="1" t="s">
        <v>506</v>
      </c>
      <c r="C9" s="1" t="s">
        <v>208</v>
      </c>
      <c r="D9" s="1" t="s">
        <v>209</v>
      </c>
      <c r="E9" s="1" t="s">
        <v>507</v>
      </c>
      <c r="F9" s="1" t="s">
        <v>352</v>
      </c>
      <c r="G9" s="1" t="s">
        <v>508</v>
      </c>
      <c r="H9" s="1" t="s">
        <v>460</v>
      </c>
      <c r="I9" s="1" t="s">
        <v>509</v>
      </c>
      <c r="J9" s="1" t="s">
        <v>470</v>
      </c>
      <c r="K9" s="1"/>
      <c r="L9" s="1" t="s">
        <v>510</v>
      </c>
      <c r="M9" s="1">
        <v>15</v>
      </c>
      <c r="N9" s="1" t="s">
        <v>511</v>
      </c>
      <c r="O9" s="1">
        <v>32</v>
      </c>
      <c r="P9" s="1">
        <v>40</v>
      </c>
      <c r="Q9" s="73">
        <f t="shared" ref="Q9:Q52" ca="1" si="0">IF(SUM(S9,U9,W9,Y9,AA9,AC9,AE9,AG9,AI9,AK9,AM9,AO9,AQ9)=0,"",SUM(S9,U9,W9,Y9,AA9,AC9,AE9,AG9,AI9,AK9,AM9,AO9,AQ9))</f>
        <v>1883</v>
      </c>
      <c r="R9" s="74">
        <f t="shared" ref="R9:R52" ca="1" si="1">IFERROR(AVERAGE(T9,V9,X9,Z9,AB9,AD9,AF9,AH9,AJ9,AL9,AN9,AP9,AR9),"")</f>
        <v>0</v>
      </c>
      <c r="S9" s="54">
        <f t="shared" ref="S9:S52" ca="1" si="2">IFERROR(IF(VLOOKUP($B9,INDIRECT("'"&amp;$S$6&amp;" Acc Rate'!$B$1:$U$70"),16,FALSE)="","",VLOOKUP($B9,INDIRECT("'"&amp;$S$6&amp;" Acc Rate'!$B$1:$U$70"),16,FALSE)),"")</f>
        <v>372</v>
      </c>
      <c r="T9" s="74">
        <f t="shared" ref="T9:T52" ca="1" si="3">IFERROR(IF(VLOOKUP($B9,INDIRECT("'"&amp;$S$6&amp;" Acc Rate'!$B$1:$U$70"),20,FALSE)="","",VLOOKUP($B9,INDIRECT("'"&amp;$S$6&amp;" Acc Rate'!$B$1:$U$70"),20,FALSE)),"")</f>
        <v>0</v>
      </c>
      <c r="U9" s="54">
        <f t="shared" ref="U9:U52" ca="1" si="4">IFERROR(IF(VLOOKUP($B9,INDIRECT("'"&amp;$U$6&amp;" Acc Rate'!$B$1:$U$70"),16,FALSE)="","",VLOOKUP($B9,INDIRECT("'"&amp;$U$6&amp;" Acc Rate'!$B$1:$U$70"),16,FALSE)),"")</f>
        <v>396</v>
      </c>
      <c r="V9" s="74">
        <f t="shared" ref="V9:V52" ca="1" si="5">IFERROR(IF(VLOOKUP($B9,INDIRECT("'"&amp;$U$6&amp;" Acc Rate'!$B$1:$U$70"),20,FALSE)="","",VLOOKUP($B9,INDIRECT("'"&amp;$U$6&amp;" Acc Rate'!$B$1:$U$70"),20,FALSE)),"")</f>
        <v>0</v>
      </c>
      <c r="W9" s="54">
        <f t="shared" ref="W9:W52" ca="1" si="6">IFERROR(IF(VLOOKUP($B9,INDIRECT("'"&amp;$W$6&amp;" Acc Rate'!$B$1:$U$70"),16,FALSE)="","",VLOOKUP($B9,INDIRECT("'"&amp;$W$6&amp;" Acc Rate'!$B$1:$U$70"),16,FALSE)),"")</f>
        <v>153</v>
      </c>
      <c r="X9" s="74">
        <f t="shared" ref="X9:X52" ca="1" si="7">IFERROR(IF(VLOOKUP($B9,INDIRECT("'"&amp;$W$6&amp;" Acc Rate'!$B$1:$U$70"),20,FALSE)="","",VLOOKUP($B9,INDIRECT("'"&amp;$W$6&amp;" Acc Rate'!$B$1:$U$70"),20,FALSE)),"")</f>
        <v>0</v>
      </c>
      <c r="Y9" s="54">
        <f t="shared" ref="Y9:Y52" ca="1" si="8">IFERROR(IF(VLOOKUP($B9,INDIRECT("'"&amp;$Y$6&amp;" Acc Rate'!$B$1:$U$70"),16,FALSE)="","",VLOOKUP($B9,INDIRECT("'"&amp;$Y$6&amp;" Acc Rate'!$B$1:$U$70"),16,FALSE)),"")</f>
        <v>378</v>
      </c>
      <c r="Z9" s="74">
        <f t="shared" ref="Z9:Z52" ca="1" si="9">IFERROR(IF(VLOOKUP($B9,INDIRECT("'"&amp;$Y$6&amp;" Acc Rate'!$B$1:$U$70"),20,FALSE)="","",VLOOKUP($B9,INDIRECT("'"&amp;$Y$6&amp;" Acc Rate'!$B$1:$U$70"),20,FALSE)),"")</f>
        <v>0</v>
      </c>
      <c r="AA9" s="54">
        <f t="shared" ref="AA9:AA52" ca="1" si="10">IFERROR(IF(VLOOKUP($B9,INDIRECT("'"&amp;$AA$6&amp;" Acc Rate'!$B$1:$U$70"),16,FALSE)="","",VLOOKUP($B9,INDIRECT("'"&amp;$AA$6&amp;" Acc Rate'!$B$1:$U$70"),16,FALSE)),"")</f>
        <v>148</v>
      </c>
      <c r="AB9" s="74">
        <f t="shared" ref="AB9:AB52" ca="1" si="11">IFERROR(IF(VLOOKUP($B9,INDIRECT("'"&amp;$AA$6&amp;" Acc Rate'!$B$1:$U$70"),20,FALSE)="","",VLOOKUP($B9,INDIRECT("'"&amp;$AA$6&amp;" Acc Rate'!$B$1:$U$70"),20,FALSE)),"")</f>
        <v>0</v>
      </c>
      <c r="AC9" s="54">
        <f t="shared" ref="AC9:AC52" ca="1" si="12">IFERROR(IF(VLOOKUP($B9,INDIRECT("'"&amp;$AC$6&amp;" Acc Rate'!$B$1:$U$70"),16,FALSE)="","",VLOOKUP($B9,INDIRECT("'"&amp;$AC$6&amp;" Acc Rate'!$B$1:$U$70"),16,FALSE)),"")</f>
        <v>436</v>
      </c>
      <c r="AD9" s="74">
        <f t="shared" ref="AD9:AD52" ca="1" si="13">IFERROR(IF(VLOOKUP($B9,INDIRECT("'"&amp;$AC$6&amp;" Acc Rate'!$B$1:$U$70"),20,FALSE)="","",VLOOKUP($B9,INDIRECT("'"&amp;$AC$6&amp;" Acc Rate'!$B$1:$U$70"),20,FALSE)),"")</f>
        <v>0</v>
      </c>
      <c r="AE9" s="54" t="str">
        <f t="shared" ref="AE9:AE52" ca="1" si="14">IFERROR(IF(VLOOKUP($B9,INDIRECT("'"&amp;$AE$6&amp;" Acc Rate'!$B$1:$U$70"),16,FALSE)="","",VLOOKUP($B9,INDIRECT("'"&amp;$AE$6&amp;" Acc Rate'!$B$1:$U$70"),16,FALSE)),"")</f>
        <v/>
      </c>
      <c r="AF9" s="74" t="str">
        <f t="shared" ref="AF9:AF52" ca="1" si="15">IFERROR(IF(VLOOKUP($B9,INDIRECT("'"&amp;$AE$6&amp;" Acc Rate'!$B$1:$U$70"),20,FALSE)="","",VLOOKUP($B9,INDIRECT("'"&amp;$AE$6&amp;" Acc Rate'!$B$1:$U$70"),20,FALSE)),"")</f>
        <v/>
      </c>
      <c r="AG9" s="54" t="str">
        <f t="shared" ref="AG9:AG52" ca="1" si="16">IFERROR(IF(VLOOKUP($B9,INDIRECT("'"&amp;$AG$6&amp;" Acc Rate'!$B$1:$U$70"),16,FALSE)="","",VLOOKUP($B9,INDIRECT("'"&amp;$AG$6&amp;" Acc Rate'!$B$1:$U$70"),16,FALSE)),"")</f>
        <v/>
      </c>
      <c r="AH9" s="74" t="str">
        <f t="shared" ref="AH9:AH52" ca="1" si="17">IFERROR(IF(VLOOKUP($B9,INDIRECT("'"&amp;$AG$6&amp;" Acc Rate'!$B$1:$U$70"),20,FALSE)="","",VLOOKUP($B9,INDIRECT("'"&amp;$AG$6&amp;" Acc Rate'!$B$1:$U$70"),20,FALSE)),"")</f>
        <v/>
      </c>
      <c r="AI9" s="54" t="str">
        <f t="shared" ref="AI9:AI52" ca="1" si="18">IFERROR(IF(VLOOKUP($B9,INDIRECT("'"&amp;$AI$6&amp;" Acc Rate'!$B$1:$U$70"),16,FALSE)="","",VLOOKUP($B9,INDIRECT("'"&amp;$AI$6&amp;" Acc Rate'!$B$1:$U$70"),16,FALSE)),"")</f>
        <v/>
      </c>
      <c r="AJ9" s="74" t="str">
        <f t="shared" ref="AJ9:AJ52" ca="1" si="19">IFERROR(IF(VLOOKUP($B9,INDIRECT("'"&amp;$AI$6&amp;" Acc Rate'!$B$1:$U$70"),20,FALSE)="","",VLOOKUP($B9,INDIRECT("'"&amp;$AI$6&amp;" Acc Rate'!$B$1:$U$70"),20,FALSE)),"")</f>
        <v/>
      </c>
      <c r="AK9" s="54" t="str">
        <f t="shared" ref="AK9:AK52" ca="1" si="20">IFERROR(IF(VLOOKUP($B9,INDIRECT("'"&amp;$AK$6&amp;" Acc Rate'!$B$1:$U$70"),16,FALSE)="","",VLOOKUP($B9,INDIRECT("'"&amp;$AK$6&amp;" Acc Rate'!$B$1:$U$70"),16,FALSE)),"")</f>
        <v/>
      </c>
      <c r="AL9" s="74" t="str">
        <f t="shared" ref="AL9:AL52" ca="1" si="21">IFERROR(IF(VLOOKUP($B9,INDIRECT("'"&amp;$AK$6&amp;" Acc Rate'!$B$1:$U$70"),20,FALSE)="","",VLOOKUP($B9,INDIRECT("'"&amp;$AK$6&amp;" Acc Rate'!$B$1:$U$70"),20,FALSE)),"")</f>
        <v/>
      </c>
      <c r="AM9" s="54" t="str">
        <f t="shared" ref="AM9:AM52" ca="1" si="22">IFERROR(IF(VLOOKUP($B9,INDIRECT("'"&amp;$AM$6&amp;" Acc Rate'!$B$1:$U$70"),16,FALSE)="","",VLOOKUP($B9,INDIRECT("'"&amp;$AM$6&amp;" Acc Rate'!$B$1:$U$70"),16,FALSE)),"")</f>
        <v/>
      </c>
      <c r="AN9" s="74" t="str">
        <f t="shared" ref="AN9:AN52" ca="1" si="23">IFERROR(IF(VLOOKUP($B9,INDIRECT("'"&amp;$AM$6&amp;" Acc Rate'!$B$1:$U$70"),20,FALSE)="","",VLOOKUP($B9,INDIRECT("'"&amp;$AM$6&amp;" Acc Rate'!$B$1:$U$70"),20,FALSE)),"")</f>
        <v/>
      </c>
      <c r="AO9" s="54" t="str">
        <f t="shared" ref="AO9:AO52" ca="1" si="24">IFERROR(IF(VLOOKUP($B9,INDIRECT("'"&amp;$AO$6&amp;" Acc Rate'!$B$1:$U$70"),16,FALSE)="","",VLOOKUP($B9,INDIRECT("'"&amp;$AO$6&amp;" Acc Rate'!$B$1:$U$70"),16,FALSE)),"")</f>
        <v/>
      </c>
      <c r="AP9" s="74" t="str">
        <f t="shared" ref="AP9:AP52" ca="1" si="25">IFERROR(IF(VLOOKUP($B9,INDIRECT("'"&amp;$AO$6&amp;" Acc Rate'!$B$1:$U$70"),20,FALSE)="","",VLOOKUP($B9,INDIRECT("'"&amp;$AO$6&amp;" Acc Rate'!$B$1:$U$70"),20,FALSE)),"")</f>
        <v/>
      </c>
      <c r="AQ9" s="54" t="str">
        <f t="shared" ref="AQ9:AQ52" ca="1" si="26">IFERROR(IF(VLOOKUP($B9,INDIRECT("'"&amp;$AQ$6&amp;" Acc Rate'!$B$1:$U$70"),16,FALSE)="","",VLOOKUP($B9,INDIRECT("'"&amp;$AQ$6&amp;" Acc Rate'!$B$1:$U$70"),16,FALSE)),"")</f>
        <v/>
      </c>
      <c r="AR9" s="74" t="str">
        <f t="shared" ref="AR9:AR52" ca="1" si="27">IFERROR(IF(VLOOKUP($B9,INDIRECT("'"&amp;$AQ$6&amp;" Acc Rate'!$B$1:$U$70"),20,FALSE)="","",VLOOKUP($B9,INDIRECT("'"&amp;$AQ$6&amp;" Acc Rate'!$B$1:$U$70"),20,FALSE)),"")</f>
        <v/>
      </c>
    </row>
    <row r="10" spans="2:44" ht="15" customHeight="1" x14ac:dyDescent="0.25">
      <c r="B10" s="1" t="s">
        <v>3070</v>
      </c>
      <c r="C10" s="1" t="s">
        <v>325</v>
      </c>
      <c r="D10" s="1" t="s">
        <v>1451</v>
      </c>
      <c r="E10" s="1" t="s">
        <v>3071</v>
      </c>
      <c r="F10" s="1" t="s">
        <v>3072</v>
      </c>
      <c r="G10" s="1" t="s">
        <v>3073</v>
      </c>
      <c r="H10" s="1" t="s">
        <v>460</v>
      </c>
      <c r="I10" s="1" t="s">
        <v>3074</v>
      </c>
      <c r="J10" s="1" t="s">
        <v>2033</v>
      </c>
      <c r="K10" s="1" t="s">
        <v>3074</v>
      </c>
      <c r="L10" s="1"/>
      <c r="M10" s="1"/>
      <c r="N10" s="1"/>
      <c r="O10" s="1"/>
      <c r="P10" s="1"/>
      <c r="Q10" s="73" t="str">
        <f t="shared" ca="1" si="0"/>
        <v/>
      </c>
      <c r="R10" s="74" t="str">
        <f t="shared" ca="1" si="1"/>
        <v/>
      </c>
      <c r="S10" s="54" t="str">
        <f t="shared" ca="1" si="2"/>
        <v/>
      </c>
      <c r="T10" s="74" t="str">
        <f t="shared" ca="1" si="3"/>
        <v/>
      </c>
      <c r="U10" s="54" t="str">
        <f t="shared" ca="1" si="4"/>
        <v/>
      </c>
      <c r="V10" s="74" t="str">
        <f t="shared" ca="1" si="5"/>
        <v/>
      </c>
      <c r="W10" s="54" t="str">
        <f t="shared" ca="1" si="6"/>
        <v/>
      </c>
      <c r="X10" s="74" t="str">
        <f t="shared" ca="1" si="7"/>
        <v/>
      </c>
      <c r="Y10" s="54" t="str">
        <f t="shared" ca="1" si="8"/>
        <v/>
      </c>
      <c r="Z10" s="74" t="str">
        <f t="shared" ca="1" si="9"/>
        <v/>
      </c>
      <c r="AA10" s="54" t="str">
        <f t="shared" ca="1" si="10"/>
        <v/>
      </c>
      <c r="AB10" s="74" t="str">
        <f t="shared" ca="1" si="11"/>
        <v/>
      </c>
      <c r="AC10" s="54" t="str">
        <f t="shared" ca="1" si="12"/>
        <v/>
      </c>
      <c r="AD10" s="74" t="str">
        <f t="shared" ca="1" si="13"/>
        <v/>
      </c>
      <c r="AE10" s="54" t="str">
        <f t="shared" ca="1" si="14"/>
        <v/>
      </c>
      <c r="AF10" s="74" t="str">
        <f t="shared" ca="1" si="15"/>
        <v/>
      </c>
      <c r="AG10" s="54" t="str">
        <f t="shared" ca="1" si="16"/>
        <v/>
      </c>
      <c r="AH10" s="74" t="str">
        <f t="shared" ca="1" si="17"/>
        <v/>
      </c>
      <c r="AI10" s="54" t="str">
        <f t="shared" ca="1" si="18"/>
        <v/>
      </c>
      <c r="AJ10" s="74" t="str">
        <f t="shared" ca="1" si="19"/>
        <v/>
      </c>
      <c r="AK10" s="54" t="str">
        <f t="shared" ca="1" si="20"/>
        <v/>
      </c>
      <c r="AL10" s="74" t="str">
        <f t="shared" ca="1" si="21"/>
        <v/>
      </c>
      <c r="AM10" s="54" t="str">
        <f t="shared" ca="1" si="22"/>
        <v/>
      </c>
      <c r="AN10" s="74" t="str">
        <f t="shared" ca="1" si="23"/>
        <v/>
      </c>
      <c r="AO10" s="54" t="str">
        <f t="shared" ca="1" si="24"/>
        <v/>
      </c>
      <c r="AP10" s="74" t="str">
        <f t="shared" ca="1" si="25"/>
        <v/>
      </c>
      <c r="AQ10" s="54" t="str">
        <f t="shared" ca="1" si="26"/>
        <v/>
      </c>
      <c r="AR10" s="74" t="str">
        <f t="shared" ca="1" si="27"/>
        <v/>
      </c>
    </row>
    <row r="11" spans="2:44" ht="15" customHeight="1" x14ac:dyDescent="0.25">
      <c r="B11" s="1" t="s">
        <v>525</v>
      </c>
      <c r="C11" s="1" t="s">
        <v>277</v>
      </c>
      <c r="D11" s="1" t="s">
        <v>278</v>
      </c>
      <c r="E11" s="1" t="s">
        <v>526</v>
      </c>
      <c r="F11" s="1" t="s">
        <v>527</v>
      </c>
      <c r="G11" s="1" t="s">
        <v>528</v>
      </c>
      <c r="H11" s="1" t="s">
        <v>460</v>
      </c>
      <c r="I11" s="1" t="s">
        <v>529</v>
      </c>
      <c r="J11" s="1" t="s">
        <v>2033</v>
      </c>
      <c r="K11" s="1" t="s">
        <v>509</v>
      </c>
      <c r="L11" s="1"/>
      <c r="M11" s="1">
        <v>15</v>
      </c>
      <c r="N11" s="1" t="s">
        <v>530</v>
      </c>
      <c r="O11" s="1">
        <v>219</v>
      </c>
      <c r="P11" s="1">
        <v>25</v>
      </c>
      <c r="Q11" s="73">
        <f t="shared" ca="1" si="0"/>
        <v>2088</v>
      </c>
      <c r="R11" s="74">
        <f t="shared" ca="1" si="1"/>
        <v>4.3338029955994209E-3</v>
      </c>
      <c r="S11" s="54">
        <f t="shared" ca="1" si="2"/>
        <v>265</v>
      </c>
      <c r="T11" s="74">
        <f t="shared" ca="1" si="3"/>
        <v>0</v>
      </c>
      <c r="U11" s="54">
        <f t="shared" ca="1" si="4"/>
        <v>196</v>
      </c>
      <c r="V11" s="74">
        <f t="shared" ca="1" si="5"/>
        <v>0</v>
      </c>
      <c r="W11" s="54">
        <f t="shared" ca="1" si="6"/>
        <v>383</v>
      </c>
      <c r="X11" s="74">
        <f t="shared" ca="1" si="7"/>
        <v>2.0887728459530026E-2</v>
      </c>
      <c r="Y11" s="54">
        <f t="shared" ca="1" si="8"/>
        <v>461</v>
      </c>
      <c r="Z11" s="74">
        <f t="shared" ca="1" si="9"/>
        <v>0</v>
      </c>
      <c r="AA11" s="54">
        <f t="shared" ca="1" si="10"/>
        <v>392</v>
      </c>
      <c r="AB11" s="74">
        <f t="shared" ca="1" si="11"/>
        <v>0</v>
      </c>
      <c r="AC11" s="54">
        <f t="shared" ca="1" si="12"/>
        <v>391</v>
      </c>
      <c r="AD11" s="74">
        <f t="shared" ca="1" si="13"/>
        <v>5.1150895140664966E-3</v>
      </c>
      <c r="AE11" s="54" t="str">
        <f t="shared" ca="1" si="14"/>
        <v/>
      </c>
      <c r="AF11" s="74" t="str">
        <f t="shared" ca="1" si="15"/>
        <v/>
      </c>
      <c r="AG11" s="54" t="str">
        <f t="shared" ca="1" si="16"/>
        <v/>
      </c>
      <c r="AH11" s="74" t="str">
        <f t="shared" ca="1" si="17"/>
        <v/>
      </c>
      <c r="AI11" s="54" t="str">
        <f t="shared" ca="1" si="18"/>
        <v/>
      </c>
      <c r="AJ11" s="74" t="str">
        <f t="shared" ca="1" si="19"/>
        <v/>
      </c>
      <c r="AK11" s="54" t="str">
        <f t="shared" ca="1" si="20"/>
        <v/>
      </c>
      <c r="AL11" s="74" t="str">
        <f t="shared" ca="1" si="21"/>
        <v/>
      </c>
      <c r="AM11" s="54" t="str">
        <f t="shared" ca="1" si="22"/>
        <v/>
      </c>
      <c r="AN11" s="74" t="str">
        <f t="shared" ca="1" si="23"/>
        <v/>
      </c>
      <c r="AO11" s="54" t="str">
        <f t="shared" ca="1" si="24"/>
        <v/>
      </c>
      <c r="AP11" s="74" t="str">
        <f t="shared" ca="1" si="25"/>
        <v/>
      </c>
      <c r="AQ11" s="54" t="str">
        <f t="shared" ca="1" si="26"/>
        <v/>
      </c>
      <c r="AR11" s="74" t="str">
        <f t="shared" ca="1" si="27"/>
        <v/>
      </c>
    </row>
    <row r="12" spans="2:44" ht="15" customHeight="1" x14ac:dyDescent="0.25">
      <c r="B12" s="1" t="s">
        <v>475</v>
      </c>
      <c r="C12" s="1" t="s">
        <v>362</v>
      </c>
      <c r="D12" s="1" t="s">
        <v>394</v>
      </c>
      <c r="E12" s="1" t="s">
        <v>476</v>
      </c>
      <c r="F12" s="1" t="s">
        <v>175</v>
      </c>
      <c r="G12" s="1" t="s">
        <v>477</v>
      </c>
      <c r="H12" s="1" t="s">
        <v>460</v>
      </c>
      <c r="I12" s="1" t="s">
        <v>478</v>
      </c>
      <c r="J12" s="1" t="s">
        <v>2033</v>
      </c>
      <c r="K12" s="1" t="s">
        <v>509</v>
      </c>
      <c r="L12" s="1" t="s">
        <v>480</v>
      </c>
      <c r="M12" s="1">
        <v>15</v>
      </c>
      <c r="N12" s="1" t="s">
        <v>481</v>
      </c>
      <c r="O12" s="1">
        <v>67</v>
      </c>
      <c r="P12" s="1">
        <v>20</v>
      </c>
      <c r="Q12" s="73">
        <f t="shared" ca="1" si="0"/>
        <v>1261</v>
      </c>
      <c r="R12" s="74">
        <f t="shared" ca="1" si="1"/>
        <v>1.2345679012345679E-3</v>
      </c>
      <c r="S12" s="54">
        <f t="shared" ca="1" si="2"/>
        <v>213</v>
      </c>
      <c r="T12" s="74">
        <f t="shared" ca="1" si="3"/>
        <v>0</v>
      </c>
      <c r="U12" s="54">
        <f t="shared" ca="1" si="4"/>
        <v>267</v>
      </c>
      <c r="V12" s="74">
        <f t="shared" ca="1" si="5"/>
        <v>0</v>
      </c>
      <c r="W12" s="54">
        <f t="shared" ca="1" si="6"/>
        <v>185</v>
      </c>
      <c r="X12" s="74">
        <f t="shared" ca="1" si="7"/>
        <v>0</v>
      </c>
      <c r="Y12" s="54">
        <f t="shared" ca="1" si="8"/>
        <v>270</v>
      </c>
      <c r="Z12" s="74">
        <f t="shared" ca="1" si="9"/>
        <v>7.4074074074074077E-3</v>
      </c>
      <c r="AA12" s="54">
        <f t="shared" ca="1" si="10"/>
        <v>113</v>
      </c>
      <c r="AB12" s="74">
        <f t="shared" ca="1" si="11"/>
        <v>0</v>
      </c>
      <c r="AC12" s="54">
        <f t="shared" ca="1" si="12"/>
        <v>213</v>
      </c>
      <c r="AD12" s="74">
        <f t="shared" ca="1" si="13"/>
        <v>0</v>
      </c>
      <c r="AE12" s="54" t="str">
        <f t="shared" ca="1" si="14"/>
        <v/>
      </c>
      <c r="AF12" s="74" t="str">
        <f t="shared" ca="1" si="15"/>
        <v/>
      </c>
      <c r="AG12" s="54" t="str">
        <f t="shared" ca="1" si="16"/>
        <v/>
      </c>
      <c r="AH12" s="74" t="str">
        <f t="shared" ca="1" si="17"/>
        <v/>
      </c>
      <c r="AI12" s="54" t="str">
        <f t="shared" ca="1" si="18"/>
        <v/>
      </c>
      <c r="AJ12" s="74" t="str">
        <f t="shared" ca="1" si="19"/>
        <v/>
      </c>
      <c r="AK12" s="54" t="str">
        <f t="shared" ca="1" si="20"/>
        <v/>
      </c>
      <c r="AL12" s="74" t="str">
        <f t="shared" ca="1" si="21"/>
        <v/>
      </c>
      <c r="AM12" s="54" t="str">
        <f t="shared" ca="1" si="22"/>
        <v/>
      </c>
      <c r="AN12" s="74" t="str">
        <f t="shared" ca="1" si="23"/>
        <v/>
      </c>
      <c r="AO12" s="54" t="str">
        <f t="shared" ca="1" si="24"/>
        <v/>
      </c>
      <c r="AP12" s="74" t="str">
        <f t="shared" ca="1" si="25"/>
        <v/>
      </c>
      <c r="AQ12" s="54" t="str">
        <f t="shared" ca="1" si="26"/>
        <v/>
      </c>
      <c r="AR12" s="74" t="str">
        <f t="shared" ca="1" si="27"/>
        <v/>
      </c>
    </row>
    <row r="13" spans="2:44" ht="15" customHeight="1" x14ac:dyDescent="0.25">
      <c r="B13" s="1" t="s">
        <v>542</v>
      </c>
      <c r="C13" s="1" t="s">
        <v>245</v>
      </c>
      <c r="D13" s="1" t="s">
        <v>246</v>
      </c>
      <c r="E13" s="1" t="s">
        <v>543</v>
      </c>
      <c r="F13" s="1" t="s">
        <v>21</v>
      </c>
      <c r="G13" s="1" t="s">
        <v>544</v>
      </c>
      <c r="H13" s="1" t="s">
        <v>460</v>
      </c>
      <c r="I13" s="1" t="s">
        <v>545</v>
      </c>
      <c r="J13" s="1" t="s">
        <v>2033</v>
      </c>
      <c r="K13" s="1" t="s">
        <v>509</v>
      </c>
      <c r="L13" s="1" t="s">
        <v>546</v>
      </c>
      <c r="M13" s="1">
        <v>15</v>
      </c>
      <c r="N13" s="1" t="s">
        <v>547</v>
      </c>
      <c r="O13" s="1">
        <v>209</v>
      </c>
      <c r="P13" s="1">
        <v>40</v>
      </c>
      <c r="Q13" s="73">
        <f t="shared" ca="1" si="0"/>
        <v>2010</v>
      </c>
      <c r="R13" s="74">
        <f t="shared" ca="1" si="1"/>
        <v>3.8095238095238095E-3</v>
      </c>
      <c r="S13" s="54">
        <f t="shared" ca="1" si="2"/>
        <v>358</v>
      </c>
      <c r="T13" s="74">
        <f t="shared" ca="1" si="3"/>
        <v>0</v>
      </c>
      <c r="U13" s="54">
        <f t="shared" ca="1" si="4"/>
        <v>350</v>
      </c>
      <c r="V13" s="74">
        <f t="shared" ca="1" si="5"/>
        <v>2.2857142857142857E-2</v>
      </c>
      <c r="W13" s="54">
        <f t="shared" ca="1" si="6"/>
        <v>315</v>
      </c>
      <c r="X13" s="74">
        <f t="shared" ca="1" si="7"/>
        <v>0</v>
      </c>
      <c r="Y13" s="54">
        <f t="shared" ca="1" si="8"/>
        <v>197</v>
      </c>
      <c r="Z13" s="74">
        <f t="shared" ca="1" si="9"/>
        <v>0</v>
      </c>
      <c r="AA13" s="54">
        <f t="shared" ca="1" si="10"/>
        <v>339</v>
      </c>
      <c r="AB13" s="74">
        <f t="shared" ca="1" si="11"/>
        <v>0</v>
      </c>
      <c r="AC13" s="54">
        <f t="shared" ca="1" si="12"/>
        <v>451</v>
      </c>
      <c r="AD13" s="74">
        <f t="shared" ca="1" si="13"/>
        <v>0</v>
      </c>
      <c r="AE13" s="54" t="str">
        <f t="shared" ca="1" si="14"/>
        <v/>
      </c>
      <c r="AF13" s="74" t="str">
        <f t="shared" ca="1" si="15"/>
        <v/>
      </c>
      <c r="AG13" s="54" t="str">
        <f t="shared" ca="1" si="16"/>
        <v/>
      </c>
      <c r="AH13" s="74" t="str">
        <f t="shared" ca="1" si="17"/>
        <v/>
      </c>
      <c r="AI13" s="54" t="str">
        <f t="shared" ca="1" si="18"/>
        <v/>
      </c>
      <c r="AJ13" s="74" t="str">
        <f t="shared" ca="1" si="19"/>
        <v/>
      </c>
      <c r="AK13" s="54" t="str">
        <f t="shared" ca="1" si="20"/>
        <v/>
      </c>
      <c r="AL13" s="74" t="str">
        <f t="shared" ca="1" si="21"/>
        <v/>
      </c>
      <c r="AM13" s="54" t="str">
        <f t="shared" ca="1" si="22"/>
        <v/>
      </c>
      <c r="AN13" s="74" t="str">
        <f t="shared" ca="1" si="23"/>
        <v/>
      </c>
      <c r="AO13" s="54" t="str">
        <f t="shared" ca="1" si="24"/>
        <v/>
      </c>
      <c r="AP13" s="74" t="str">
        <f t="shared" ca="1" si="25"/>
        <v/>
      </c>
      <c r="AQ13" s="54" t="str">
        <f t="shared" ca="1" si="26"/>
        <v/>
      </c>
      <c r="AR13" s="74" t="str">
        <f t="shared" ca="1" si="27"/>
        <v/>
      </c>
    </row>
    <row r="14" spans="2:44" ht="15" customHeight="1" x14ac:dyDescent="0.25">
      <c r="B14" s="1" t="s">
        <v>492</v>
      </c>
      <c r="C14" s="1" t="s">
        <v>107</v>
      </c>
      <c r="D14" s="1" t="s">
        <v>108</v>
      </c>
      <c r="E14" s="1" t="s">
        <v>493</v>
      </c>
      <c r="F14" s="1" t="s">
        <v>494</v>
      </c>
      <c r="G14" s="1" t="s">
        <v>495</v>
      </c>
      <c r="H14" s="1" t="s">
        <v>460</v>
      </c>
      <c r="I14" s="1" t="s">
        <v>496</v>
      </c>
      <c r="J14" s="1" t="s">
        <v>2033</v>
      </c>
      <c r="K14" s="1" t="s">
        <v>509</v>
      </c>
      <c r="L14" s="1"/>
      <c r="M14" s="1">
        <v>15</v>
      </c>
      <c r="N14" s="1" t="s">
        <v>497</v>
      </c>
      <c r="O14" s="1" t="s">
        <v>498</v>
      </c>
      <c r="P14" s="1">
        <v>40</v>
      </c>
      <c r="Q14" s="73">
        <f t="shared" ca="1" si="0"/>
        <v>6173</v>
      </c>
      <c r="R14" s="74">
        <f t="shared" ca="1" si="1"/>
        <v>1.2827841694832025E-2</v>
      </c>
      <c r="S14" s="54">
        <f t="shared" ca="1" si="2"/>
        <v>1099</v>
      </c>
      <c r="T14" s="74">
        <f t="shared" ca="1" si="3"/>
        <v>2.9117379435850774E-2</v>
      </c>
      <c r="U14" s="54">
        <f t="shared" ca="1" si="4"/>
        <v>1007</v>
      </c>
      <c r="V14" s="74">
        <f t="shared" ca="1" si="5"/>
        <v>1.9860973187686197E-2</v>
      </c>
      <c r="W14" s="54">
        <f t="shared" ca="1" si="6"/>
        <v>971</v>
      </c>
      <c r="X14" s="74">
        <f t="shared" ca="1" si="7"/>
        <v>2.0597322348094747E-3</v>
      </c>
      <c r="Y14" s="54">
        <f t="shared" ca="1" si="8"/>
        <v>979</v>
      </c>
      <c r="Z14" s="74">
        <f t="shared" ca="1" si="9"/>
        <v>2.0429009193054137E-3</v>
      </c>
      <c r="AA14" s="54">
        <f t="shared" ca="1" si="10"/>
        <v>959</v>
      </c>
      <c r="AB14" s="74">
        <f t="shared" ca="1" si="11"/>
        <v>8.3420229405630868E-3</v>
      </c>
      <c r="AC14" s="54">
        <f t="shared" ca="1" si="12"/>
        <v>1158</v>
      </c>
      <c r="AD14" s="74">
        <f t="shared" ca="1" si="13"/>
        <v>1.5544041450777202E-2</v>
      </c>
      <c r="AE14" s="54" t="str">
        <f t="shared" ca="1" si="14"/>
        <v/>
      </c>
      <c r="AF14" s="74" t="str">
        <f t="shared" ca="1" si="15"/>
        <v/>
      </c>
      <c r="AG14" s="54" t="str">
        <f t="shared" ca="1" si="16"/>
        <v/>
      </c>
      <c r="AH14" s="74" t="str">
        <f t="shared" ca="1" si="17"/>
        <v/>
      </c>
      <c r="AI14" s="54" t="str">
        <f t="shared" ca="1" si="18"/>
        <v/>
      </c>
      <c r="AJ14" s="74" t="str">
        <f t="shared" ca="1" si="19"/>
        <v/>
      </c>
      <c r="AK14" s="54" t="str">
        <f t="shared" ca="1" si="20"/>
        <v/>
      </c>
      <c r="AL14" s="74" t="str">
        <f t="shared" ca="1" si="21"/>
        <v/>
      </c>
      <c r="AM14" s="54" t="str">
        <f t="shared" ca="1" si="22"/>
        <v/>
      </c>
      <c r="AN14" s="74" t="str">
        <f t="shared" ca="1" si="23"/>
        <v/>
      </c>
      <c r="AO14" s="54" t="str">
        <f t="shared" ca="1" si="24"/>
        <v/>
      </c>
      <c r="AP14" s="74" t="str">
        <f t="shared" ca="1" si="25"/>
        <v/>
      </c>
      <c r="AQ14" s="54" t="str">
        <f t="shared" ca="1" si="26"/>
        <v/>
      </c>
      <c r="AR14" s="74" t="str">
        <f t="shared" ca="1" si="27"/>
        <v/>
      </c>
    </row>
    <row r="15" spans="2:44" ht="15" customHeight="1" x14ac:dyDescent="0.25">
      <c r="B15" s="1" t="s">
        <v>512</v>
      </c>
      <c r="C15" s="1" t="s">
        <v>371</v>
      </c>
      <c r="D15" s="1" t="s">
        <v>372</v>
      </c>
      <c r="E15" s="1" t="s">
        <v>513</v>
      </c>
      <c r="F15" s="1" t="s">
        <v>34</v>
      </c>
      <c r="G15" s="1" t="s">
        <v>514</v>
      </c>
      <c r="H15" s="1" t="s">
        <v>460</v>
      </c>
      <c r="I15" s="1" t="s">
        <v>515</v>
      </c>
      <c r="J15" s="1" t="s">
        <v>470</v>
      </c>
      <c r="K15" s="1"/>
      <c r="L15" s="1" t="s">
        <v>516</v>
      </c>
      <c r="M15" s="1">
        <v>15</v>
      </c>
      <c r="N15" s="1" t="s">
        <v>517</v>
      </c>
      <c r="O15" s="1">
        <v>132</v>
      </c>
      <c r="P15" s="1">
        <v>40</v>
      </c>
      <c r="Q15" s="73">
        <f t="shared" ca="1" si="0"/>
        <v>2766</v>
      </c>
      <c r="R15" s="74">
        <f t="shared" ca="1" si="1"/>
        <v>4.2334096109839818E-3</v>
      </c>
      <c r="S15" s="54">
        <f t="shared" ca="1" si="2"/>
        <v>498</v>
      </c>
      <c r="T15" s="74">
        <f t="shared" ca="1" si="3"/>
        <v>0</v>
      </c>
      <c r="U15" s="54">
        <f t="shared" ca="1" si="4"/>
        <v>450</v>
      </c>
      <c r="V15" s="74">
        <f t="shared" ca="1" si="5"/>
        <v>0</v>
      </c>
      <c r="W15" s="54">
        <f t="shared" ca="1" si="6"/>
        <v>493</v>
      </c>
      <c r="X15" s="74">
        <f t="shared" ca="1" si="7"/>
        <v>0</v>
      </c>
      <c r="Y15" s="54">
        <f t="shared" ca="1" si="8"/>
        <v>485</v>
      </c>
      <c r="Z15" s="74">
        <f t="shared" ca="1" si="9"/>
        <v>0</v>
      </c>
      <c r="AA15" s="54">
        <f t="shared" ca="1" si="10"/>
        <v>380</v>
      </c>
      <c r="AB15" s="74">
        <f t="shared" ca="1" si="11"/>
        <v>2.1052631578947368E-2</v>
      </c>
      <c r="AC15" s="54">
        <f t="shared" ca="1" si="12"/>
        <v>460</v>
      </c>
      <c r="AD15" s="74">
        <f t="shared" ca="1" si="13"/>
        <v>4.3478260869565218E-3</v>
      </c>
      <c r="AE15" s="54" t="str">
        <f t="shared" ca="1" si="14"/>
        <v/>
      </c>
      <c r="AF15" s="74" t="str">
        <f t="shared" ca="1" si="15"/>
        <v/>
      </c>
      <c r="AG15" s="54" t="str">
        <f t="shared" ca="1" si="16"/>
        <v/>
      </c>
      <c r="AH15" s="74" t="str">
        <f t="shared" ca="1" si="17"/>
        <v/>
      </c>
      <c r="AI15" s="54" t="str">
        <f t="shared" ca="1" si="18"/>
        <v/>
      </c>
      <c r="AJ15" s="74" t="str">
        <f t="shared" ca="1" si="19"/>
        <v/>
      </c>
      <c r="AK15" s="54" t="str">
        <f t="shared" ca="1" si="20"/>
        <v/>
      </c>
      <c r="AL15" s="74" t="str">
        <f t="shared" ca="1" si="21"/>
        <v/>
      </c>
      <c r="AM15" s="54" t="str">
        <f t="shared" ca="1" si="22"/>
        <v/>
      </c>
      <c r="AN15" s="74" t="str">
        <f t="shared" ca="1" si="23"/>
        <v/>
      </c>
      <c r="AO15" s="54" t="str">
        <f t="shared" ca="1" si="24"/>
        <v/>
      </c>
      <c r="AP15" s="74" t="str">
        <f t="shared" ca="1" si="25"/>
        <v/>
      </c>
      <c r="AQ15" s="54" t="str">
        <f t="shared" ca="1" si="26"/>
        <v/>
      </c>
      <c r="AR15" s="74" t="str">
        <f t="shared" ca="1" si="27"/>
        <v/>
      </c>
    </row>
    <row r="16" spans="2:44" ht="15" customHeight="1" x14ac:dyDescent="0.25">
      <c r="B16" s="1" t="s">
        <v>518</v>
      </c>
      <c r="C16" s="1" t="s">
        <v>296</v>
      </c>
      <c r="D16" s="1" t="s">
        <v>297</v>
      </c>
      <c r="E16" s="1" t="s">
        <v>519</v>
      </c>
      <c r="F16" s="1" t="s">
        <v>520</v>
      </c>
      <c r="G16" s="1" t="s">
        <v>521</v>
      </c>
      <c r="H16" s="1" t="s">
        <v>460</v>
      </c>
      <c r="I16" s="1" t="s">
        <v>522</v>
      </c>
      <c r="J16" s="1" t="s">
        <v>523</v>
      </c>
      <c r="K16" s="1" t="s">
        <v>515</v>
      </c>
      <c r="L16" s="1"/>
      <c r="M16" s="1">
        <v>15</v>
      </c>
      <c r="N16" s="1" t="s">
        <v>524</v>
      </c>
      <c r="O16" s="1">
        <v>719</v>
      </c>
      <c r="P16" s="1">
        <v>40</v>
      </c>
      <c r="Q16" s="73">
        <f t="shared" ca="1" si="0"/>
        <v>2948</v>
      </c>
      <c r="R16" s="74">
        <f t="shared" ca="1" si="1"/>
        <v>9.6370270914798873E-3</v>
      </c>
      <c r="S16" s="54">
        <f t="shared" ca="1" si="2"/>
        <v>668</v>
      </c>
      <c r="T16" s="74">
        <f t="shared" ca="1" si="3"/>
        <v>2.9940119760479044E-3</v>
      </c>
      <c r="U16" s="54">
        <f t="shared" ca="1" si="4"/>
        <v>521</v>
      </c>
      <c r="V16" s="74">
        <f t="shared" ca="1" si="5"/>
        <v>0</v>
      </c>
      <c r="W16" s="54">
        <f t="shared" ca="1" si="6"/>
        <v>467</v>
      </c>
      <c r="X16" s="74">
        <f t="shared" ca="1" si="7"/>
        <v>0</v>
      </c>
      <c r="Y16" s="54">
        <f t="shared" ca="1" si="8"/>
        <v>156</v>
      </c>
      <c r="Z16" s="74">
        <f t="shared" ca="1" si="9"/>
        <v>5.128205128205128E-2</v>
      </c>
      <c r="AA16" s="54">
        <f t="shared" ca="1" si="10"/>
        <v>564</v>
      </c>
      <c r="AB16" s="74">
        <f t="shared" ca="1" si="11"/>
        <v>3.5460992907801418E-3</v>
      </c>
      <c r="AC16" s="54">
        <f t="shared" ca="1" si="12"/>
        <v>572</v>
      </c>
      <c r="AD16" s="74">
        <f t="shared" ca="1" si="13"/>
        <v>0</v>
      </c>
      <c r="AE16" s="54" t="str">
        <f t="shared" ca="1" si="14"/>
        <v/>
      </c>
      <c r="AF16" s="74" t="str">
        <f t="shared" ca="1" si="15"/>
        <v/>
      </c>
      <c r="AG16" s="54" t="str">
        <f t="shared" ca="1" si="16"/>
        <v/>
      </c>
      <c r="AH16" s="74" t="str">
        <f t="shared" ca="1" si="17"/>
        <v/>
      </c>
      <c r="AI16" s="54" t="str">
        <f t="shared" ca="1" si="18"/>
        <v/>
      </c>
      <c r="AJ16" s="74" t="str">
        <f t="shared" ca="1" si="19"/>
        <v/>
      </c>
      <c r="AK16" s="54" t="str">
        <f t="shared" ca="1" si="20"/>
        <v/>
      </c>
      <c r="AL16" s="74" t="str">
        <f t="shared" ca="1" si="21"/>
        <v/>
      </c>
      <c r="AM16" s="54" t="str">
        <f t="shared" ca="1" si="22"/>
        <v/>
      </c>
      <c r="AN16" s="74" t="str">
        <f t="shared" ca="1" si="23"/>
        <v/>
      </c>
      <c r="AO16" s="54" t="str">
        <f t="shared" ca="1" si="24"/>
        <v/>
      </c>
      <c r="AP16" s="74" t="str">
        <f t="shared" ca="1" si="25"/>
        <v/>
      </c>
      <c r="AQ16" s="54" t="str">
        <f t="shared" ca="1" si="26"/>
        <v/>
      </c>
      <c r="AR16" s="74" t="str">
        <f t="shared" ca="1" si="27"/>
        <v/>
      </c>
    </row>
    <row r="17" spans="2:44" ht="15" customHeight="1" x14ac:dyDescent="0.25">
      <c r="B17" s="1" t="s">
        <v>531</v>
      </c>
      <c r="C17" s="1" t="s">
        <v>325</v>
      </c>
      <c r="D17" s="1" t="s">
        <v>278</v>
      </c>
      <c r="E17" s="1" t="s">
        <v>532</v>
      </c>
      <c r="F17" s="1" t="s">
        <v>244</v>
      </c>
      <c r="G17" s="1" t="s">
        <v>533</v>
      </c>
      <c r="H17" s="1" t="s">
        <v>460</v>
      </c>
      <c r="I17" s="1" t="s">
        <v>534</v>
      </c>
      <c r="J17" s="1" t="s">
        <v>523</v>
      </c>
      <c r="K17" s="1" t="s">
        <v>515</v>
      </c>
      <c r="L17" s="1" t="s">
        <v>535</v>
      </c>
      <c r="M17" s="1">
        <v>15</v>
      </c>
      <c r="N17" s="1" t="s">
        <v>536</v>
      </c>
      <c r="O17" s="1">
        <v>142</v>
      </c>
      <c r="P17" s="1">
        <v>25</v>
      </c>
      <c r="Q17" s="73">
        <f t="shared" ca="1" si="0"/>
        <v>480</v>
      </c>
      <c r="R17" s="74">
        <f t="shared" ca="1" si="1"/>
        <v>0</v>
      </c>
      <c r="S17" s="54">
        <f t="shared" ca="1" si="2"/>
        <v>79</v>
      </c>
      <c r="T17" s="74">
        <f t="shared" ca="1" si="3"/>
        <v>0</v>
      </c>
      <c r="U17" s="54">
        <f t="shared" ca="1" si="4"/>
        <v>105</v>
      </c>
      <c r="V17" s="74">
        <f t="shared" ca="1" si="5"/>
        <v>0</v>
      </c>
      <c r="W17" s="54">
        <f t="shared" ca="1" si="6"/>
        <v>40</v>
      </c>
      <c r="X17" s="74">
        <f t="shared" ca="1" si="7"/>
        <v>0</v>
      </c>
      <c r="Y17" s="54">
        <f t="shared" ca="1" si="8"/>
        <v>124</v>
      </c>
      <c r="Z17" s="74">
        <f t="shared" ca="1" si="9"/>
        <v>0</v>
      </c>
      <c r="AA17" s="54">
        <f t="shared" ca="1" si="10"/>
        <v>27</v>
      </c>
      <c r="AB17" s="74">
        <f t="shared" ca="1" si="11"/>
        <v>0</v>
      </c>
      <c r="AC17" s="54">
        <f t="shared" ca="1" si="12"/>
        <v>105</v>
      </c>
      <c r="AD17" s="74">
        <f t="shared" ca="1" si="13"/>
        <v>0</v>
      </c>
      <c r="AE17" s="54" t="str">
        <f t="shared" ca="1" si="14"/>
        <v/>
      </c>
      <c r="AF17" s="74" t="str">
        <f t="shared" ca="1" si="15"/>
        <v/>
      </c>
      <c r="AG17" s="54" t="str">
        <f t="shared" ca="1" si="16"/>
        <v/>
      </c>
      <c r="AH17" s="74" t="str">
        <f t="shared" ca="1" si="17"/>
        <v/>
      </c>
      <c r="AI17" s="54" t="str">
        <f t="shared" ca="1" si="18"/>
        <v/>
      </c>
      <c r="AJ17" s="74" t="str">
        <f t="shared" ca="1" si="19"/>
        <v/>
      </c>
      <c r="AK17" s="54" t="str">
        <f t="shared" ca="1" si="20"/>
        <v/>
      </c>
      <c r="AL17" s="74" t="str">
        <f t="shared" ca="1" si="21"/>
        <v/>
      </c>
      <c r="AM17" s="54" t="str">
        <f t="shared" ca="1" si="22"/>
        <v/>
      </c>
      <c r="AN17" s="74" t="str">
        <f t="shared" ca="1" si="23"/>
        <v/>
      </c>
      <c r="AO17" s="54" t="str">
        <f t="shared" ca="1" si="24"/>
        <v/>
      </c>
      <c r="AP17" s="74" t="str">
        <f t="shared" ca="1" si="25"/>
        <v/>
      </c>
      <c r="AQ17" s="54" t="str">
        <f t="shared" ca="1" si="26"/>
        <v/>
      </c>
      <c r="AR17" s="74" t="str">
        <f t="shared" ca="1" si="27"/>
        <v/>
      </c>
    </row>
    <row r="18" spans="2:44" ht="15" customHeight="1" x14ac:dyDescent="0.25">
      <c r="B18" s="1" t="s">
        <v>537</v>
      </c>
      <c r="C18" s="1" t="s">
        <v>64</v>
      </c>
      <c r="D18" s="1" t="s">
        <v>65</v>
      </c>
      <c r="E18" s="1" t="s">
        <v>538</v>
      </c>
      <c r="F18" s="1" t="s">
        <v>114</v>
      </c>
      <c r="G18" s="1" t="s">
        <v>539</v>
      </c>
      <c r="H18" s="1" t="s">
        <v>460</v>
      </c>
      <c r="I18" s="1" t="s">
        <v>540</v>
      </c>
      <c r="J18" s="1" t="s">
        <v>523</v>
      </c>
      <c r="K18" s="1" t="s">
        <v>515</v>
      </c>
      <c r="L18" s="1"/>
      <c r="M18" s="1">
        <v>15</v>
      </c>
      <c r="N18" s="1" t="s">
        <v>541</v>
      </c>
      <c r="O18" s="1">
        <v>716</v>
      </c>
      <c r="P18" s="1">
        <v>25</v>
      </c>
      <c r="Q18" s="73">
        <f t="shared" ca="1" si="0"/>
        <v>3014</v>
      </c>
      <c r="R18" s="74">
        <f t="shared" ca="1" si="1"/>
        <v>1.9184652278177458E-3</v>
      </c>
      <c r="S18" s="54">
        <f t="shared" ca="1" si="2"/>
        <v>560</v>
      </c>
      <c r="T18" s="74">
        <f t="shared" ca="1" si="3"/>
        <v>0</v>
      </c>
      <c r="U18" s="54">
        <f t="shared" ca="1" si="4"/>
        <v>110</v>
      </c>
      <c r="V18" s="74">
        <f t="shared" ca="1" si="5"/>
        <v>0</v>
      </c>
      <c r="W18" s="54">
        <f t="shared" ca="1" si="6"/>
        <v>773</v>
      </c>
      <c r="X18" s="74">
        <f t="shared" ca="1" si="7"/>
        <v>0</v>
      </c>
      <c r="Y18" s="54">
        <f t="shared" ca="1" si="8"/>
        <v>506</v>
      </c>
      <c r="Z18" s="74">
        <f t="shared" ca="1" si="9"/>
        <v>0</v>
      </c>
      <c r="AA18" s="54">
        <f t="shared" ca="1" si="10"/>
        <v>370</v>
      </c>
      <c r="AB18" s="74">
        <f t="shared" ca="1" si="11"/>
        <v>0</v>
      </c>
      <c r="AC18" s="54">
        <f t="shared" ca="1" si="12"/>
        <v>695</v>
      </c>
      <c r="AD18" s="74">
        <f t="shared" ca="1" si="13"/>
        <v>1.1510791366906475E-2</v>
      </c>
      <c r="AE18" s="54" t="str">
        <f t="shared" ca="1" si="14"/>
        <v/>
      </c>
      <c r="AF18" s="74" t="str">
        <f t="shared" ca="1" si="15"/>
        <v/>
      </c>
      <c r="AG18" s="54" t="str">
        <f t="shared" ca="1" si="16"/>
        <v/>
      </c>
      <c r="AH18" s="74" t="str">
        <f t="shared" ca="1" si="17"/>
        <v/>
      </c>
      <c r="AI18" s="54" t="str">
        <f t="shared" ca="1" si="18"/>
        <v/>
      </c>
      <c r="AJ18" s="74" t="str">
        <f t="shared" ca="1" si="19"/>
        <v/>
      </c>
      <c r="AK18" s="54" t="str">
        <f t="shared" ca="1" si="20"/>
        <v/>
      </c>
      <c r="AL18" s="74" t="str">
        <f t="shared" ca="1" si="21"/>
        <v/>
      </c>
      <c r="AM18" s="54" t="str">
        <f t="shared" ca="1" si="22"/>
        <v/>
      </c>
      <c r="AN18" s="74" t="str">
        <f t="shared" ca="1" si="23"/>
        <v/>
      </c>
      <c r="AO18" s="54" t="str">
        <f t="shared" ca="1" si="24"/>
        <v/>
      </c>
      <c r="AP18" s="74" t="str">
        <f t="shared" ca="1" si="25"/>
        <v/>
      </c>
      <c r="AQ18" s="54" t="str">
        <f t="shared" ca="1" si="26"/>
        <v/>
      </c>
      <c r="AR18" s="74" t="str">
        <f t="shared" ca="1" si="27"/>
        <v/>
      </c>
    </row>
    <row r="19" spans="2:44" ht="15" customHeight="1" x14ac:dyDescent="0.25">
      <c r="B19" s="1" t="s">
        <v>484</v>
      </c>
      <c r="C19" s="1" t="s">
        <v>22</v>
      </c>
      <c r="D19" s="1" t="s">
        <v>23</v>
      </c>
      <c r="E19" s="1" t="s">
        <v>485</v>
      </c>
      <c r="F19" s="1" t="s">
        <v>486</v>
      </c>
      <c r="G19" s="1" t="s">
        <v>487</v>
      </c>
      <c r="H19" s="1" t="s">
        <v>460</v>
      </c>
      <c r="I19" s="1" t="s">
        <v>488</v>
      </c>
      <c r="J19" s="1" t="s">
        <v>523</v>
      </c>
      <c r="K19" s="1" t="s">
        <v>515</v>
      </c>
      <c r="L19" s="1"/>
      <c r="M19" s="1">
        <v>15</v>
      </c>
      <c r="N19" s="1" t="s">
        <v>489</v>
      </c>
      <c r="O19" s="1">
        <v>2117</v>
      </c>
      <c r="P19" s="1">
        <v>40</v>
      </c>
      <c r="Q19" s="73">
        <f t="shared" ca="1" si="0"/>
        <v>4395</v>
      </c>
      <c r="R19" s="74">
        <f t="shared" ca="1" si="1"/>
        <v>6.8176393364363279E-3</v>
      </c>
      <c r="S19" s="54">
        <f t="shared" ca="1" si="2"/>
        <v>644</v>
      </c>
      <c r="T19" s="74">
        <f t="shared" ca="1" si="3"/>
        <v>0</v>
      </c>
      <c r="U19" s="54">
        <f t="shared" ca="1" si="4"/>
        <v>656</v>
      </c>
      <c r="V19" s="74">
        <f t="shared" ca="1" si="5"/>
        <v>0</v>
      </c>
      <c r="W19" s="54">
        <f t="shared" ca="1" si="6"/>
        <v>784</v>
      </c>
      <c r="X19" s="74">
        <f t="shared" ca="1" si="7"/>
        <v>1.020408163265306E-2</v>
      </c>
      <c r="Y19" s="54">
        <f t="shared" ca="1" si="8"/>
        <v>821</v>
      </c>
      <c r="Z19" s="74">
        <f t="shared" ca="1" si="9"/>
        <v>0</v>
      </c>
      <c r="AA19" s="54">
        <f t="shared" ca="1" si="10"/>
        <v>578</v>
      </c>
      <c r="AB19" s="74">
        <f t="shared" ca="1" si="11"/>
        <v>0</v>
      </c>
      <c r="AC19" s="54">
        <f t="shared" ca="1" si="12"/>
        <v>912</v>
      </c>
      <c r="AD19" s="74">
        <f t="shared" ca="1" si="13"/>
        <v>3.0701754385964911E-2</v>
      </c>
      <c r="AE19" s="54" t="str">
        <f t="shared" ca="1" si="14"/>
        <v/>
      </c>
      <c r="AF19" s="74" t="str">
        <f t="shared" ca="1" si="15"/>
        <v/>
      </c>
      <c r="AG19" s="54" t="str">
        <f t="shared" ca="1" si="16"/>
        <v/>
      </c>
      <c r="AH19" s="74" t="str">
        <f t="shared" ca="1" si="17"/>
        <v/>
      </c>
      <c r="AI19" s="54" t="str">
        <f t="shared" ca="1" si="18"/>
        <v/>
      </c>
      <c r="AJ19" s="74" t="str">
        <f t="shared" ca="1" si="19"/>
        <v/>
      </c>
      <c r="AK19" s="54" t="str">
        <f t="shared" ca="1" si="20"/>
        <v/>
      </c>
      <c r="AL19" s="74" t="str">
        <f t="shared" ca="1" si="21"/>
        <v/>
      </c>
      <c r="AM19" s="54" t="str">
        <f t="shared" ca="1" si="22"/>
        <v/>
      </c>
      <c r="AN19" s="74" t="str">
        <f t="shared" ca="1" si="23"/>
        <v/>
      </c>
      <c r="AO19" s="54" t="str">
        <f t="shared" ca="1" si="24"/>
        <v/>
      </c>
      <c r="AP19" s="74" t="str">
        <f t="shared" ca="1" si="25"/>
        <v/>
      </c>
      <c r="AQ19" s="54" t="str">
        <f t="shared" ca="1" si="26"/>
        <v/>
      </c>
      <c r="AR19" s="74" t="str">
        <f t="shared" ca="1" si="27"/>
        <v/>
      </c>
    </row>
    <row r="20" spans="2:44" ht="15" customHeight="1" x14ac:dyDescent="0.25">
      <c r="B20" s="1" t="s">
        <v>500</v>
      </c>
      <c r="C20" s="1" t="s">
        <v>176</v>
      </c>
      <c r="D20" s="1" t="s">
        <v>177</v>
      </c>
      <c r="E20" s="1" t="s">
        <v>501</v>
      </c>
      <c r="F20" s="1" t="s">
        <v>168</v>
      </c>
      <c r="G20" s="1" t="s">
        <v>502</v>
      </c>
      <c r="H20" s="1" t="s">
        <v>460</v>
      </c>
      <c r="I20" s="1" t="s">
        <v>503</v>
      </c>
      <c r="J20" s="1" t="s">
        <v>523</v>
      </c>
      <c r="K20" s="1" t="s">
        <v>515</v>
      </c>
      <c r="L20" s="1"/>
      <c r="M20" s="1">
        <v>15</v>
      </c>
      <c r="N20" s="1" t="s">
        <v>504</v>
      </c>
      <c r="O20" s="1">
        <v>182</v>
      </c>
      <c r="P20" s="1">
        <v>40</v>
      </c>
      <c r="Q20" s="73">
        <f t="shared" ca="1" si="0"/>
        <v>4707</v>
      </c>
      <c r="R20" s="74">
        <f t="shared" ca="1" si="1"/>
        <v>0</v>
      </c>
      <c r="S20" s="54">
        <f t="shared" ca="1" si="2"/>
        <v>477</v>
      </c>
      <c r="T20" s="74">
        <f t="shared" ca="1" si="3"/>
        <v>0</v>
      </c>
      <c r="U20" s="54">
        <f t="shared" ca="1" si="4"/>
        <v>916</v>
      </c>
      <c r="V20" s="74">
        <f t="shared" ca="1" si="5"/>
        <v>0</v>
      </c>
      <c r="W20" s="54">
        <f t="shared" ca="1" si="6"/>
        <v>787</v>
      </c>
      <c r="X20" s="74">
        <f t="shared" ca="1" si="7"/>
        <v>0</v>
      </c>
      <c r="Y20" s="54">
        <f t="shared" ca="1" si="8"/>
        <v>795</v>
      </c>
      <c r="Z20" s="74">
        <f t="shared" ca="1" si="9"/>
        <v>0</v>
      </c>
      <c r="AA20" s="54">
        <f t="shared" ca="1" si="10"/>
        <v>874</v>
      </c>
      <c r="AB20" s="74">
        <f t="shared" ca="1" si="11"/>
        <v>0</v>
      </c>
      <c r="AC20" s="54">
        <f t="shared" ca="1" si="12"/>
        <v>858</v>
      </c>
      <c r="AD20" s="74">
        <f t="shared" ca="1" si="13"/>
        <v>0</v>
      </c>
      <c r="AE20" s="54" t="str">
        <f t="shared" ca="1" si="14"/>
        <v/>
      </c>
      <c r="AF20" s="74" t="str">
        <f t="shared" ca="1" si="15"/>
        <v/>
      </c>
      <c r="AG20" s="54" t="str">
        <f t="shared" ca="1" si="16"/>
        <v/>
      </c>
      <c r="AH20" s="74" t="str">
        <f t="shared" ca="1" si="17"/>
        <v/>
      </c>
      <c r="AI20" s="54" t="str">
        <f t="shared" ca="1" si="18"/>
        <v/>
      </c>
      <c r="AJ20" s="74" t="str">
        <f t="shared" ca="1" si="19"/>
        <v/>
      </c>
      <c r="AK20" s="54" t="str">
        <f t="shared" ca="1" si="20"/>
        <v/>
      </c>
      <c r="AL20" s="74" t="str">
        <f t="shared" ca="1" si="21"/>
        <v/>
      </c>
      <c r="AM20" s="54" t="str">
        <f t="shared" ca="1" si="22"/>
        <v/>
      </c>
      <c r="AN20" s="74" t="str">
        <f t="shared" ca="1" si="23"/>
        <v/>
      </c>
      <c r="AO20" s="54" t="str">
        <f t="shared" ca="1" si="24"/>
        <v/>
      </c>
      <c r="AP20" s="74" t="str">
        <f t="shared" ca="1" si="25"/>
        <v/>
      </c>
      <c r="AQ20" s="54" t="str">
        <f t="shared" ca="1" si="26"/>
        <v/>
      </c>
      <c r="AR20" s="74" t="str">
        <f t="shared" ca="1" si="27"/>
        <v/>
      </c>
    </row>
    <row r="21" spans="2:44" ht="15" customHeight="1" x14ac:dyDescent="0.25">
      <c r="B21" s="1" t="s">
        <v>548</v>
      </c>
      <c r="C21" s="1" t="s">
        <v>396</v>
      </c>
      <c r="D21" s="1" t="s">
        <v>549</v>
      </c>
      <c r="E21" s="1"/>
      <c r="F21" s="1" t="s">
        <v>550</v>
      </c>
      <c r="G21" s="1" t="s">
        <v>551</v>
      </c>
      <c r="H21" s="1" t="s">
        <v>552</v>
      </c>
      <c r="I21" s="1" t="s">
        <v>553</v>
      </c>
      <c r="J21" s="1" t="s">
        <v>554</v>
      </c>
      <c r="K21" s="1"/>
      <c r="L21" s="1"/>
      <c r="M21" s="1">
        <v>6</v>
      </c>
      <c r="N21" s="1"/>
      <c r="O21" s="1"/>
      <c r="P21" s="1"/>
      <c r="Q21" s="73" t="str">
        <f t="shared" ca="1" si="0"/>
        <v/>
      </c>
      <c r="R21" s="74" t="str">
        <f t="shared" ca="1" si="1"/>
        <v/>
      </c>
      <c r="S21" s="54" t="str">
        <f t="shared" ca="1" si="2"/>
        <v/>
      </c>
      <c r="T21" s="74" t="str">
        <f t="shared" ca="1" si="3"/>
        <v/>
      </c>
      <c r="U21" s="54" t="str">
        <f t="shared" ca="1" si="4"/>
        <v/>
      </c>
      <c r="V21" s="74" t="str">
        <f t="shared" ca="1" si="5"/>
        <v/>
      </c>
      <c r="W21" s="54" t="str">
        <f t="shared" ca="1" si="6"/>
        <v/>
      </c>
      <c r="X21" s="74" t="str">
        <f t="shared" ca="1" si="7"/>
        <v/>
      </c>
      <c r="Y21" s="54" t="str">
        <f t="shared" ca="1" si="8"/>
        <v/>
      </c>
      <c r="Z21" s="74" t="str">
        <f t="shared" ca="1" si="9"/>
        <v/>
      </c>
      <c r="AA21" s="54" t="str">
        <f t="shared" ca="1" si="10"/>
        <v/>
      </c>
      <c r="AB21" s="74" t="str">
        <f t="shared" ca="1" si="11"/>
        <v/>
      </c>
      <c r="AC21" s="54" t="str">
        <f t="shared" ca="1" si="12"/>
        <v/>
      </c>
      <c r="AD21" s="74" t="str">
        <f t="shared" ca="1" si="13"/>
        <v/>
      </c>
      <c r="AE21" s="54" t="str">
        <f t="shared" ca="1" si="14"/>
        <v/>
      </c>
      <c r="AF21" s="74" t="str">
        <f t="shared" ca="1" si="15"/>
        <v/>
      </c>
      <c r="AG21" s="54" t="str">
        <f t="shared" ca="1" si="16"/>
        <v/>
      </c>
      <c r="AH21" s="74" t="str">
        <f t="shared" ca="1" si="17"/>
        <v/>
      </c>
      <c r="AI21" s="54" t="str">
        <f t="shared" ca="1" si="18"/>
        <v/>
      </c>
      <c r="AJ21" s="74" t="str">
        <f t="shared" ca="1" si="19"/>
        <v/>
      </c>
      <c r="AK21" s="54" t="str">
        <f t="shared" ca="1" si="20"/>
        <v/>
      </c>
      <c r="AL21" s="74" t="str">
        <f t="shared" ca="1" si="21"/>
        <v/>
      </c>
      <c r="AM21" s="54" t="str">
        <f t="shared" ca="1" si="22"/>
        <v/>
      </c>
      <c r="AN21" s="74" t="str">
        <f t="shared" ca="1" si="23"/>
        <v/>
      </c>
      <c r="AO21" s="54" t="str">
        <f t="shared" ca="1" si="24"/>
        <v/>
      </c>
      <c r="AP21" s="74" t="str">
        <f t="shared" ca="1" si="25"/>
        <v/>
      </c>
      <c r="AQ21" s="54" t="str">
        <f t="shared" ca="1" si="26"/>
        <v/>
      </c>
      <c r="AR21" s="74" t="str">
        <f t="shared" ca="1" si="27"/>
        <v/>
      </c>
    </row>
    <row r="22" spans="2:44" ht="15" customHeight="1" x14ac:dyDescent="0.25">
      <c r="B22" s="1" t="s">
        <v>555</v>
      </c>
      <c r="C22" s="1" t="s">
        <v>556</v>
      </c>
      <c r="D22" s="1" t="s">
        <v>557</v>
      </c>
      <c r="E22" s="1"/>
      <c r="F22" s="1" t="s">
        <v>558</v>
      </c>
      <c r="G22" s="1" t="s">
        <v>559</v>
      </c>
      <c r="H22" s="1" t="s">
        <v>552</v>
      </c>
      <c r="I22" s="1" t="s">
        <v>560</v>
      </c>
      <c r="J22" s="1" t="s">
        <v>561</v>
      </c>
      <c r="K22" s="1" t="s">
        <v>553</v>
      </c>
      <c r="L22" s="1"/>
      <c r="M22" s="1">
        <v>6</v>
      </c>
      <c r="N22" s="1"/>
      <c r="O22" s="1"/>
      <c r="P22" s="1"/>
      <c r="Q22" s="73">
        <f t="shared" ca="1" si="0"/>
        <v>15</v>
      </c>
      <c r="R22" s="74">
        <f t="shared" ca="1" si="1"/>
        <v>0.66666666666666663</v>
      </c>
      <c r="S22" s="54" t="str">
        <f t="shared" ca="1" si="2"/>
        <v/>
      </c>
      <c r="T22" s="74" t="str">
        <f t="shared" ca="1" si="3"/>
        <v/>
      </c>
      <c r="U22" s="54" t="str">
        <f t="shared" ca="1" si="4"/>
        <v/>
      </c>
      <c r="V22" s="74" t="str">
        <f t="shared" ca="1" si="5"/>
        <v/>
      </c>
      <c r="W22" s="54" t="str">
        <f t="shared" ca="1" si="6"/>
        <v/>
      </c>
      <c r="X22" s="74" t="str">
        <f t="shared" ca="1" si="7"/>
        <v/>
      </c>
      <c r="Y22" s="54">
        <f t="shared" ca="1" si="8"/>
        <v>15</v>
      </c>
      <c r="Z22" s="74">
        <f t="shared" ca="1" si="9"/>
        <v>0.66666666666666663</v>
      </c>
      <c r="AA22" s="54" t="str">
        <f t="shared" ca="1" si="10"/>
        <v/>
      </c>
      <c r="AB22" s="74" t="str">
        <f t="shared" ca="1" si="11"/>
        <v/>
      </c>
      <c r="AC22" s="54" t="str">
        <f t="shared" ca="1" si="12"/>
        <v/>
      </c>
      <c r="AD22" s="74" t="str">
        <f t="shared" ca="1" si="13"/>
        <v/>
      </c>
      <c r="AE22" s="54" t="str">
        <f t="shared" ca="1" si="14"/>
        <v/>
      </c>
      <c r="AF22" s="74" t="str">
        <f t="shared" ca="1" si="15"/>
        <v/>
      </c>
      <c r="AG22" s="54" t="str">
        <f t="shared" ca="1" si="16"/>
        <v/>
      </c>
      <c r="AH22" s="74" t="str">
        <f t="shared" ca="1" si="17"/>
        <v/>
      </c>
      <c r="AI22" s="54" t="str">
        <f t="shared" ca="1" si="18"/>
        <v/>
      </c>
      <c r="AJ22" s="74" t="str">
        <f t="shared" ca="1" si="19"/>
        <v/>
      </c>
      <c r="AK22" s="54" t="str">
        <f t="shared" ca="1" si="20"/>
        <v/>
      </c>
      <c r="AL22" s="74" t="str">
        <f t="shared" ca="1" si="21"/>
        <v/>
      </c>
      <c r="AM22" s="54" t="str">
        <f t="shared" ca="1" si="22"/>
        <v/>
      </c>
      <c r="AN22" s="74" t="str">
        <f t="shared" ca="1" si="23"/>
        <v/>
      </c>
      <c r="AO22" s="54" t="str">
        <f t="shared" ca="1" si="24"/>
        <v/>
      </c>
      <c r="AP22" s="74" t="str">
        <f t="shared" ca="1" si="25"/>
        <v/>
      </c>
      <c r="AQ22" s="54" t="str">
        <f t="shared" ca="1" si="26"/>
        <v/>
      </c>
      <c r="AR22" s="74" t="str">
        <f t="shared" ca="1" si="27"/>
        <v/>
      </c>
    </row>
    <row r="23" spans="2:44" ht="15" customHeight="1" x14ac:dyDescent="0.25">
      <c r="B23" s="1" t="s">
        <v>562</v>
      </c>
      <c r="C23" s="1" t="s">
        <v>563</v>
      </c>
      <c r="D23" s="1" t="s">
        <v>564</v>
      </c>
      <c r="E23" s="1"/>
      <c r="F23" s="1" t="s">
        <v>565</v>
      </c>
      <c r="G23" s="1" t="s">
        <v>566</v>
      </c>
      <c r="H23" s="1" t="s">
        <v>552</v>
      </c>
      <c r="I23" s="1" t="s">
        <v>567</v>
      </c>
      <c r="J23" s="1" t="s">
        <v>561</v>
      </c>
      <c r="K23" s="1" t="s">
        <v>553</v>
      </c>
      <c r="L23" s="1"/>
      <c r="M23" s="1">
        <v>6</v>
      </c>
      <c r="N23" s="1"/>
      <c r="O23" s="1"/>
      <c r="P23" s="1"/>
      <c r="Q23" s="73">
        <f t="shared" ca="1" si="0"/>
        <v>3</v>
      </c>
      <c r="R23" s="74">
        <f t="shared" ca="1" si="1"/>
        <v>2.6666666666666665</v>
      </c>
      <c r="S23" s="54" t="str">
        <f t="shared" ca="1" si="2"/>
        <v/>
      </c>
      <c r="T23" s="74" t="str">
        <f t="shared" ca="1" si="3"/>
        <v/>
      </c>
      <c r="U23" s="54" t="str">
        <f t="shared" ca="1" si="4"/>
        <v/>
      </c>
      <c r="V23" s="74" t="str">
        <f t="shared" ca="1" si="5"/>
        <v/>
      </c>
      <c r="W23" s="54" t="str">
        <f t="shared" ca="1" si="6"/>
        <v/>
      </c>
      <c r="X23" s="74" t="str">
        <f t="shared" ca="1" si="7"/>
        <v/>
      </c>
      <c r="Y23" s="54" t="str">
        <f t="shared" ca="1" si="8"/>
        <v/>
      </c>
      <c r="Z23" s="74" t="str">
        <f t="shared" ca="1" si="9"/>
        <v/>
      </c>
      <c r="AA23" s="54">
        <f t="shared" ca="1" si="10"/>
        <v>3</v>
      </c>
      <c r="AB23" s="74">
        <f t="shared" ca="1" si="11"/>
        <v>2.6666666666666665</v>
      </c>
      <c r="AC23" s="54" t="str">
        <f t="shared" ca="1" si="12"/>
        <v/>
      </c>
      <c r="AD23" s="74" t="str">
        <f t="shared" ca="1" si="13"/>
        <v/>
      </c>
      <c r="AE23" s="54" t="str">
        <f t="shared" ca="1" si="14"/>
        <v/>
      </c>
      <c r="AF23" s="74" t="str">
        <f t="shared" ca="1" si="15"/>
        <v/>
      </c>
      <c r="AG23" s="54" t="str">
        <f t="shared" ca="1" si="16"/>
        <v/>
      </c>
      <c r="AH23" s="74" t="str">
        <f t="shared" ca="1" si="17"/>
        <v/>
      </c>
      <c r="AI23" s="54" t="str">
        <f t="shared" ca="1" si="18"/>
        <v/>
      </c>
      <c r="AJ23" s="74" t="str">
        <f t="shared" ca="1" si="19"/>
        <v/>
      </c>
      <c r="AK23" s="54" t="str">
        <f t="shared" ca="1" si="20"/>
        <v/>
      </c>
      <c r="AL23" s="74" t="str">
        <f t="shared" ca="1" si="21"/>
        <v/>
      </c>
      <c r="AM23" s="54" t="str">
        <f t="shared" ca="1" si="22"/>
        <v/>
      </c>
      <c r="AN23" s="74" t="str">
        <f t="shared" ca="1" si="23"/>
        <v/>
      </c>
      <c r="AO23" s="54" t="str">
        <f t="shared" ca="1" si="24"/>
        <v/>
      </c>
      <c r="AP23" s="74" t="str">
        <f t="shared" ca="1" si="25"/>
        <v/>
      </c>
      <c r="AQ23" s="54" t="str">
        <f t="shared" ca="1" si="26"/>
        <v/>
      </c>
      <c r="AR23" s="74" t="str">
        <f t="shared" ca="1" si="27"/>
        <v/>
      </c>
    </row>
    <row r="24" spans="2:44" ht="15" customHeight="1" x14ac:dyDescent="0.25">
      <c r="B24" s="1" t="s">
        <v>574</v>
      </c>
      <c r="C24" s="1" t="s">
        <v>575</v>
      </c>
      <c r="D24" s="1" t="s">
        <v>576</v>
      </c>
      <c r="E24" s="1"/>
      <c r="F24" s="1" t="s">
        <v>577</v>
      </c>
      <c r="G24" s="1" t="s">
        <v>578</v>
      </c>
      <c r="H24" s="1" t="s">
        <v>552</v>
      </c>
      <c r="I24" s="1" t="s">
        <v>579</v>
      </c>
      <c r="J24" s="1" t="s">
        <v>561</v>
      </c>
      <c r="K24" s="1" t="s">
        <v>553</v>
      </c>
      <c r="L24" s="1"/>
      <c r="M24" s="1">
        <v>6</v>
      </c>
      <c r="N24" s="1"/>
      <c r="O24" s="1"/>
      <c r="P24" s="1"/>
      <c r="Q24" s="73" t="str">
        <f t="shared" ca="1" si="0"/>
        <v/>
      </c>
      <c r="R24" s="74" t="str">
        <f t="shared" ca="1" si="1"/>
        <v/>
      </c>
      <c r="S24" s="54" t="str">
        <f t="shared" ca="1" si="2"/>
        <v/>
      </c>
      <c r="T24" s="74" t="str">
        <f t="shared" ca="1" si="3"/>
        <v/>
      </c>
      <c r="U24" s="54" t="str">
        <f t="shared" ca="1" si="4"/>
        <v/>
      </c>
      <c r="V24" s="74" t="str">
        <f t="shared" ca="1" si="5"/>
        <v/>
      </c>
      <c r="W24" s="54" t="str">
        <f t="shared" ca="1" si="6"/>
        <v/>
      </c>
      <c r="X24" s="74" t="str">
        <f t="shared" ca="1" si="7"/>
        <v/>
      </c>
      <c r="Y24" s="54" t="str">
        <f t="shared" ca="1" si="8"/>
        <v/>
      </c>
      <c r="Z24" s="74" t="str">
        <f t="shared" ca="1" si="9"/>
        <v/>
      </c>
      <c r="AA24" s="54" t="str">
        <f t="shared" ca="1" si="10"/>
        <v/>
      </c>
      <c r="AB24" s="74" t="str">
        <f t="shared" ca="1" si="11"/>
        <v/>
      </c>
      <c r="AC24" s="54" t="str">
        <f t="shared" ca="1" si="12"/>
        <v/>
      </c>
      <c r="AD24" s="74" t="str">
        <f t="shared" ca="1" si="13"/>
        <v/>
      </c>
      <c r="AE24" s="54" t="str">
        <f t="shared" ca="1" si="14"/>
        <v/>
      </c>
      <c r="AF24" s="74" t="str">
        <f t="shared" ca="1" si="15"/>
        <v/>
      </c>
      <c r="AG24" s="54" t="str">
        <f t="shared" ca="1" si="16"/>
        <v/>
      </c>
      <c r="AH24" s="74" t="str">
        <f t="shared" ca="1" si="17"/>
        <v/>
      </c>
      <c r="AI24" s="54" t="str">
        <f t="shared" ca="1" si="18"/>
        <v/>
      </c>
      <c r="AJ24" s="74" t="str">
        <f t="shared" ca="1" si="19"/>
        <v/>
      </c>
      <c r="AK24" s="54" t="str">
        <f t="shared" ca="1" si="20"/>
        <v/>
      </c>
      <c r="AL24" s="74" t="str">
        <f t="shared" ca="1" si="21"/>
        <v/>
      </c>
      <c r="AM24" s="54" t="str">
        <f t="shared" ca="1" si="22"/>
        <v/>
      </c>
      <c r="AN24" s="74" t="str">
        <f t="shared" ca="1" si="23"/>
        <v/>
      </c>
      <c r="AO24" s="54" t="str">
        <f t="shared" ca="1" si="24"/>
        <v/>
      </c>
      <c r="AP24" s="74" t="str">
        <f t="shared" ca="1" si="25"/>
        <v/>
      </c>
      <c r="AQ24" s="54" t="str">
        <f t="shared" ca="1" si="26"/>
        <v/>
      </c>
      <c r="AR24" s="74" t="str">
        <f t="shared" ca="1" si="27"/>
        <v/>
      </c>
    </row>
    <row r="25" spans="2:44" ht="15" customHeight="1" x14ac:dyDescent="0.25">
      <c r="B25" s="1" t="s">
        <v>580</v>
      </c>
      <c r="C25" s="1" t="s">
        <v>316</v>
      </c>
      <c r="D25" s="1" t="s">
        <v>581</v>
      </c>
      <c r="E25" s="1"/>
      <c r="F25" s="1" t="s">
        <v>565</v>
      </c>
      <c r="G25" s="1" t="s">
        <v>582</v>
      </c>
      <c r="H25" s="1" t="s">
        <v>583</v>
      </c>
      <c r="I25" s="1" t="s">
        <v>584</v>
      </c>
      <c r="J25" s="1" t="s">
        <v>585</v>
      </c>
      <c r="K25" s="1"/>
      <c r="L25" s="1"/>
      <c r="M25" s="1">
        <v>1</v>
      </c>
      <c r="N25" s="1"/>
      <c r="O25" s="1"/>
      <c r="P25" s="1"/>
      <c r="Q25" s="73" t="str">
        <f t="shared" ca="1" si="0"/>
        <v/>
      </c>
      <c r="R25" s="74" t="str">
        <f t="shared" ca="1" si="1"/>
        <v/>
      </c>
      <c r="S25" s="54" t="str">
        <f t="shared" ca="1" si="2"/>
        <v/>
      </c>
      <c r="T25" s="74" t="str">
        <f t="shared" ca="1" si="3"/>
        <v/>
      </c>
      <c r="U25" s="54" t="str">
        <f t="shared" ca="1" si="4"/>
        <v/>
      </c>
      <c r="V25" s="74" t="str">
        <f t="shared" ca="1" si="5"/>
        <v/>
      </c>
      <c r="W25" s="54" t="str">
        <f t="shared" ca="1" si="6"/>
        <v/>
      </c>
      <c r="X25" s="74" t="str">
        <f t="shared" ca="1" si="7"/>
        <v/>
      </c>
      <c r="Y25" s="54" t="str">
        <f t="shared" ca="1" si="8"/>
        <v/>
      </c>
      <c r="Z25" s="74" t="str">
        <f t="shared" ca="1" si="9"/>
        <v/>
      </c>
      <c r="AA25" s="54" t="str">
        <f t="shared" ca="1" si="10"/>
        <v/>
      </c>
      <c r="AB25" s="74" t="str">
        <f t="shared" ca="1" si="11"/>
        <v/>
      </c>
      <c r="AC25" s="54" t="str">
        <f t="shared" ca="1" si="12"/>
        <v/>
      </c>
      <c r="AD25" s="74" t="str">
        <f t="shared" ca="1" si="13"/>
        <v/>
      </c>
      <c r="AE25" s="54" t="str">
        <f t="shared" ca="1" si="14"/>
        <v/>
      </c>
      <c r="AF25" s="74" t="str">
        <f t="shared" ca="1" si="15"/>
        <v/>
      </c>
      <c r="AG25" s="54" t="str">
        <f t="shared" ca="1" si="16"/>
        <v/>
      </c>
      <c r="AH25" s="74" t="str">
        <f t="shared" ca="1" si="17"/>
        <v/>
      </c>
      <c r="AI25" s="54" t="str">
        <f t="shared" ca="1" si="18"/>
        <v/>
      </c>
      <c r="AJ25" s="74" t="str">
        <f t="shared" ca="1" si="19"/>
        <v/>
      </c>
      <c r="AK25" s="54" t="str">
        <f t="shared" ca="1" si="20"/>
        <v/>
      </c>
      <c r="AL25" s="74" t="str">
        <f t="shared" ca="1" si="21"/>
        <v/>
      </c>
      <c r="AM25" s="54" t="str">
        <f t="shared" ca="1" si="22"/>
        <v/>
      </c>
      <c r="AN25" s="74" t="str">
        <f t="shared" ca="1" si="23"/>
        <v/>
      </c>
      <c r="AO25" s="54" t="str">
        <f t="shared" ca="1" si="24"/>
        <v/>
      </c>
      <c r="AP25" s="74" t="str">
        <f t="shared" ca="1" si="25"/>
        <v/>
      </c>
      <c r="AQ25" s="54" t="str">
        <f t="shared" ca="1" si="26"/>
        <v/>
      </c>
      <c r="AR25" s="74" t="str">
        <f t="shared" ca="1" si="27"/>
        <v/>
      </c>
    </row>
    <row r="26" spans="2:44" ht="15" customHeight="1" x14ac:dyDescent="0.25">
      <c r="B26" s="1" t="s">
        <v>586</v>
      </c>
      <c r="C26" s="1" t="s">
        <v>587</v>
      </c>
      <c r="D26" s="1" t="s">
        <v>588</v>
      </c>
      <c r="E26" s="1"/>
      <c r="F26" s="1" t="s">
        <v>589</v>
      </c>
      <c r="G26" s="1" t="s">
        <v>590</v>
      </c>
      <c r="H26" s="1" t="s">
        <v>583</v>
      </c>
      <c r="I26" s="1" t="s">
        <v>591</v>
      </c>
      <c r="J26" s="1" t="s">
        <v>592</v>
      </c>
      <c r="K26" s="1"/>
      <c r="L26" s="1"/>
      <c r="M26" s="1">
        <v>1</v>
      </c>
      <c r="N26" s="1"/>
      <c r="O26" s="1"/>
      <c r="P26" s="1"/>
      <c r="Q26" s="73" t="str">
        <f t="shared" ca="1" si="0"/>
        <v/>
      </c>
      <c r="R26" s="74" t="str">
        <f t="shared" ca="1" si="1"/>
        <v/>
      </c>
      <c r="S26" s="54" t="str">
        <f t="shared" ca="1" si="2"/>
        <v/>
      </c>
      <c r="T26" s="74" t="str">
        <f t="shared" ca="1" si="3"/>
        <v/>
      </c>
      <c r="U26" s="54" t="str">
        <f t="shared" ca="1" si="4"/>
        <v/>
      </c>
      <c r="V26" s="74" t="str">
        <f t="shared" ca="1" si="5"/>
        <v/>
      </c>
      <c r="W26" s="54" t="str">
        <f t="shared" ca="1" si="6"/>
        <v/>
      </c>
      <c r="X26" s="74" t="str">
        <f t="shared" ca="1" si="7"/>
        <v/>
      </c>
      <c r="Y26" s="54" t="str">
        <f t="shared" ca="1" si="8"/>
        <v/>
      </c>
      <c r="Z26" s="74" t="str">
        <f t="shared" ca="1" si="9"/>
        <v/>
      </c>
      <c r="AA26" s="54" t="str">
        <f t="shared" ca="1" si="10"/>
        <v/>
      </c>
      <c r="AB26" s="74" t="str">
        <f t="shared" ca="1" si="11"/>
        <v/>
      </c>
      <c r="AC26" s="54" t="str">
        <f t="shared" ca="1" si="12"/>
        <v/>
      </c>
      <c r="AD26" s="74" t="str">
        <f t="shared" ca="1" si="13"/>
        <v/>
      </c>
      <c r="AE26" s="54" t="str">
        <f t="shared" ca="1" si="14"/>
        <v/>
      </c>
      <c r="AF26" s="74" t="str">
        <f t="shared" ca="1" si="15"/>
        <v/>
      </c>
      <c r="AG26" s="54" t="str">
        <f t="shared" ca="1" si="16"/>
        <v/>
      </c>
      <c r="AH26" s="74" t="str">
        <f t="shared" ca="1" si="17"/>
        <v/>
      </c>
      <c r="AI26" s="54" t="str">
        <f t="shared" ca="1" si="18"/>
        <v/>
      </c>
      <c r="AJ26" s="74" t="str">
        <f t="shared" ca="1" si="19"/>
        <v/>
      </c>
      <c r="AK26" s="54" t="str">
        <f t="shared" ca="1" si="20"/>
        <v/>
      </c>
      <c r="AL26" s="74" t="str">
        <f t="shared" ca="1" si="21"/>
        <v/>
      </c>
      <c r="AM26" s="54" t="str">
        <f t="shared" ca="1" si="22"/>
        <v/>
      </c>
      <c r="AN26" s="74" t="str">
        <f t="shared" ca="1" si="23"/>
        <v/>
      </c>
      <c r="AO26" s="54" t="str">
        <f t="shared" ca="1" si="24"/>
        <v/>
      </c>
      <c r="AP26" s="74" t="str">
        <f t="shared" ca="1" si="25"/>
        <v/>
      </c>
      <c r="AQ26" s="54" t="str">
        <f t="shared" ca="1" si="26"/>
        <v/>
      </c>
      <c r="AR26" s="74" t="str">
        <f t="shared" ca="1" si="27"/>
        <v/>
      </c>
    </row>
    <row r="27" spans="2:44" ht="15" customHeight="1" x14ac:dyDescent="0.25">
      <c r="B27" s="1" t="s">
        <v>593</v>
      </c>
      <c r="C27" s="1" t="s">
        <v>169</v>
      </c>
      <c r="D27" s="1" t="s">
        <v>170</v>
      </c>
      <c r="E27" s="1"/>
      <c r="F27" s="1" t="s">
        <v>594</v>
      </c>
      <c r="G27" s="1" t="s">
        <v>595</v>
      </c>
      <c r="H27" s="1" t="s">
        <v>583</v>
      </c>
      <c r="I27" s="1" t="s">
        <v>596</v>
      </c>
      <c r="J27" s="1" t="s">
        <v>592</v>
      </c>
      <c r="K27" s="1"/>
      <c r="L27" s="1"/>
      <c r="M27" s="1">
        <v>1</v>
      </c>
      <c r="N27" s="1"/>
      <c r="O27" s="1"/>
      <c r="P27" s="1"/>
      <c r="Q27" s="73">
        <f t="shared" ca="1" si="0"/>
        <v>1</v>
      </c>
      <c r="R27" s="74">
        <f t="shared" ca="1" si="1"/>
        <v>0</v>
      </c>
      <c r="S27" s="54">
        <f t="shared" ca="1" si="2"/>
        <v>1</v>
      </c>
      <c r="T27" s="74">
        <f t="shared" ca="1" si="3"/>
        <v>0</v>
      </c>
      <c r="U27" s="54" t="str">
        <f t="shared" ca="1" si="4"/>
        <v/>
      </c>
      <c r="V27" s="74" t="str">
        <f t="shared" ca="1" si="5"/>
        <v/>
      </c>
      <c r="W27" s="54" t="str">
        <f t="shared" ca="1" si="6"/>
        <v/>
      </c>
      <c r="X27" s="74" t="str">
        <f t="shared" ca="1" si="7"/>
        <v/>
      </c>
      <c r="Y27" s="54" t="str">
        <f t="shared" ca="1" si="8"/>
        <v/>
      </c>
      <c r="Z27" s="74" t="str">
        <f t="shared" ca="1" si="9"/>
        <v/>
      </c>
      <c r="AA27" s="54" t="str">
        <f t="shared" ca="1" si="10"/>
        <v/>
      </c>
      <c r="AB27" s="74" t="str">
        <f t="shared" ca="1" si="11"/>
        <v/>
      </c>
      <c r="AC27" s="54" t="str">
        <f t="shared" ca="1" si="12"/>
        <v/>
      </c>
      <c r="AD27" s="74" t="str">
        <f t="shared" ca="1" si="13"/>
        <v/>
      </c>
      <c r="AE27" s="54" t="str">
        <f t="shared" ca="1" si="14"/>
        <v/>
      </c>
      <c r="AF27" s="74" t="str">
        <f t="shared" ca="1" si="15"/>
        <v/>
      </c>
      <c r="AG27" s="54" t="str">
        <f t="shared" ca="1" si="16"/>
        <v/>
      </c>
      <c r="AH27" s="74" t="str">
        <f t="shared" ca="1" si="17"/>
        <v/>
      </c>
      <c r="AI27" s="54" t="str">
        <f t="shared" ca="1" si="18"/>
        <v/>
      </c>
      <c r="AJ27" s="74" t="str">
        <f t="shared" ca="1" si="19"/>
        <v/>
      </c>
      <c r="AK27" s="54" t="str">
        <f t="shared" ca="1" si="20"/>
        <v/>
      </c>
      <c r="AL27" s="74" t="str">
        <f t="shared" ca="1" si="21"/>
        <v/>
      </c>
      <c r="AM27" s="54" t="str">
        <f t="shared" ca="1" si="22"/>
        <v/>
      </c>
      <c r="AN27" s="74" t="str">
        <f t="shared" ca="1" si="23"/>
        <v/>
      </c>
      <c r="AO27" s="54" t="str">
        <f t="shared" ca="1" si="24"/>
        <v/>
      </c>
      <c r="AP27" s="74" t="str">
        <f t="shared" ca="1" si="25"/>
        <v/>
      </c>
      <c r="AQ27" s="54" t="str">
        <f t="shared" ca="1" si="26"/>
        <v/>
      </c>
      <c r="AR27" s="74" t="str">
        <f t="shared" ca="1" si="27"/>
        <v/>
      </c>
    </row>
    <row r="28" spans="2:44" ht="15" customHeight="1" x14ac:dyDescent="0.25">
      <c r="B28" s="1" t="s">
        <v>3075</v>
      </c>
      <c r="C28" s="1" t="s">
        <v>3076</v>
      </c>
      <c r="D28" s="1" t="s">
        <v>2085</v>
      </c>
      <c r="E28" s="1"/>
      <c r="F28" s="1" t="s">
        <v>3077</v>
      </c>
      <c r="G28" s="1" t="s">
        <v>3078</v>
      </c>
      <c r="H28" s="1" t="s">
        <v>583</v>
      </c>
      <c r="I28" s="1" t="s">
        <v>3079</v>
      </c>
      <c r="J28" s="1" t="s">
        <v>607</v>
      </c>
      <c r="K28" s="1"/>
      <c r="L28" s="1"/>
      <c r="M28" s="1">
        <v>1</v>
      </c>
      <c r="N28" s="1"/>
      <c r="O28" s="1"/>
      <c r="P28" s="1"/>
      <c r="Q28" s="73" t="str">
        <f t="shared" ca="1" si="0"/>
        <v/>
      </c>
      <c r="R28" s="74" t="str">
        <f t="shared" ca="1" si="1"/>
        <v/>
      </c>
      <c r="S28" s="54" t="str">
        <f t="shared" ca="1" si="2"/>
        <v/>
      </c>
      <c r="T28" s="74" t="str">
        <f t="shared" ca="1" si="3"/>
        <v/>
      </c>
      <c r="U28" s="54" t="str">
        <f t="shared" ca="1" si="4"/>
        <v/>
      </c>
      <c r="V28" s="74" t="str">
        <f t="shared" ca="1" si="5"/>
        <v/>
      </c>
      <c r="W28" s="54" t="str">
        <f t="shared" ca="1" si="6"/>
        <v/>
      </c>
      <c r="X28" s="74" t="str">
        <f t="shared" ca="1" si="7"/>
        <v/>
      </c>
      <c r="Y28" s="54" t="str">
        <f t="shared" ca="1" si="8"/>
        <v/>
      </c>
      <c r="Z28" s="74" t="str">
        <f t="shared" ca="1" si="9"/>
        <v/>
      </c>
      <c r="AA28" s="54" t="str">
        <f t="shared" ca="1" si="10"/>
        <v/>
      </c>
      <c r="AB28" s="74" t="str">
        <f t="shared" ca="1" si="11"/>
        <v/>
      </c>
      <c r="AC28" s="54" t="str">
        <f t="shared" ca="1" si="12"/>
        <v/>
      </c>
      <c r="AD28" s="74" t="str">
        <f t="shared" ca="1" si="13"/>
        <v/>
      </c>
      <c r="AE28" s="54" t="str">
        <f t="shared" ca="1" si="14"/>
        <v/>
      </c>
      <c r="AF28" s="74" t="str">
        <f t="shared" ca="1" si="15"/>
        <v/>
      </c>
      <c r="AG28" s="54" t="str">
        <f t="shared" ca="1" si="16"/>
        <v/>
      </c>
      <c r="AH28" s="74" t="str">
        <f t="shared" ca="1" si="17"/>
        <v/>
      </c>
      <c r="AI28" s="54" t="str">
        <f t="shared" ca="1" si="18"/>
        <v/>
      </c>
      <c r="AJ28" s="74" t="str">
        <f t="shared" ca="1" si="19"/>
        <v/>
      </c>
      <c r="AK28" s="54" t="str">
        <f t="shared" ca="1" si="20"/>
        <v/>
      </c>
      <c r="AL28" s="74" t="str">
        <f t="shared" ca="1" si="21"/>
        <v/>
      </c>
      <c r="AM28" s="54" t="str">
        <f t="shared" ca="1" si="22"/>
        <v/>
      </c>
      <c r="AN28" s="74" t="str">
        <f t="shared" ca="1" si="23"/>
        <v/>
      </c>
      <c r="AO28" s="54" t="str">
        <f t="shared" ca="1" si="24"/>
        <v/>
      </c>
      <c r="AP28" s="74" t="str">
        <f t="shared" ca="1" si="25"/>
        <v/>
      </c>
      <c r="AQ28" s="54" t="str">
        <f t="shared" ca="1" si="26"/>
        <v/>
      </c>
      <c r="AR28" s="74" t="str">
        <f t="shared" ca="1" si="27"/>
        <v/>
      </c>
    </row>
    <row r="29" spans="2:44" ht="15" customHeight="1" x14ac:dyDescent="0.25">
      <c r="B29" s="1" t="s">
        <v>608</v>
      </c>
      <c r="C29" s="1" t="s">
        <v>609</v>
      </c>
      <c r="D29" s="1" t="s">
        <v>610</v>
      </c>
      <c r="E29" s="1"/>
      <c r="F29" s="1" t="s">
        <v>611</v>
      </c>
      <c r="G29" s="1" t="s">
        <v>612</v>
      </c>
      <c r="H29" s="1" t="s">
        <v>583</v>
      </c>
      <c r="I29" s="1" t="s">
        <v>613</v>
      </c>
      <c r="J29" s="1" t="s">
        <v>614</v>
      </c>
      <c r="K29" s="1" t="s">
        <v>606</v>
      </c>
      <c r="L29" s="1"/>
      <c r="M29" s="1">
        <v>1</v>
      </c>
      <c r="N29" s="1"/>
      <c r="O29" s="1"/>
      <c r="P29" s="1"/>
      <c r="Q29" s="73">
        <f t="shared" ca="1" si="0"/>
        <v>2</v>
      </c>
      <c r="R29" s="74">
        <f t="shared" ca="1" si="1"/>
        <v>0</v>
      </c>
      <c r="S29" s="54" t="str">
        <f t="shared" ca="1" si="2"/>
        <v/>
      </c>
      <c r="T29" s="74" t="str">
        <f t="shared" ca="1" si="3"/>
        <v/>
      </c>
      <c r="U29" s="54" t="str">
        <f t="shared" ca="1" si="4"/>
        <v/>
      </c>
      <c r="V29" s="74" t="str">
        <f t="shared" ca="1" si="5"/>
        <v/>
      </c>
      <c r="W29" s="54">
        <f t="shared" ca="1" si="6"/>
        <v>1</v>
      </c>
      <c r="X29" s="74">
        <f t="shared" ca="1" si="7"/>
        <v>0</v>
      </c>
      <c r="Y29" s="54" t="str">
        <f t="shared" ca="1" si="8"/>
        <v/>
      </c>
      <c r="Z29" s="74" t="str">
        <f t="shared" ca="1" si="9"/>
        <v/>
      </c>
      <c r="AA29" s="54" t="str">
        <f t="shared" ca="1" si="10"/>
        <v/>
      </c>
      <c r="AB29" s="74" t="str">
        <f t="shared" ca="1" si="11"/>
        <v/>
      </c>
      <c r="AC29" s="54">
        <f t="shared" ca="1" si="12"/>
        <v>1</v>
      </c>
      <c r="AD29" s="74">
        <f t="shared" ca="1" si="13"/>
        <v>0</v>
      </c>
      <c r="AE29" s="54" t="str">
        <f t="shared" ca="1" si="14"/>
        <v/>
      </c>
      <c r="AF29" s="74" t="str">
        <f t="shared" ca="1" si="15"/>
        <v/>
      </c>
      <c r="AG29" s="54" t="str">
        <f t="shared" ca="1" si="16"/>
        <v/>
      </c>
      <c r="AH29" s="74" t="str">
        <f t="shared" ca="1" si="17"/>
        <v/>
      </c>
      <c r="AI29" s="54" t="str">
        <f t="shared" ca="1" si="18"/>
        <v/>
      </c>
      <c r="AJ29" s="74" t="str">
        <f t="shared" ca="1" si="19"/>
        <v/>
      </c>
      <c r="AK29" s="54" t="str">
        <f t="shared" ca="1" si="20"/>
        <v/>
      </c>
      <c r="AL29" s="74" t="str">
        <f t="shared" ca="1" si="21"/>
        <v/>
      </c>
      <c r="AM29" s="54" t="str">
        <f t="shared" ca="1" si="22"/>
        <v/>
      </c>
      <c r="AN29" s="74" t="str">
        <f t="shared" ca="1" si="23"/>
        <v/>
      </c>
      <c r="AO29" s="54" t="str">
        <f t="shared" ca="1" si="24"/>
        <v/>
      </c>
      <c r="AP29" s="74" t="str">
        <f t="shared" ca="1" si="25"/>
        <v/>
      </c>
      <c r="AQ29" s="54" t="str">
        <f t="shared" ca="1" si="26"/>
        <v/>
      </c>
      <c r="AR29" s="74" t="str">
        <f t="shared" ca="1" si="27"/>
        <v/>
      </c>
    </row>
    <row r="30" spans="2:44" ht="15" customHeight="1" x14ac:dyDescent="0.25">
      <c r="B30" s="1" t="s">
        <v>615</v>
      </c>
      <c r="C30" s="1" t="s">
        <v>616</v>
      </c>
      <c r="D30" s="1" t="s">
        <v>617</v>
      </c>
      <c r="E30" s="1"/>
      <c r="F30" s="1" t="s">
        <v>618</v>
      </c>
      <c r="G30" s="1" t="s">
        <v>619</v>
      </c>
      <c r="H30" s="1" t="s">
        <v>583</v>
      </c>
      <c r="I30" s="1" t="s">
        <v>620</v>
      </c>
      <c r="J30" s="1" t="s">
        <v>614</v>
      </c>
      <c r="K30" s="1" t="s">
        <v>606</v>
      </c>
      <c r="L30" s="1"/>
      <c r="M30" s="1">
        <v>1</v>
      </c>
      <c r="N30" s="1"/>
      <c r="O30" s="1"/>
      <c r="P30" s="1"/>
      <c r="Q30" s="73">
        <f t="shared" ca="1" si="0"/>
        <v>2</v>
      </c>
      <c r="R30" s="74">
        <f t="shared" ca="1" si="1"/>
        <v>0</v>
      </c>
      <c r="S30" s="54" t="str">
        <f t="shared" ca="1" si="2"/>
        <v/>
      </c>
      <c r="T30" s="74" t="str">
        <f t="shared" ca="1" si="3"/>
        <v/>
      </c>
      <c r="U30" s="54">
        <f t="shared" ca="1" si="4"/>
        <v>1</v>
      </c>
      <c r="V30" s="74">
        <f t="shared" ca="1" si="5"/>
        <v>0</v>
      </c>
      <c r="W30" s="54">
        <f t="shared" ca="1" si="6"/>
        <v>1</v>
      </c>
      <c r="X30" s="74">
        <f t="shared" ca="1" si="7"/>
        <v>0</v>
      </c>
      <c r="Y30" s="54" t="str">
        <f t="shared" ca="1" si="8"/>
        <v/>
      </c>
      <c r="Z30" s="74" t="str">
        <f t="shared" ca="1" si="9"/>
        <v/>
      </c>
      <c r="AA30" s="54" t="str">
        <f t="shared" ca="1" si="10"/>
        <v/>
      </c>
      <c r="AB30" s="74" t="str">
        <f t="shared" ca="1" si="11"/>
        <v/>
      </c>
      <c r="AC30" s="54" t="str">
        <f t="shared" ca="1" si="12"/>
        <v/>
      </c>
      <c r="AD30" s="74" t="str">
        <f t="shared" ca="1" si="13"/>
        <v/>
      </c>
      <c r="AE30" s="54" t="str">
        <f t="shared" ca="1" si="14"/>
        <v/>
      </c>
      <c r="AF30" s="74" t="str">
        <f t="shared" ca="1" si="15"/>
        <v/>
      </c>
      <c r="AG30" s="54" t="str">
        <f t="shared" ca="1" si="16"/>
        <v/>
      </c>
      <c r="AH30" s="74" t="str">
        <f t="shared" ca="1" si="17"/>
        <v/>
      </c>
      <c r="AI30" s="54" t="str">
        <f t="shared" ca="1" si="18"/>
        <v/>
      </c>
      <c r="AJ30" s="74" t="str">
        <f t="shared" ca="1" si="19"/>
        <v/>
      </c>
      <c r="AK30" s="54" t="str">
        <f t="shared" ca="1" si="20"/>
        <v/>
      </c>
      <c r="AL30" s="74" t="str">
        <f t="shared" ca="1" si="21"/>
        <v/>
      </c>
      <c r="AM30" s="54" t="str">
        <f t="shared" ca="1" si="22"/>
        <v/>
      </c>
      <c r="AN30" s="74" t="str">
        <f t="shared" ca="1" si="23"/>
        <v/>
      </c>
      <c r="AO30" s="54" t="str">
        <f t="shared" ca="1" si="24"/>
        <v/>
      </c>
      <c r="AP30" s="74" t="str">
        <f t="shared" ca="1" si="25"/>
        <v/>
      </c>
      <c r="AQ30" s="54" t="str">
        <f t="shared" ca="1" si="26"/>
        <v/>
      </c>
      <c r="AR30" s="74" t="str">
        <f t="shared" ca="1" si="27"/>
        <v/>
      </c>
    </row>
    <row r="31" spans="2:44" ht="15" customHeight="1" x14ac:dyDescent="0.25">
      <c r="B31" s="1" t="s">
        <v>621</v>
      </c>
      <c r="C31" s="1" t="s">
        <v>622</v>
      </c>
      <c r="D31" s="1" t="s">
        <v>267</v>
      </c>
      <c r="E31" s="1"/>
      <c r="F31" s="1" t="s">
        <v>623</v>
      </c>
      <c r="G31" s="1" t="s">
        <v>624</v>
      </c>
      <c r="H31" s="1" t="s">
        <v>583</v>
      </c>
      <c r="I31" s="1" t="s">
        <v>625</v>
      </c>
      <c r="J31" s="1" t="s">
        <v>614</v>
      </c>
      <c r="K31" s="1" t="s">
        <v>606</v>
      </c>
      <c r="L31" s="1"/>
      <c r="M31" s="1">
        <v>1</v>
      </c>
      <c r="N31" s="1"/>
      <c r="O31" s="1"/>
      <c r="P31" s="1"/>
      <c r="Q31" s="73" t="str">
        <f t="shared" ca="1" si="0"/>
        <v/>
      </c>
      <c r="R31" s="74" t="str">
        <f t="shared" ca="1" si="1"/>
        <v/>
      </c>
      <c r="S31" s="54" t="str">
        <f t="shared" ca="1" si="2"/>
        <v/>
      </c>
      <c r="T31" s="74" t="str">
        <f t="shared" ca="1" si="3"/>
        <v/>
      </c>
      <c r="U31" s="54" t="str">
        <f t="shared" ca="1" si="4"/>
        <v/>
      </c>
      <c r="V31" s="74" t="str">
        <f t="shared" ca="1" si="5"/>
        <v/>
      </c>
      <c r="W31" s="54" t="str">
        <f t="shared" ca="1" si="6"/>
        <v/>
      </c>
      <c r="X31" s="74" t="str">
        <f t="shared" ca="1" si="7"/>
        <v/>
      </c>
      <c r="Y31" s="54" t="str">
        <f t="shared" ca="1" si="8"/>
        <v/>
      </c>
      <c r="Z31" s="74" t="str">
        <f t="shared" ca="1" si="9"/>
        <v/>
      </c>
      <c r="AA31" s="54" t="str">
        <f t="shared" ca="1" si="10"/>
        <v/>
      </c>
      <c r="AB31" s="74" t="str">
        <f t="shared" ca="1" si="11"/>
        <v/>
      </c>
      <c r="AC31" s="54" t="str">
        <f t="shared" ca="1" si="12"/>
        <v/>
      </c>
      <c r="AD31" s="74" t="str">
        <f t="shared" ca="1" si="13"/>
        <v/>
      </c>
      <c r="AE31" s="54" t="str">
        <f t="shared" ca="1" si="14"/>
        <v/>
      </c>
      <c r="AF31" s="74" t="str">
        <f t="shared" ca="1" si="15"/>
        <v/>
      </c>
      <c r="AG31" s="54" t="str">
        <f t="shared" ca="1" si="16"/>
        <v/>
      </c>
      <c r="AH31" s="74" t="str">
        <f t="shared" ca="1" si="17"/>
        <v/>
      </c>
      <c r="AI31" s="54" t="str">
        <f t="shared" ca="1" si="18"/>
        <v/>
      </c>
      <c r="AJ31" s="74" t="str">
        <f t="shared" ca="1" si="19"/>
        <v/>
      </c>
      <c r="AK31" s="54" t="str">
        <f t="shared" ca="1" si="20"/>
        <v/>
      </c>
      <c r="AL31" s="74" t="str">
        <f t="shared" ca="1" si="21"/>
        <v/>
      </c>
      <c r="AM31" s="54" t="str">
        <f t="shared" ca="1" si="22"/>
        <v/>
      </c>
      <c r="AN31" s="74" t="str">
        <f t="shared" ca="1" si="23"/>
        <v/>
      </c>
      <c r="AO31" s="54" t="str">
        <f t="shared" ca="1" si="24"/>
        <v/>
      </c>
      <c r="AP31" s="74" t="str">
        <f t="shared" ca="1" si="25"/>
        <v/>
      </c>
      <c r="AQ31" s="54" t="str">
        <f t="shared" ca="1" si="26"/>
        <v/>
      </c>
      <c r="AR31" s="74" t="str">
        <f t="shared" ca="1" si="27"/>
        <v/>
      </c>
    </row>
    <row r="32" spans="2:44" ht="15" customHeight="1" x14ac:dyDescent="0.25">
      <c r="B32" s="1" t="s">
        <v>626</v>
      </c>
      <c r="C32" s="1" t="s">
        <v>362</v>
      </c>
      <c r="D32" s="1" t="s">
        <v>409</v>
      </c>
      <c r="E32" s="1"/>
      <c r="F32" s="1" t="s">
        <v>627</v>
      </c>
      <c r="G32" s="1" t="s">
        <v>628</v>
      </c>
      <c r="H32" s="1" t="s">
        <v>583</v>
      </c>
      <c r="I32" s="1" t="s">
        <v>629</v>
      </c>
      <c r="J32" s="1" t="s">
        <v>614</v>
      </c>
      <c r="K32" s="1" t="s">
        <v>606</v>
      </c>
      <c r="L32" s="1"/>
      <c r="M32" s="1">
        <v>1</v>
      </c>
      <c r="N32" s="1"/>
      <c r="O32" s="1"/>
      <c r="P32" s="1"/>
      <c r="Q32" s="73">
        <f t="shared" ca="1" si="0"/>
        <v>14</v>
      </c>
      <c r="R32" s="74">
        <f t="shared" ca="1" si="1"/>
        <v>0</v>
      </c>
      <c r="S32" s="54">
        <f t="shared" ca="1" si="2"/>
        <v>2</v>
      </c>
      <c r="T32" s="74">
        <f t="shared" ca="1" si="3"/>
        <v>0</v>
      </c>
      <c r="U32" s="54">
        <f t="shared" ca="1" si="4"/>
        <v>2</v>
      </c>
      <c r="V32" s="74">
        <f t="shared" ca="1" si="5"/>
        <v>0</v>
      </c>
      <c r="W32" s="54" t="str">
        <f t="shared" ca="1" si="6"/>
        <v/>
      </c>
      <c r="X32" s="74" t="str">
        <f t="shared" ca="1" si="7"/>
        <v/>
      </c>
      <c r="Y32" s="54" t="str">
        <f t="shared" ca="1" si="8"/>
        <v/>
      </c>
      <c r="Z32" s="74" t="str">
        <f t="shared" ca="1" si="9"/>
        <v/>
      </c>
      <c r="AA32" s="54" t="str">
        <f t="shared" ca="1" si="10"/>
        <v/>
      </c>
      <c r="AB32" s="74" t="str">
        <f t="shared" ca="1" si="11"/>
        <v/>
      </c>
      <c r="AC32" s="54">
        <f t="shared" ca="1" si="12"/>
        <v>10</v>
      </c>
      <c r="AD32" s="74">
        <f t="shared" ca="1" si="13"/>
        <v>0</v>
      </c>
      <c r="AE32" s="54" t="str">
        <f t="shared" ca="1" si="14"/>
        <v/>
      </c>
      <c r="AF32" s="74" t="str">
        <f t="shared" ca="1" si="15"/>
        <v/>
      </c>
      <c r="AG32" s="54" t="str">
        <f t="shared" ca="1" si="16"/>
        <v/>
      </c>
      <c r="AH32" s="74" t="str">
        <f t="shared" ca="1" si="17"/>
        <v/>
      </c>
      <c r="AI32" s="54" t="str">
        <f t="shared" ca="1" si="18"/>
        <v/>
      </c>
      <c r="AJ32" s="74" t="str">
        <f t="shared" ca="1" si="19"/>
        <v/>
      </c>
      <c r="AK32" s="54" t="str">
        <f t="shared" ca="1" si="20"/>
        <v/>
      </c>
      <c r="AL32" s="74" t="str">
        <f t="shared" ca="1" si="21"/>
        <v/>
      </c>
      <c r="AM32" s="54" t="str">
        <f t="shared" ca="1" si="22"/>
        <v/>
      </c>
      <c r="AN32" s="74" t="str">
        <f t="shared" ca="1" si="23"/>
        <v/>
      </c>
      <c r="AO32" s="54" t="str">
        <f t="shared" ca="1" si="24"/>
        <v/>
      </c>
      <c r="AP32" s="74" t="str">
        <f t="shared" ca="1" si="25"/>
        <v/>
      </c>
      <c r="AQ32" s="54" t="str">
        <f t="shared" ca="1" si="26"/>
        <v/>
      </c>
      <c r="AR32" s="74" t="str">
        <f t="shared" ca="1" si="27"/>
        <v/>
      </c>
    </row>
    <row r="33" spans="2:44" ht="15" customHeight="1" x14ac:dyDescent="0.25">
      <c r="B33" s="1" t="s">
        <v>630</v>
      </c>
      <c r="C33" s="1" t="s">
        <v>425</v>
      </c>
      <c r="D33" s="1" t="s">
        <v>426</v>
      </c>
      <c r="E33" s="1"/>
      <c r="F33" s="1" t="s">
        <v>631</v>
      </c>
      <c r="G33" s="1" t="s">
        <v>632</v>
      </c>
      <c r="H33" s="1" t="s">
        <v>583</v>
      </c>
      <c r="I33" s="1" t="s">
        <v>633</v>
      </c>
      <c r="J33" s="1" t="s">
        <v>614</v>
      </c>
      <c r="K33" s="1" t="s">
        <v>606</v>
      </c>
      <c r="L33" s="1"/>
      <c r="M33" s="1">
        <v>15</v>
      </c>
      <c r="N33" s="1"/>
      <c r="O33" s="1"/>
      <c r="P33" s="1"/>
      <c r="Q33" s="73">
        <f t="shared" ca="1" si="0"/>
        <v>18</v>
      </c>
      <c r="R33" s="74">
        <f t="shared" ca="1" si="1"/>
        <v>0</v>
      </c>
      <c r="S33" s="54">
        <f t="shared" ca="1" si="2"/>
        <v>3</v>
      </c>
      <c r="T33" s="74">
        <f t="shared" ca="1" si="3"/>
        <v>0</v>
      </c>
      <c r="U33" s="54">
        <f t="shared" ca="1" si="4"/>
        <v>6</v>
      </c>
      <c r="V33" s="74">
        <f t="shared" ca="1" si="5"/>
        <v>0</v>
      </c>
      <c r="W33" s="54">
        <f t="shared" ca="1" si="6"/>
        <v>9</v>
      </c>
      <c r="X33" s="74">
        <f t="shared" ca="1" si="7"/>
        <v>0</v>
      </c>
      <c r="Y33" s="54" t="str">
        <f t="shared" ca="1" si="8"/>
        <v/>
      </c>
      <c r="Z33" s="74" t="str">
        <f t="shared" ca="1" si="9"/>
        <v/>
      </c>
      <c r="AA33" s="54" t="str">
        <f t="shared" ca="1" si="10"/>
        <v/>
      </c>
      <c r="AB33" s="74" t="str">
        <f t="shared" ca="1" si="11"/>
        <v/>
      </c>
      <c r="AC33" s="54" t="str">
        <f t="shared" ca="1" si="12"/>
        <v/>
      </c>
      <c r="AD33" s="74" t="str">
        <f t="shared" ca="1" si="13"/>
        <v/>
      </c>
      <c r="AE33" s="54" t="str">
        <f t="shared" ca="1" si="14"/>
        <v/>
      </c>
      <c r="AF33" s="74" t="str">
        <f t="shared" ca="1" si="15"/>
        <v/>
      </c>
      <c r="AG33" s="54" t="str">
        <f t="shared" ca="1" si="16"/>
        <v/>
      </c>
      <c r="AH33" s="74" t="str">
        <f t="shared" ca="1" si="17"/>
        <v/>
      </c>
      <c r="AI33" s="54" t="str">
        <f t="shared" ca="1" si="18"/>
        <v/>
      </c>
      <c r="AJ33" s="74" t="str">
        <f t="shared" ca="1" si="19"/>
        <v/>
      </c>
      <c r="AK33" s="54" t="str">
        <f t="shared" ca="1" si="20"/>
        <v/>
      </c>
      <c r="AL33" s="74" t="str">
        <f t="shared" ca="1" si="21"/>
        <v/>
      </c>
      <c r="AM33" s="54" t="str">
        <f t="shared" ca="1" si="22"/>
        <v/>
      </c>
      <c r="AN33" s="74" t="str">
        <f t="shared" ca="1" si="23"/>
        <v/>
      </c>
      <c r="AO33" s="54" t="str">
        <f t="shared" ca="1" si="24"/>
        <v/>
      </c>
      <c r="AP33" s="74" t="str">
        <f t="shared" ca="1" si="25"/>
        <v/>
      </c>
      <c r="AQ33" s="54" t="str">
        <f t="shared" ca="1" si="26"/>
        <v/>
      </c>
      <c r="AR33" s="74" t="str">
        <f t="shared" ca="1" si="27"/>
        <v/>
      </c>
    </row>
    <row r="34" spans="2:44" ht="15" customHeight="1" x14ac:dyDescent="0.25">
      <c r="B34" s="1" t="s">
        <v>634</v>
      </c>
      <c r="C34" s="1" t="s">
        <v>635</v>
      </c>
      <c r="D34" s="1" t="s">
        <v>636</v>
      </c>
      <c r="E34" s="1"/>
      <c r="F34" s="1" t="s">
        <v>21</v>
      </c>
      <c r="G34" s="1" t="s">
        <v>637</v>
      </c>
      <c r="H34" s="1" t="s">
        <v>583</v>
      </c>
      <c r="I34" s="1" t="s">
        <v>638</v>
      </c>
      <c r="J34" s="1" t="s">
        <v>607</v>
      </c>
      <c r="K34" s="1"/>
      <c r="L34" s="1"/>
      <c r="M34" s="1">
        <v>1</v>
      </c>
      <c r="N34" s="1"/>
      <c r="O34" s="1"/>
      <c r="P34" s="1"/>
      <c r="Q34" s="73" t="str">
        <f t="shared" ca="1" si="0"/>
        <v/>
      </c>
      <c r="R34" s="74" t="str">
        <f t="shared" ca="1" si="1"/>
        <v/>
      </c>
      <c r="S34" s="54" t="str">
        <f t="shared" ca="1" si="2"/>
        <v/>
      </c>
      <c r="T34" s="74" t="str">
        <f t="shared" ca="1" si="3"/>
        <v/>
      </c>
      <c r="U34" s="54" t="str">
        <f t="shared" ca="1" si="4"/>
        <v/>
      </c>
      <c r="V34" s="74" t="str">
        <f t="shared" ca="1" si="5"/>
        <v/>
      </c>
      <c r="W34" s="54" t="str">
        <f t="shared" ca="1" si="6"/>
        <v/>
      </c>
      <c r="X34" s="74" t="str">
        <f t="shared" ca="1" si="7"/>
        <v/>
      </c>
      <c r="Y34" s="54" t="str">
        <f t="shared" ca="1" si="8"/>
        <v/>
      </c>
      <c r="Z34" s="74" t="str">
        <f t="shared" ca="1" si="9"/>
        <v/>
      </c>
      <c r="AA34" s="54" t="str">
        <f t="shared" ca="1" si="10"/>
        <v/>
      </c>
      <c r="AB34" s="74" t="str">
        <f t="shared" ca="1" si="11"/>
        <v/>
      </c>
      <c r="AC34" s="54" t="str">
        <f t="shared" ca="1" si="12"/>
        <v/>
      </c>
      <c r="AD34" s="74" t="str">
        <f t="shared" ca="1" si="13"/>
        <v/>
      </c>
      <c r="AE34" s="54" t="str">
        <f t="shared" ca="1" si="14"/>
        <v/>
      </c>
      <c r="AF34" s="74" t="str">
        <f t="shared" ca="1" si="15"/>
        <v/>
      </c>
      <c r="AG34" s="54" t="str">
        <f t="shared" ca="1" si="16"/>
        <v/>
      </c>
      <c r="AH34" s="74" t="str">
        <f t="shared" ca="1" si="17"/>
        <v/>
      </c>
      <c r="AI34" s="54" t="str">
        <f t="shared" ca="1" si="18"/>
        <v/>
      </c>
      <c r="AJ34" s="74" t="str">
        <f t="shared" ca="1" si="19"/>
        <v/>
      </c>
      <c r="AK34" s="54" t="str">
        <f t="shared" ca="1" si="20"/>
        <v/>
      </c>
      <c r="AL34" s="74" t="str">
        <f t="shared" ca="1" si="21"/>
        <v/>
      </c>
      <c r="AM34" s="54" t="str">
        <f t="shared" ca="1" si="22"/>
        <v/>
      </c>
      <c r="AN34" s="74" t="str">
        <f t="shared" ca="1" si="23"/>
        <v/>
      </c>
      <c r="AO34" s="54" t="str">
        <f t="shared" ca="1" si="24"/>
        <v/>
      </c>
      <c r="AP34" s="74" t="str">
        <f t="shared" ca="1" si="25"/>
        <v/>
      </c>
      <c r="AQ34" s="54" t="str">
        <f t="shared" ca="1" si="26"/>
        <v/>
      </c>
      <c r="AR34" s="74" t="str">
        <f t="shared" ca="1" si="27"/>
        <v/>
      </c>
    </row>
    <row r="35" spans="2:44" ht="15" customHeight="1" x14ac:dyDescent="0.25">
      <c r="B35" s="1" t="s">
        <v>1630</v>
      </c>
      <c r="C35" s="1" t="s">
        <v>1631</v>
      </c>
      <c r="D35" s="1" t="s">
        <v>1122</v>
      </c>
      <c r="E35" s="1"/>
      <c r="F35" s="1" t="s">
        <v>21</v>
      </c>
      <c r="G35" s="1" t="s">
        <v>1632</v>
      </c>
      <c r="H35" s="1" t="s">
        <v>583</v>
      </c>
      <c r="I35" s="1" t="s">
        <v>1633</v>
      </c>
      <c r="J35" s="1" t="s">
        <v>1634</v>
      </c>
      <c r="K35" s="1" t="s">
        <v>638</v>
      </c>
      <c r="L35" s="1"/>
      <c r="M35" s="1">
        <v>15</v>
      </c>
      <c r="N35" s="1"/>
      <c r="O35" s="1"/>
      <c r="P35" s="1"/>
      <c r="Q35" s="73" t="str">
        <f t="shared" ca="1" si="0"/>
        <v/>
      </c>
      <c r="R35" s="74" t="str">
        <f t="shared" ca="1" si="1"/>
        <v/>
      </c>
      <c r="S35" s="54" t="str">
        <f t="shared" ca="1" si="2"/>
        <v/>
      </c>
      <c r="T35" s="74" t="str">
        <f t="shared" ca="1" si="3"/>
        <v/>
      </c>
      <c r="U35" s="54" t="str">
        <f t="shared" ca="1" si="4"/>
        <v/>
      </c>
      <c r="V35" s="74" t="str">
        <f t="shared" ca="1" si="5"/>
        <v/>
      </c>
      <c r="W35" s="54" t="str">
        <f t="shared" ca="1" si="6"/>
        <v/>
      </c>
      <c r="X35" s="74" t="str">
        <f t="shared" ca="1" si="7"/>
        <v/>
      </c>
      <c r="Y35" s="54" t="str">
        <f t="shared" ca="1" si="8"/>
        <v/>
      </c>
      <c r="Z35" s="74" t="str">
        <f t="shared" ca="1" si="9"/>
        <v/>
      </c>
      <c r="AA35" s="54" t="str">
        <f t="shared" ca="1" si="10"/>
        <v/>
      </c>
      <c r="AB35" s="74" t="str">
        <f t="shared" ca="1" si="11"/>
        <v/>
      </c>
      <c r="AC35" s="54" t="str">
        <f t="shared" ca="1" si="12"/>
        <v/>
      </c>
      <c r="AD35" s="74" t="str">
        <f t="shared" ca="1" si="13"/>
        <v/>
      </c>
      <c r="AE35" s="54" t="str">
        <f t="shared" ca="1" si="14"/>
        <v/>
      </c>
      <c r="AF35" s="74" t="str">
        <f t="shared" ca="1" si="15"/>
        <v/>
      </c>
      <c r="AG35" s="54" t="str">
        <f t="shared" ca="1" si="16"/>
        <v/>
      </c>
      <c r="AH35" s="74" t="str">
        <f t="shared" ca="1" si="17"/>
        <v/>
      </c>
      <c r="AI35" s="54" t="str">
        <f t="shared" ca="1" si="18"/>
        <v/>
      </c>
      <c r="AJ35" s="74" t="str">
        <f t="shared" ca="1" si="19"/>
        <v/>
      </c>
      <c r="AK35" s="54" t="str">
        <f t="shared" ca="1" si="20"/>
        <v/>
      </c>
      <c r="AL35" s="74" t="str">
        <f t="shared" ca="1" si="21"/>
        <v/>
      </c>
      <c r="AM35" s="54" t="str">
        <f t="shared" ca="1" si="22"/>
        <v/>
      </c>
      <c r="AN35" s="74" t="str">
        <f t="shared" ca="1" si="23"/>
        <v/>
      </c>
      <c r="AO35" s="54" t="str">
        <f t="shared" ca="1" si="24"/>
        <v/>
      </c>
      <c r="AP35" s="74" t="str">
        <f t="shared" ca="1" si="25"/>
        <v/>
      </c>
      <c r="AQ35" s="54" t="str">
        <f t="shared" ca="1" si="26"/>
        <v/>
      </c>
      <c r="AR35" s="74" t="str">
        <f t="shared" ca="1" si="27"/>
        <v/>
      </c>
    </row>
    <row r="36" spans="2:44" ht="15" customHeight="1" x14ac:dyDescent="0.25">
      <c r="B36" s="1" t="s">
        <v>639</v>
      </c>
      <c r="C36" s="1" t="s">
        <v>635</v>
      </c>
      <c r="D36" s="1" t="s">
        <v>640</v>
      </c>
      <c r="E36" s="1"/>
      <c r="F36" s="1" t="s">
        <v>641</v>
      </c>
      <c r="G36" s="1" t="s">
        <v>642</v>
      </c>
      <c r="H36" s="1" t="s">
        <v>583</v>
      </c>
      <c r="I36" s="1" t="s">
        <v>643</v>
      </c>
      <c r="J36" s="1" t="s">
        <v>607</v>
      </c>
      <c r="K36" s="1"/>
      <c r="L36" s="1"/>
      <c r="M36" s="1">
        <v>1</v>
      </c>
      <c r="N36" s="1"/>
      <c r="O36" s="1"/>
      <c r="P36" s="1"/>
      <c r="Q36" s="73">
        <f t="shared" ca="1" si="0"/>
        <v>1</v>
      </c>
      <c r="R36" s="74">
        <f t="shared" ca="1" si="1"/>
        <v>0</v>
      </c>
      <c r="S36" s="54" t="str">
        <f t="shared" ca="1" si="2"/>
        <v/>
      </c>
      <c r="T36" s="74" t="str">
        <f t="shared" ca="1" si="3"/>
        <v/>
      </c>
      <c r="U36" s="54">
        <f t="shared" ca="1" si="4"/>
        <v>1</v>
      </c>
      <c r="V36" s="74">
        <f t="shared" ca="1" si="5"/>
        <v>0</v>
      </c>
      <c r="W36" s="54" t="str">
        <f t="shared" ca="1" si="6"/>
        <v/>
      </c>
      <c r="X36" s="74" t="str">
        <f t="shared" ca="1" si="7"/>
        <v/>
      </c>
      <c r="Y36" s="54" t="str">
        <f t="shared" ca="1" si="8"/>
        <v/>
      </c>
      <c r="Z36" s="74" t="str">
        <f t="shared" ca="1" si="9"/>
        <v/>
      </c>
      <c r="AA36" s="54" t="str">
        <f t="shared" ca="1" si="10"/>
        <v/>
      </c>
      <c r="AB36" s="74" t="str">
        <f t="shared" ca="1" si="11"/>
        <v/>
      </c>
      <c r="AC36" s="54" t="str">
        <f t="shared" ca="1" si="12"/>
        <v/>
      </c>
      <c r="AD36" s="74" t="str">
        <f t="shared" ca="1" si="13"/>
        <v/>
      </c>
      <c r="AE36" s="54" t="str">
        <f t="shared" ca="1" si="14"/>
        <v/>
      </c>
      <c r="AF36" s="74" t="str">
        <f t="shared" ca="1" si="15"/>
        <v/>
      </c>
      <c r="AG36" s="54" t="str">
        <f t="shared" ca="1" si="16"/>
        <v/>
      </c>
      <c r="AH36" s="74" t="str">
        <f t="shared" ca="1" si="17"/>
        <v/>
      </c>
      <c r="AI36" s="54" t="str">
        <f t="shared" ca="1" si="18"/>
        <v/>
      </c>
      <c r="AJ36" s="74" t="str">
        <f t="shared" ca="1" si="19"/>
        <v/>
      </c>
      <c r="AK36" s="54" t="str">
        <f t="shared" ca="1" si="20"/>
        <v/>
      </c>
      <c r="AL36" s="74" t="str">
        <f t="shared" ca="1" si="21"/>
        <v/>
      </c>
      <c r="AM36" s="54" t="str">
        <f t="shared" ca="1" si="22"/>
        <v/>
      </c>
      <c r="AN36" s="74" t="str">
        <f t="shared" ca="1" si="23"/>
        <v/>
      </c>
      <c r="AO36" s="54" t="str">
        <f t="shared" ca="1" si="24"/>
        <v/>
      </c>
      <c r="AP36" s="74" t="str">
        <f t="shared" ca="1" si="25"/>
        <v/>
      </c>
      <c r="AQ36" s="54" t="str">
        <f t="shared" ca="1" si="26"/>
        <v/>
      </c>
      <c r="AR36" s="74" t="str">
        <f t="shared" ca="1" si="27"/>
        <v/>
      </c>
    </row>
    <row r="37" spans="2:44" ht="15" customHeight="1" x14ac:dyDescent="0.25">
      <c r="B37" s="1" t="s">
        <v>644</v>
      </c>
      <c r="C37" s="1" t="s">
        <v>162</v>
      </c>
      <c r="D37" s="1" t="s">
        <v>163</v>
      </c>
      <c r="E37" s="1"/>
      <c r="F37" s="1" t="s">
        <v>645</v>
      </c>
      <c r="G37" s="1" t="s">
        <v>646</v>
      </c>
      <c r="H37" s="1" t="s">
        <v>583</v>
      </c>
      <c r="I37" s="1" t="s">
        <v>647</v>
      </c>
      <c r="J37" s="1" t="s">
        <v>648</v>
      </c>
      <c r="K37" s="1" t="s">
        <v>643</v>
      </c>
      <c r="L37" s="1"/>
      <c r="M37" s="1">
        <v>1</v>
      </c>
      <c r="N37" s="1"/>
      <c r="O37" s="1"/>
      <c r="P37" s="1"/>
      <c r="Q37" s="73">
        <f t="shared" ca="1" si="0"/>
        <v>3</v>
      </c>
      <c r="R37" s="74">
        <f t="shared" ca="1" si="1"/>
        <v>0</v>
      </c>
      <c r="S37" s="54">
        <f t="shared" ca="1" si="2"/>
        <v>1</v>
      </c>
      <c r="T37" s="74">
        <f t="shared" ca="1" si="3"/>
        <v>0</v>
      </c>
      <c r="U37" s="54">
        <f t="shared" ca="1" si="4"/>
        <v>1</v>
      </c>
      <c r="V37" s="74">
        <f t="shared" ca="1" si="5"/>
        <v>0</v>
      </c>
      <c r="W37" s="54">
        <f t="shared" ca="1" si="6"/>
        <v>1</v>
      </c>
      <c r="X37" s="74">
        <f t="shared" ca="1" si="7"/>
        <v>0</v>
      </c>
      <c r="Y37" s="54" t="str">
        <f t="shared" ca="1" si="8"/>
        <v/>
      </c>
      <c r="Z37" s="74" t="str">
        <f t="shared" ca="1" si="9"/>
        <v/>
      </c>
      <c r="AA37" s="54" t="str">
        <f t="shared" ca="1" si="10"/>
        <v/>
      </c>
      <c r="AB37" s="74" t="str">
        <f t="shared" ca="1" si="11"/>
        <v/>
      </c>
      <c r="AC37" s="54" t="str">
        <f t="shared" ca="1" si="12"/>
        <v/>
      </c>
      <c r="AD37" s="74" t="str">
        <f t="shared" ca="1" si="13"/>
        <v/>
      </c>
      <c r="AE37" s="54" t="str">
        <f t="shared" ca="1" si="14"/>
        <v/>
      </c>
      <c r="AF37" s="74" t="str">
        <f t="shared" ca="1" si="15"/>
        <v/>
      </c>
      <c r="AG37" s="54" t="str">
        <f t="shared" ca="1" si="16"/>
        <v/>
      </c>
      <c r="AH37" s="74" t="str">
        <f t="shared" ca="1" si="17"/>
        <v/>
      </c>
      <c r="AI37" s="54" t="str">
        <f t="shared" ca="1" si="18"/>
        <v/>
      </c>
      <c r="AJ37" s="74" t="str">
        <f t="shared" ca="1" si="19"/>
        <v/>
      </c>
      <c r="AK37" s="54" t="str">
        <f t="shared" ca="1" si="20"/>
        <v/>
      </c>
      <c r="AL37" s="74" t="str">
        <f t="shared" ca="1" si="21"/>
        <v/>
      </c>
      <c r="AM37" s="54" t="str">
        <f t="shared" ca="1" si="22"/>
        <v/>
      </c>
      <c r="AN37" s="74" t="str">
        <f t="shared" ca="1" si="23"/>
        <v/>
      </c>
      <c r="AO37" s="54" t="str">
        <f t="shared" ca="1" si="24"/>
        <v/>
      </c>
      <c r="AP37" s="74" t="str">
        <f t="shared" ca="1" si="25"/>
        <v/>
      </c>
      <c r="AQ37" s="54" t="str">
        <f t="shared" ca="1" si="26"/>
        <v/>
      </c>
      <c r="AR37" s="74" t="str">
        <f t="shared" ca="1" si="27"/>
        <v/>
      </c>
    </row>
    <row r="38" spans="2:44" ht="15" customHeight="1" x14ac:dyDescent="0.25">
      <c r="B38" s="1" t="s">
        <v>649</v>
      </c>
      <c r="C38" s="1" t="s">
        <v>264</v>
      </c>
      <c r="D38" s="1" t="s">
        <v>650</v>
      </c>
      <c r="E38" s="1"/>
      <c r="F38" s="1" t="s">
        <v>651</v>
      </c>
      <c r="G38" s="1" t="s">
        <v>652</v>
      </c>
      <c r="H38" s="1" t="s">
        <v>583</v>
      </c>
      <c r="I38" s="1" t="s">
        <v>653</v>
      </c>
      <c r="J38" s="1" t="s">
        <v>648</v>
      </c>
      <c r="K38" s="1" t="s">
        <v>643</v>
      </c>
      <c r="L38" s="1"/>
      <c r="M38" s="1">
        <v>1</v>
      </c>
      <c r="N38" s="1"/>
      <c r="O38" s="1"/>
      <c r="P38" s="1"/>
      <c r="Q38" s="73">
        <f t="shared" ca="1" si="0"/>
        <v>1</v>
      </c>
      <c r="R38" s="74">
        <f t="shared" ca="1" si="1"/>
        <v>0</v>
      </c>
      <c r="S38" s="54" t="str">
        <f t="shared" ca="1" si="2"/>
        <v/>
      </c>
      <c r="T38" s="74" t="str">
        <f t="shared" ca="1" si="3"/>
        <v/>
      </c>
      <c r="U38" s="54" t="str">
        <f t="shared" ca="1" si="4"/>
        <v/>
      </c>
      <c r="V38" s="74" t="str">
        <f t="shared" ca="1" si="5"/>
        <v/>
      </c>
      <c r="W38" s="54" t="str">
        <f t="shared" ca="1" si="6"/>
        <v/>
      </c>
      <c r="X38" s="74" t="str">
        <f t="shared" ca="1" si="7"/>
        <v/>
      </c>
      <c r="Y38" s="54" t="str">
        <f t="shared" ca="1" si="8"/>
        <v/>
      </c>
      <c r="Z38" s="74" t="str">
        <f t="shared" ca="1" si="9"/>
        <v/>
      </c>
      <c r="AA38" s="54" t="str">
        <f t="shared" ca="1" si="10"/>
        <v/>
      </c>
      <c r="AB38" s="74" t="str">
        <f t="shared" ca="1" si="11"/>
        <v/>
      </c>
      <c r="AC38" s="54">
        <f t="shared" ca="1" si="12"/>
        <v>1</v>
      </c>
      <c r="AD38" s="74">
        <f t="shared" ca="1" si="13"/>
        <v>0</v>
      </c>
      <c r="AE38" s="54" t="str">
        <f t="shared" ca="1" si="14"/>
        <v/>
      </c>
      <c r="AF38" s="74" t="str">
        <f t="shared" ca="1" si="15"/>
        <v/>
      </c>
      <c r="AG38" s="54" t="str">
        <f t="shared" ca="1" si="16"/>
        <v/>
      </c>
      <c r="AH38" s="74" t="str">
        <f t="shared" ca="1" si="17"/>
        <v/>
      </c>
      <c r="AI38" s="54" t="str">
        <f t="shared" ca="1" si="18"/>
        <v/>
      </c>
      <c r="AJ38" s="74" t="str">
        <f t="shared" ca="1" si="19"/>
        <v/>
      </c>
      <c r="AK38" s="54" t="str">
        <f t="shared" ca="1" si="20"/>
        <v/>
      </c>
      <c r="AL38" s="74" t="str">
        <f t="shared" ca="1" si="21"/>
        <v/>
      </c>
      <c r="AM38" s="54" t="str">
        <f t="shared" ca="1" si="22"/>
        <v/>
      </c>
      <c r="AN38" s="74" t="str">
        <f t="shared" ca="1" si="23"/>
        <v/>
      </c>
      <c r="AO38" s="54" t="str">
        <f t="shared" ca="1" si="24"/>
        <v/>
      </c>
      <c r="AP38" s="74" t="str">
        <f t="shared" ca="1" si="25"/>
        <v/>
      </c>
      <c r="AQ38" s="54" t="str">
        <f t="shared" ca="1" si="26"/>
        <v/>
      </c>
      <c r="AR38" s="74" t="str">
        <f t="shared" ca="1" si="27"/>
        <v/>
      </c>
    </row>
    <row r="39" spans="2:44" ht="15" customHeight="1" x14ac:dyDescent="0.25">
      <c r="B39" s="1" t="s">
        <v>654</v>
      </c>
      <c r="C39" s="1" t="s">
        <v>417</v>
      </c>
      <c r="D39" s="1" t="s">
        <v>418</v>
      </c>
      <c r="E39" s="1"/>
      <c r="F39" s="1" t="s">
        <v>655</v>
      </c>
      <c r="G39" s="1" t="s">
        <v>656</v>
      </c>
      <c r="H39" s="1" t="s">
        <v>583</v>
      </c>
      <c r="I39" s="1" t="s">
        <v>657</v>
      </c>
      <c r="J39" s="1" t="s">
        <v>648</v>
      </c>
      <c r="K39" s="1" t="s">
        <v>643</v>
      </c>
      <c r="L39" s="1"/>
      <c r="M39" s="1">
        <v>1</v>
      </c>
      <c r="N39" s="1"/>
      <c r="O39" s="1"/>
      <c r="P39" s="1"/>
      <c r="Q39" s="73">
        <f t="shared" ca="1" si="0"/>
        <v>10</v>
      </c>
      <c r="R39" s="74">
        <f t="shared" ca="1" si="1"/>
        <v>0</v>
      </c>
      <c r="S39" s="54">
        <f t="shared" ca="1" si="2"/>
        <v>2</v>
      </c>
      <c r="T39" s="74">
        <f t="shared" ca="1" si="3"/>
        <v>0</v>
      </c>
      <c r="U39" s="54">
        <f t="shared" ca="1" si="4"/>
        <v>2</v>
      </c>
      <c r="V39" s="74">
        <f t="shared" ca="1" si="5"/>
        <v>0</v>
      </c>
      <c r="W39" s="54">
        <f t="shared" ca="1" si="6"/>
        <v>3</v>
      </c>
      <c r="X39" s="74">
        <f t="shared" ca="1" si="7"/>
        <v>0</v>
      </c>
      <c r="Y39" s="54">
        <f t="shared" ca="1" si="8"/>
        <v>2</v>
      </c>
      <c r="Z39" s="74">
        <f t="shared" ca="1" si="9"/>
        <v>0</v>
      </c>
      <c r="AA39" s="54">
        <f t="shared" ca="1" si="10"/>
        <v>1</v>
      </c>
      <c r="AB39" s="74">
        <f t="shared" ca="1" si="11"/>
        <v>0</v>
      </c>
      <c r="AC39" s="54" t="str">
        <f t="shared" ca="1" si="12"/>
        <v/>
      </c>
      <c r="AD39" s="74" t="str">
        <f t="shared" ca="1" si="13"/>
        <v/>
      </c>
      <c r="AE39" s="54" t="str">
        <f t="shared" ca="1" si="14"/>
        <v/>
      </c>
      <c r="AF39" s="74" t="str">
        <f t="shared" ca="1" si="15"/>
        <v/>
      </c>
      <c r="AG39" s="54" t="str">
        <f t="shared" ca="1" si="16"/>
        <v/>
      </c>
      <c r="AH39" s="74" t="str">
        <f t="shared" ca="1" si="17"/>
        <v/>
      </c>
      <c r="AI39" s="54" t="str">
        <f t="shared" ca="1" si="18"/>
        <v/>
      </c>
      <c r="AJ39" s="74" t="str">
        <f t="shared" ca="1" si="19"/>
        <v/>
      </c>
      <c r="AK39" s="54" t="str">
        <f t="shared" ca="1" si="20"/>
        <v/>
      </c>
      <c r="AL39" s="74" t="str">
        <f t="shared" ca="1" si="21"/>
        <v/>
      </c>
      <c r="AM39" s="54" t="str">
        <f t="shared" ca="1" si="22"/>
        <v/>
      </c>
      <c r="AN39" s="74" t="str">
        <f t="shared" ca="1" si="23"/>
        <v/>
      </c>
      <c r="AO39" s="54" t="str">
        <f t="shared" ca="1" si="24"/>
        <v/>
      </c>
      <c r="AP39" s="74" t="str">
        <f t="shared" ca="1" si="25"/>
        <v/>
      </c>
      <c r="AQ39" s="54" t="str">
        <f t="shared" ca="1" si="26"/>
        <v/>
      </c>
      <c r="AR39" s="74" t="str">
        <f t="shared" ca="1" si="27"/>
        <v/>
      </c>
    </row>
    <row r="40" spans="2:44" ht="15" customHeight="1" x14ac:dyDescent="0.25">
      <c r="B40" s="1" t="s">
        <v>1641</v>
      </c>
      <c r="C40" s="1" t="s">
        <v>345</v>
      </c>
      <c r="D40" s="1" t="s">
        <v>1642</v>
      </c>
      <c r="E40" s="1"/>
      <c r="F40" s="1" t="s">
        <v>1643</v>
      </c>
      <c r="G40" s="1" t="s">
        <v>1644</v>
      </c>
      <c r="H40" s="1" t="s">
        <v>583</v>
      </c>
      <c r="I40" s="1" t="s">
        <v>1645</v>
      </c>
      <c r="J40" s="1" t="s">
        <v>648</v>
      </c>
      <c r="K40" s="1" t="s">
        <v>643</v>
      </c>
      <c r="L40" s="1"/>
      <c r="M40" s="1">
        <v>15</v>
      </c>
      <c r="N40" s="1"/>
      <c r="O40" s="1"/>
      <c r="P40" s="1"/>
      <c r="Q40" s="73" t="str">
        <f t="shared" ca="1" si="0"/>
        <v/>
      </c>
      <c r="R40" s="74" t="str">
        <f t="shared" ca="1" si="1"/>
        <v/>
      </c>
      <c r="S40" s="54" t="str">
        <f t="shared" ca="1" si="2"/>
        <v/>
      </c>
      <c r="T40" s="74" t="str">
        <f t="shared" ca="1" si="3"/>
        <v/>
      </c>
      <c r="U40" s="54" t="str">
        <f t="shared" ca="1" si="4"/>
        <v/>
      </c>
      <c r="V40" s="74" t="str">
        <f t="shared" ca="1" si="5"/>
        <v/>
      </c>
      <c r="W40" s="54" t="str">
        <f t="shared" ca="1" si="6"/>
        <v/>
      </c>
      <c r="X40" s="74" t="str">
        <f t="shared" ca="1" si="7"/>
        <v/>
      </c>
      <c r="Y40" s="54" t="str">
        <f t="shared" ca="1" si="8"/>
        <v/>
      </c>
      <c r="Z40" s="74" t="str">
        <f t="shared" ca="1" si="9"/>
        <v/>
      </c>
      <c r="AA40" s="54" t="str">
        <f t="shared" ca="1" si="10"/>
        <v/>
      </c>
      <c r="AB40" s="74" t="str">
        <f t="shared" ca="1" si="11"/>
        <v/>
      </c>
      <c r="AC40" s="54" t="str">
        <f t="shared" ca="1" si="12"/>
        <v/>
      </c>
      <c r="AD40" s="74" t="str">
        <f t="shared" ca="1" si="13"/>
        <v/>
      </c>
      <c r="AE40" s="54" t="str">
        <f t="shared" ca="1" si="14"/>
        <v/>
      </c>
      <c r="AF40" s="74" t="str">
        <f t="shared" ca="1" si="15"/>
        <v/>
      </c>
      <c r="AG40" s="54" t="str">
        <f t="shared" ca="1" si="16"/>
        <v/>
      </c>
      <c r="AH40" s="74" t="str">
        <f t="shared" ca="1" si="17"/>
        <v/>
      </c>
      <c r="AI40" s="54" t="str">
        <f t="shared" ca="1" si="18"/>
        <v/>
      </c>
      <c r="AJ40" s="74" t="str">
        <f t="shared" ca="1" si="19"/>
        <v/>
      </c>
      <c r="AK40" s="54" t="str">
        <f t="shared" ca="1" si="20"/>
        <v/>
      </c>
      <c r="AL40" s="74" t="str">
        <f t="shared" ca="1" si="21"/>
        <v/>
      </c>
      <c r="AM40" s="54" t="str">
        <f t="shared" ca="1" si="22"/>
        <v/>
      </c>
      <c r="AN40" s="74" t="str">
        <f t="shared" ca="1" si="23"/>
        <v/>
      </c>
      <c r="AO40" s="54" t="str">
        <f t="shared" ca="1" si="24"/>
        <v/>
      </c>
      <c r="AP40" s="74" t="str">
        <f t="shared" ca="1" si="25"/>
        <v/>
      </c>
      <c r="AQ40" s="54" t="str">
        <f t="shared" ca="1" si="26"/>
        <v/>
      </c>
      <c r="AR40" s="74" t="str">
        <f t="shared" ca="1" si="27"/>
        <v/>
      </c>
    </row>
    <row r="41" spans="2:44" ht="15" customHeight="1" x14ac:dyDescent="0.25">
      <c r="B41" s="1" t="s">
        <v>658</v>
      </c>
      <c r="C41" s="1" t="s">
        <v>659</v>
      </c>
      <c r="D41" s="1" t="s">
        <v>660</v>
      </c>
      <c r="E41" s="1"/>
      <c r="F41" s="1" t="s">
        <v>661</v>
      </c>
      <c r="G41" s="1" t="s">
        <v>662</v>
      </c>
      <c r="H41" s="1" t="s">
        <v>583</v>
      </c>
      <c r="I41" s="1" t="s">
        <v>663</v>
      </c>
      <c r="J41" s="1" t="s">
        <v>607</v>
      </c>
      <c r="K41" s="1"/>
      <c r="L41" s="1"/>
      <c r="M41" s="1">
        <v>1</v>
      </c>
      <c r="N41" s="1"/>
      <c r="O41" s="1"/>
      <c r="P41" s="1"/>
      <c r="Q41" s="73">
        <f t="shared" ca="1" si="0"/>
        <v>2</v>
      </c>
      <c r="R41" s="74">
        <f t="shared" ca="1" si="1"/>
        <v>0</v>
      </c>
      <c r="S41" s="54" t="str">
        <f t="shared" ca="1" si="2"/>
        <v/>
      </c>
      <c r="T41" s="74" t="str">
        <f t="shared" ca="1" si="3"/>
        <v/>
      </c>
      <c r="U41" s="54" t="str">
        <f t="shared" ca="1" si="4"/>
        <v/>
      </c>
      <c r="V41" s="74" t="str">
        <f t="shared" ca="1" si="5"/>
        <v/>
      </c>
      <c r="W41" s="54">
        <f t="shared" ca="1" si="6"/>
        <v>2</v>
      </c>
      <c r="X41" s="74">
        <f t="shared" ca="1" si="7"/>
        <v>0</v>
      </c>
      <c r="Y41" s="54" t="str">
        <f t="shared" ca="1" si="8"/>
        <v/>
      </c>
      <c r="Z41" s="74" t="str">
        <f t="shared" ca="1" si="9"/>
        <v/>
      </c>
      <c r="AA41" s="54" t="str">
        <f t="shared" ca="1" si="10"/>
        <v/>
      </c>
      <c r="AB41" s="74" t="str">
        <f t="shared" ca="1" si="11"/>
        <v/>
      </c>
      <c r="AC41" s="54" t="str">
        <f t="shared" ca="1" si="12"/>
        <v/>
      </c>
      <c r="AD41" s="74" t="str">
        <f t="shared" ca="1" si="13"/>
        <v/>
      </c>
      <c r="AE41" s="54" t="str">
        <f t="shared" ca="1" si="14"/>
        <v/>
      </c>
      <c r="AF41" s="74" t="str">
        <f t="shared" ca="1" si="15"/>
        <v/>
      </c>
      <c r="AG41" s="54" t="str">
        <f t="shared" ca="1" si="16"/>
        <v/>
      </c>
      <c r="AH41" s="74" t="str">
        <f t="shared" ca="1" si="17"/>
        <v/>
      </c>
      <c r="AI41" s="54" t="str">
        <f t="shared" ca="1" si="18"/>
        <v/>
      </c>
      <c r="AJ41" s="74" t="str">
        <f t="shared" ca="1" si="19"/>
        <v/>
      </c>
      <c r="AK41" s="54" t="str">
        <f t="shared" ca="1" si="20"/>
        <v/>
      </c>
      <c r="AL41" s="74" t="str">
        <f t="shared" ca="1" si="21"/>
        <v/>
      </c>
      <c r="AM41" s="54" t="str">
        <f t="shared" ca="1" si="22"/>
        <v/>
      </c>
      <c r="AN41" s="74" t="str">
        <f t="shared" ca="1" si="23"/>
        <v/>
      </c>
      <c r="AO41" s="54" t="str">
        <f t="shared" ca="1" si="24"/>
        <v/>
      </c>
      <c r="AP41" s="74" t="str">
        <f t="shared" ca="1" si="25"/>
        <v/>
      </c>
      <c r="AQ41" s="54" t="str">
        <f t="shared" ca="1" si="26"/>
        <v/>
      </c>
      <c r="AR41" s="74" t="str">
        <f t="shared" ca="1" si="27"/>
        <v/>
      </c>
    </row>
    <row r="42" spans="2:44" ht="15" customHeight="1" x14ac:dyDescent="0.25">
      <c r="B42" s="1" t="s">
        <v>664</v>
      </c>
      <c r="C42" s="1" t="s">
        <v>155</v>
      </c>
      <c r="D42" s="1" t="s">
        <v>156</v>
      </c>
      <c r="E42" s="1"/>
      <c r="F42" s="1" t="s">
        <v>550</v>
      </c>
      <c r="G42" s="1" t="s">
        <v>665</v>
      </c>
      <c r="H42" s="1" t="s">
        <v>583</v>
      </c>
      <c r="I42" s="1" t="s">
        <v>666</v>
      </c>
      <c r="J42" s="1" t="s">
        <v>667</v>
      </c>
      <c r="K42" s="1" t="s">
        <v>663</v>
      </c>
      <c r="L42" s="1"/>
      <c r="M42" s="1">
        <v>1</v>
      </c>
      <c r="N42" s="1"/>
      <c r="O42" s="1"/>
      <c r="P42" s="1"/>
      <c r="Q42" s="73">
        <f t="shared" ca="1" si="0"/>
        <v>5</v>
      </c>
      <c r="R42" s="74">
        <f t="shared" ca="1" si="1"/>
        <v>2</v>
      </c>
      <c r="S42" s="54">
        <f t="shared" ca="1" si="2"/>
        <v>1</v>
      </c>
      <c r="T42" s="74">
        <f t="shared" ca="1" si="3"/>
        <v>8</v>
      </c>
      <c r="U42" s="54" t="str">
        <f t="shared" ca="1" si="4"/>
        <v/>
      </c>
      <c r="V42" s="74" t="str">
        <f t="shared" ca="1" si="5"/>
        <v/>
      </c>
      <c r="W42" s="54" t="str">
        <f t="shared" ca="1" si="6"/>
        <v/>
      </c>
      <c r="X42" s="74" t="str">
        <f t="shared" ca="1" si="7"/>
        <v/>
      </c>
      <c r="Y42" s="54">
        <f t="shared" ca="1" si="8"/>
        <v>2</v>
      </c>
      <c r="Z42" s="74">
        <f t="shared" ca="1" si="9"/>
        <v>0</v>
      </c>
      <c r="AA42" s="54">
        <f t="shared" ca="1" si="10"/>
        <v>1</v>
      </c>
      <c r="AB42" s="74">
        <f t="shared" ca="1" si="11"/>
        <v>0</v>
      </c>
      <c r="AC42" s="54">
        <f t="shared" ca="1" si="12"/>
        <v>1</v>
      </c>
      <c r="AD42" s="74">
        <f t="shared" ca="1" si="13"/>
        <v>0</v>
      </c>
      <c r="AE42" s="54" t="str">
        <f t="shared" ca="1" si="14"/>
        <v/>
      </c>
      <c r="AF42" s="74" t="str">
        <f t="shared" ca="1" si="15"/>
        <v/>
      </c>
      <c r="AG42" s="54" t="str">
        <f t="shared" ca="1" si="16"/>
        <v/>
      </c>
      <c r="AH42" s="74" t="str">
        <f t="shared" ca="1" si="17"/>
        <v/>
      </c>
      <c r="AI42" s="54" t="str">
        <f t="shared" ca="1" si="18"/>
        <v/>
      </c>
      <c r="AJ42" s="74" t="str">
        <f t="shared" ca="1" si="19"/>
        <v/>
      </c>
      <c r="AK42" s="54" t="str">
        <f t="shared" ca="1" si="20"/>
        <v/>
      </c>
      <c r="AL42" s="74" t="str">
        <f t="shared" ca="1" si="21"/>
        <v/>
      </c>
      <c r="AM42" s="54" t="str">
        <f t="shared" ca="1" si="22"/>
        <v/>
      </c>
      <c r="AN42" s="74" t="str">
        <f t="shared" ca="1" si="23"/>
        <v/>
      </c>
      <c r="AO42" s="54" t="str">
        <f t="shared" ca="1" si="24"/>
        <v/>
      </c>
      <c r="AP42" s="74" t="str">
        <f t="shared" ca="1" si="25"/>
        <v/>
      </c>
      <c r="AQ42" s="54" t="str">
        <f t="shared" ca="1" si="26"/>
        <v/>
      </c>
      <c r="AR42" s="74" t="str">
        <f t="shared" ca="1" si="27"/>
        <v/>
      </c>
    </row>
    <row r="43" spans="2:44" ht="15" customHeight="1" x14ac:dyDescent="0.25">
      <c r="B43" s="1" t="s">
        <v>668</v>
      </c>
      <c r="C43" s="1" t="s">
        <v>669</v>
      </c>
      <c r="D43" s="1" t="s">
        <v>670</v>
      </c>
      <c r="E43" s="1"/>
      <c r="F43" s="1" t="s">
        <v>671</v>
      </c>
      <c r="G43" s="1" t="s">
        <v>672</v>
      </c>
      <c r="H43" s="1" t="s">
        <v>583</v>
      </c>
      <c r="I43" s="1" t="s">
        <v>673</v>
      </c>
      <c r="J43" s="1" t="s">
        <v>667</v>
      </c>
      <c r="K43" s="1" t="s">
        <v>663</v>
      </c>
      <c r="L43" s="1"/>
      <c r="M43" s="1">
        <v>1</v>
      </c>
      <c r="N43" s="1"/>
      <c r="O43" s="1"/>
      <c r="P43" s="1"/>
      <c r="Q43" s="73">
        <f t="shared" ca="1" si="0"/>
        <v>2</v>
      </c>
      <c r="R43" s="74">
        <f t="shared" ca="1" si="1"/>
        <v>0</v>
      </c>
      <c r="S43" s="54" t="str">
        <f t="shared" ca="1" si="2"/>
        <v/>
      </c>
      <c r="T43" s="74" t="str">
        <f t="shared" ca="1" si="3"/>
        <v/>
      </c>
      <c r="U43" s="54">
        <f t="shared" ca="1" si="4"/>
        <v>1</v>
      </c>
      <c r="V43" s="74">
        <f t="shared" ca="1" si="5"/>
        <v>0</v>
      </c>
      <c r="W43" s="54">
        <f t="shared" ca="1" si="6"/>
        <v>1</v>
      </c>
      <c r="X43" s="74">
        <f t="shared" ca="1" si="7"/>
        <v>0</v>
      </c>
      <c r="Y43" s="54" t="str">
        <f t="shared" ca="1" si="8"/>
        <v/>
      </c>
      <c r="Z43" s="74" t="str">
        <f t="shared" ca="1" si="9"/>
        <v/>
      </c>
      <c r="AA43" s="54" t="str">
        <f t="shared" ca="1" si="10"/>
        <v/>
      </c>
      <c r="AB43" s="74" t="str">
        <f t="shared" ca="1" si="11"/>
        <v/>
      </c>
      <c r="AC43" s="54" t="str">
        <f t="shared" ca="1" si="12"/>
        <v/>
      </c>
      <c r="AD43" s="74" t="str">
        <f t="shared" ca="1" si="13"/>
        <v/>
      </c>
      <c r="AE43" s="54" t="str">
        <f t="shared" ca="1" si="14"/>
        <v/>
      </c>
      <c r="AF43" s="74" t="str">
        <f t="shared" ca="1" si="15"/>
        <v/>
      </c>
      <c r="AG43" s="54" t="str">
        <f t="shared" ca="1" si="16"/>
        <v/>
      </c>
      <c r="AH43" s="74" t="str">
        <f t="shared" ca="1" si="17"/>
        <v/>
      </c>
      <c r="AI43" s="54" t="str">
        <f t="shared" ca="1" si="18"/>
        <v/>
      </c>
      <c r="AJ43" s="74" t="str">
        <f t="shared" ca="1" si="19"/>
        <v/>
      </c>
      <c r="AK43" s="54" t="str">
        <f t="shared" ca="1" si="20"/>
        <v/>
      </c>
      <c r="AL43" s="74" t="str">
        <f t="shared" ca="1" si="21"/>
        <v/>
      </c>
      <c r="AM43" s="54" t="str">
        <f t="shared" ca="1" si="22"/>
        <v/>
      </c>
      <c r="AN43" s="74" t="str">
        <f t="shared" ca="1" si="23"/>
        <v/>
      </c>
      <c r="AO43" s="54" t="str">
        <f t="shared" ca="1" si="24"/>
        <v/>
      </c>
      <c r="AP43" s="74" t="str">
        <f t="shared" ca="1" si="25"/>
        <v/>
      </c>
      <c r="AQ43" s="54" t="str">
        <f t="shared" ca="1" si="26"/>
        <v/>
      </c>
      <c r="AR43" s="74" t="str">
        <f t="shared" ca="1" si="27"/>
        <v/>
      </c>
    </row>
    <row r="44" spans="2:44" ht="15" customHeight="1" x14ac:dyDescent="0.25">
      <c r="B44" s="1" t="s">
        <v>701</v>
      </c>
      <c r="C44" s="1" t="s">
        <v>696</v>
      </c>
      <c r="D44" s="1" t="s">
        <v>702</v>
      </c>
      <c r="E44" s="1"/>
      <c r="F44" s="1" t="s">
        <v>703</v>
      </c>
      <c r="G44" s="1" t="s">
        <v>704</v>
      </c>
      <c r="H44" s="1" t="s">
        <v>583</v>
      </c>
      <c r="I44" s="1" t="s">
        <v>705</v>
      </c>
      <c r="J44" s="1" t="s">
        <v>667</v>
      </c>
      <c r="K44" s="1" t="s">
        <v>663</v>
      </c>
      <c r="L44" s="1"/>
      <c r="M44" s="1">
        <v>1</v>
      </c>
      <c r="N44" s="1"/>
      <c r="O44" s="1"/>
      <c r="P44" s="1"/>
      <c r="Q44" s="73" t="str">
        <f t="shared" ca="1" si="0"/>
        <v/>
      </c>
      <c r="R44" s="74" t="str">
        <f t="shared" ca="1" si="1"/>
        <v/>
      </c>
      <c r="S44" s="54" t="str">
        <f t="shared" ca="1" si="2"/>
        <v/>
      </c>
      <c r="T44" s="74" t="str">
        <f t="shared" ca="1" si="3"/>
        <v/>
      </c>
      <c r="U44" s="54" t="str">
        <f t="shared" ca="1" si="4"/>
        <v/>
      </c>
      <c r="V44" s="74" t="str">
        <f t="shared" ca="1" si="5"/>
        <v/>
      </c>
      <c r="W44" s="54" t="str">
        <f t="shared" ca="1" si="6"/>
        <v/>
      </c>
      <c r="X44" s="74" t="str">
        <f t="shared" ca="1" si="7"/>
        <v/>
      </c>
      <c r="Y44" s="54" t="str">
        <f t="shared" ca="1" si="8"/>
        <v/>
      </c>
      <c r="Z44" s="74" t="str">
        <f t="shared" ca="1" si="9"/>
        <v/>
      </c>
      <c r="AA44" s="54" t="str">
        <f t="shared" ca="1" si="10"/>
        <v/>
      </c>
      <c r="AB44" s="74" t="str">
        <f t="shared" ca="1" si="11"/>
        <v/>
      </c>
      <c r="AC44" s="54" t="str">
        <f t="shared" ca="1" si="12"/>
        <v/>
      </c>
      <c r="AD44" s="74" t="str">
        <f t="shared" ca="1" si="13"/>
        <v/>
      </c>
      <c r="AE44" s="54" t="str">
        <f t="shared" ca="1" si="14"/>
        <v/>
      </c>
      <c r="AF44" s="74" t="str">
        <f t="shared" ca="1" si="15"/>
        <v/>
      </c>
      <c r="AG44" s="54" t="str">
        <f t="shared" ca="1" si="16"/>
        <v/>
      </c>
      <c r="AH44" s="74" t="str">
        <f t="shared" ca="1" si="17"/>
        <v/>
      </c>
      <c r="AI44" s="54" t="str">
        <f t="shared" ca="1" si="18"/>
        <v/>
      </c>
      <c r="AJ44" s="74" t="str">
        <f t="shared" ca="1" si="19"/>
        <v/>
      </c>
      <c r="AK44" s="54" t="str">
        <f t="shared" ca="1" si="20"/>
        <v/>
      </c>
      <c r="AL44" s="74" t="str">
        <f t="shared" ca="1" si="21"/>
        <v/>
      </c>
      <c r="AM44" s="54" t="str">
        <f t="shared" ca="1" si="22"/>
        <v/>
      </c>
      <c r="AN44" s="74" t="str">
        <f t="shared" ca="1" si="23"/>
        <v/>
      </c>
      <c r="AO44" s="54" t="str">
        <f t="shared" ca="1" si="24"/>
        <v/>
      </c>
      <c r="AP44" s="74" t="str">
        <f t="shared" ca="1" si="25"/>
        <v/>
      </c>
      <c r="AQ44" s="54" t="str">
        <f t="shared" ca="1" si="26"/>
        <v/>
      </c>
      <c r="AR44" s="74" t="str">
        <f t="shared" ca="1" si="27"/>
        <v/>
      </c>
    </row>
    <row r="45" spans="2:44" ht="15" customHeight="1" x14ac:dyDescent="0.25">
      <c r="B45" s="1" t="s">
        <v>674</v>
      </c>
      <c r="C45" s="1" t="s">
        <v>411</v>
      </c>
      <c r="D45" s="1" t="s">
        <v>412</v>
      </c>
      <c r="E45" s="1"/>
      <c r="F45" s="1" t="s">
        <v>675</v>
      </c>
      <c r="G45" s="1" t="s">
        <v>676</v>
      </c>
      <c r="H45" s="1" t="s">
        <v>583</v>
      </c>
      <c r="I45" s="1" t="s">
        <v>677</v>
      </c>
      <c r="J45" s="1" t="s">
        <v>667</v>
      </c>
      <c r="K45" s="1" t="s">
        <v>663</v>
      </c>
      <c r="L45" s="1"/>
      <c r="M45" s="1">
        <v>1</v>
      </c>
      <c r="N45" s="1"/>
      <c r="O45" s="1"/>
      <c r="P45" s="1"/>
      <c r="Q45" s="73">
        <f t="shared" ca="1" si="0"/>
        <v>33</v>
      </c>
      <c r="R45" s="74">
        <f t="shared" ca="1" si="1"/>
        <v>0</v>
      </c>
      <c r="S45" s="54">
        <f t="shared" ca="1" si="2"/>
        <v>4</v>
      </c>
      <c r="T45" s="74">
        <f t="shared" ca="1" si="3"/>
        <v>0</v>
      </c>
      <c r="U45" s="54">
        <f t="shared" ca="1" si="4"/>
        <v>2</v>
      </c>
      <c r="V45" s="74">
        <f t="shared" ca="1" si="5"/>
        <v>0</v>
      </c>
      <c r="W45" s="54">
        <f t="shared" ca="1" si="6"/>
        <v>3</v>
      </c>
      <c r="X45" s="74">
        <f t="shared" ca="1" si="7"/>
        <v>0</v>
      </c>
      <c r="Y45" s="54">
        <f t="shared" ca="1" si="8"/>
        <v>7</v>
      </c>
      <c r="Z45" s="74">
        <f t="shared" ca="1" si="9"/>
        <v>0</v>
      </c>
      <c r="AA45" s="54">
        <f t="shared" ca="1" si="10"/>
        <v>10</v>
      </c>
      <c r="AB45" s="74">
        <f t="shared" ca="1" si="11"/>
        <v>0</v>
      </c>
      <c r="AC45" s="54">
        <f t="shared" ca="1" si="12"/>
        <v>7</v>
      </c>
      <c r="AD45" s="74">
        <f t="shared" ca="1" si="13"/>
        <v>0</v>
      </c>
      <c r="AE45" s="54" t="str">
        <f t="shared" ca="1" si="14"/>
        <v/>
      </c>
      <c r="AF45" s="74" t="str">
        <f t="shared" ca="1" si="15"/>
        <v/>
      </c>
      <c r="AG45" s="54" t="str">
        <f t="shared" ca="1" si="16"/>
        <v/>
      </c>
      <c r="AH45" s="74" t="str">
        <f t="shared" ca="1" si="17"/>
        <v/>
      </c>
      <c r="AI45" s="54" t="str">
        <f t="shared" ca="1" si="18"/>
        <v/>
      </c>
      <c r="AJ45" s="74" t="str">
        <f t="shared" ca="1" si="19"/>
        <v/>
      </c>
      <c r="AK45" s="54" t="str">
        <f t="shared" ca="1" si="20"/>
        <v/>
      </c>
      <c r="AL45" s="74" t="str">
        <f t="shared" ca="1" si="21"/>
        <v/>
      </c>
      <c r="AM45" s="54" t="str">
        <f t="shared" ca="1" si="22"/>
        <v/>
      </c>
      <c r="AN45" s="74" t="str">
        <f t="shared" ca="1" si="23"/>
        <v/>
      </c>
      <c r="AO45" s="54" t="str">
        <f t="shared" ca="1" si="24"/>
        <v/>
      </c>
      <c r="AP45" s="74" t="str">
        <f t="shared" ca="1" si="25"/>
        <v/>
      </c>
      <c r="AQ45" s="54" t="str">
        <f t="shared" ca="1" si="26"/>
        <v/>
      </c>
      <c r="AR45" s="74" t="str">
        <f t="shared" ca="1" si="27"/>
        <v/>
      </c>
    </row>
    <row r="46" spans="2:44" ht="15" customHeight="1" x14ac:dyDescent="0.25">
      <c r="B46" s="1" t="s">
        <v>678</v>
      </c>
      <c r="C46" s="1" t="s">
        <v>679</v>
      </c>
      <c r="D46" s="1" t="s">
        <v>680</v>
      </c>
      <c r="E46" s="1"/>
      <c r="F46" s="1" t="s">
        <v>681</v>
      </c>
      <c r="G46" s="1" t="s">
        <v>682</v>
      </c>
      <c r="H46" s="1" t="s">
        <v>583</v>
      </c>
      <c r="I46" s="1" t="s">
        <v>683</v>
      </c>
      <c r="J46" s="1" t="s">
        <v>607</v>
      </c>
      <c r="K46" s="1"/>
      <c r="L46" s="1"/>
      <c r="M46" s="1">
        <v>1</v>
      </c>
      <c r="N46" s="1"/>
      <c r="O46" s="1"/>
      <c r="P46" s="1"/>
      <c r="Q46" s="73" t="str">
        <f t="shared" ca="1" si="0"/>
        <v/>
      </c>
      <c r="R46" s="74" t="str">
        <f t="shared" ca="1" si="1"/>
        <v/>
      </c>
      <c r="S46" s="54" t="str">
        <f t="shared" ca="1" si="2"/>
        <v/>
      </c>
      <c r="T46" s="74" t="str">
        <f t="shared" ca="1" si="3"/>
        <v/>
      </c>
      <c r="U46" s="54" t="str">
        <f t="shared" ca="1" si="4"/>
        <v/>
      </c>
      <c r="V46" s="74" t="str">
        <f t="shared" ca="1" si="5"/>
        <v/>
      </c>
      <c r="W46" s="54" t="str">
        <f t="shared" ca="1" si="6"/>
        <v/>
      </c>
      <c r="X46" s="74" t="str">
        <f t="shared" ca="1" si="7"/>
        <v/>
      </c>
      <c r="Y46" s="54" t="str">
        <f t="shared" ca="1" si="8"/>
        <v/>
      </c>
      <c r="Z46" s="74" t="str">
        <f t="shared" ca="1" si="9"/>
        <v/>
      </c>
      <c r="AA46" s="54" t="str">
        <f t="shared" ca="1" si="10"/>
        <v/>
      </c>
      <c r="AB46" s="74" t="str">
        <f t="shared" ca="1" si="11"/>
        <v/>
      </c>
      <c r="AC46" s="54" t="str">
        <f t="shared" ca="1" si="12"/>
        <v/>
      </c>
      <c r="AD46" s="74" t="str">
        <f t="shared" ca="1" si="13"/>
        <v/>
      </c>
      <c r="AE46" s="54" t="str">
        <f t="shared" ca="1" si="14"/>
        <v/>
      </c>
      <c r="AF46" s="74" t="str">
        <f t="shared" ca="1" si="15"/>
        <v/>
      </c>
      <c r="AG46" s="54" t="str">
        <f t="shared" ca="1" si="16"/>
        <v/>
      </c>
      <c r="AH46" s="74" t="str">
        <f t="shared" ca="1" si="17"/>
        <v/>
      </c>
      <c r="AI46" s="54" t="str">
        <f t="shared" ca="1" si="18"/>
        <v/>
      </c>
      <c r="AJ46" s="74" t="str">
        <f t="shared" ca="1" si="19"/>
        <v/>
      </c>
      <c r="AK46" s="54" t="str">
        <f t="shared" ca="1" si="20"/>
        <v/>
      </c>
      <c r="AL46" s="74" t="str">
        <f t="shared" ca="1" si="21"/>
        <v/>
      </c>
      <c r="AM46" s="54" t="str">
        <f t="shared" ca="1" si="22"/>
        <v/>
      </c>
      <c r="AN46" s="74" t="str">
        <f t="shared" ca="1" si="23"/>
        <v/>
      </c>
      <c r="AO46" s="54" t="str">
        <f t="shared" ca="1" si="24"/>
        <v/>
      </c>
      <c r="AP46" s="74" t="str">
        <f t="shared" ca="1" si="25"/>
        <v/>
      </c>
      <c r="AQ46" s="54" t="str">
        <f t="shared" ca="1" si="26"/>
        <v/>
      </c>
      <c r="AR46" s="74" t="str">
        <f t="shared" ca="1" si="27"/>
        <v/>
      </c>
    </row>
    <row r="47" spans="2:44" ht="15" customHeight="1" x14ac:dyDescent="0.25">
      <c r="B47" s="1" t="s">
        <v>713</v>
      </c>
      <c r="C47" s="1" t="s">
        <v>714</v>
      </c>
      <c r="D47" s="1" t="s">
        <v>715</v>
      </c>
      <c r="E47" s="1"/>
      <c r="F47" s="1" t="s">
        <v>716</v>
      </c>
      <c r="G47" s="1" t="s">
        <v>717</v>
      </c>
      <c r="H47" s="1" t="s">
        <v>583</v>
      </c>
      <c r="I47" s="1" t="s">
        <v>718</v>
      </c>
      <c r="J47" s="1" t="s">
        <v>688</v>
      </c>
      <c r="K47" s="1" t="s">
        <v>683</v>
      </c>
      <c r="L47" s="1"/>
      <c r="M47" s="1">
        <v>1</v>
      </c>
      <c r="N47" s="1"/>
      <c r="O47" s="1"/>
      <c r="P47" s="1"/>
      <c r="Q47" s="73">
        <f t="shared" ca="1" si="0"/>
        <v>3</v>
      </c>
      <c r="R47" s="74">
        <f t="shared" ca="1" si="1"/>
        <v>0</v>
      </c>
      <c r="S47" s="54" t="str">
        <f t="shared" ca="1" si="2"/>
        <v/>
      </c>
      <c r="T47" s="74" t="str">
        <f t="shared" ca="1" si="3"/>
        <v/>
      </c>
      <c r="U47" s="54" t="str">
        <f t="shared" ca="1" si="4"/>
        <v/>
      </c>
      <c r="V47" s="74" t="str">
        <f t="shared" ca="1" si="5"/>
        <v/>
      </c>
      <c r="W47" s="54" t="str">
        <f t="shared" ca="1" si="6"/>
        <v/>
      </c>
      <c r="X47" s="74" t="str">
        <f t="shared" ca="1" si="7"/>
        <v/>
      </c>
      <c r="Y47" s="54" t="str">
        <f t="shared" ca="1" si="8"/>
        <v/>
      </c>
      <c r="Z47" s="74" t="str">
        <f t="shared" ca="1" si="9"/>
        <v/>
      </c>
      <c r="AA47" s="54" t="str">
        <f t="shared" ca="1" si="10"/>
        <v/>
      </c>
      <c r="AB47" s="74" t="str">
        <f t="shared" ca="1" si="11"/>
        <v/>
      </c>
      <c r="AC47" s="54">
        <f t="shared" ca="1" si="12"/>
        <v>3</v>
      </c>
      <c r="AD47" s="74">
        <f t="shared" ca="1" si="13"/>
        <v>0</v>
      </c>
      <c r="AE47" s="54" t="str">
        <f t="shared" ca="1" si="14"/>
        <v/>
      </c>
      <c r="AF47" s="74" t="str">
        <f t="shared" ca="1" si="15"/>
        <v/>
      </c>
      <c r="AG47" s="54" t="str">
        <f t="shared" ca="1" si="16"/>
        <v/>
      </c>
      <c r="AH47" s="74" t="str">
        <f t="shared" ca="1" si="17"/>
        <v/>
      </c>
      <c r="AI47" s="54" t="str">
        <f t="shared" ca="1" si="18"/>
        <v/>
      </c>
      <c r="AJ47" s="74" t="str">
        <f t="shared" ca="1" si="19"/>
        <v/>
      </c>
      <c r="AK47" s="54" t="str">
        <f t="shared" ca="1" si="20"/>
        <v/>
      </c>
      <c r="AL47" s="74" t="str">
        <f t="shared" ca="1" si="21"/>
        <v/>
      </c>
      <c r="AM47" s="54" t="str">
        <f t="shared" ca="1" si="22"/>
        <v/>
      </c>
      <c r="AN47" s="74" t="str">
        <f t="shared" ca="1" si="23"/>
        <v/>
      </c>
      <c r="AO47" s="54" t="str">
        <f t="shared" ca="1" si="24"/>
        <v/>
      </c>
      <c r="AP47" s="74" t="str">
        <f t="shared" ca="1" si="25"/>
        <v/>
      </c>
      <c r="AQ47" s="54" t="str">
        <f t="shared" ca="1" si="26"/>
        <v/>
      </c>
      <c r="AR47" s="74" t="str">
        <f t="shared" ca="1" si="27"/>
        <v/>
      </c>
    </row>
    <row r="48" spans="2:44" ht="15" customHeight="1" x14ac:dyDescent="0.25">
      <c r="B48" s="1" t="s">
        <v>689</v>
      </c>
      <c r="C48" s="1" t="s">
        <v>690</v>
      </c>
      <c r="D48" s="1" t="s">
        <v>691</v>
      </c>
      <c r="E48" s="1"/>
      <c r="F48" s="1" t="s">
        <v>692</v>
      </c>
      <c r="G48" s="1" t="s">
        <v>693</v>
      </c>
      <c r="H48" s="1" t="s">
        <v>583</v>
      </c>
      <c r="I48" s="1" t="s">
        <v>694</v>
      </c>
      <c r="J48" s="1" t="s">
        <v>688</v>
      </c>
      <c r="K48" s="1" t="s">
        <v>683</v>
      </c>
      <c r="L48" s="1"/>
      <c r="M48" s="1">
        <v>1</v>
      </c>
      <c r="N48" s="1"/>
      <c r="O48" s="1"/>
      <c r="P48" s="1"/>
      <c r="Q48" s="73" t="str">
        <f t="shared" ca="1" si="0"/>
        <v/>
      </c>
      <c r="R48" s="74" t="str">
        <f t="shared" ca="1" si="1"/>
        <v/>
      </c>
      <c r="S48" s="54" t="str">
        <f t="shared" ca="1" si="2"/>
        <v/>
      </c>
      <c r="T48" s="74" t="str">
        <f t="shared" ca="1" si="3"/>
        <v/>
      </c>
      <c r="U48" s="54" t="str">
        <f t="shared" ca="1" si="4"/>
        <v/>
      </c>
      <c r="V48" s="74" t="str">
        <f t="shared" ca="1" si="5"/>
        <v/>
      </c>
      <c r="W48" s="54" t="str">
        <f t="shared" ca="1" si="6"/>
        <v/>
      </c>
      <c r="X48" s="74" t="str">
        <f t="shared" ca="1" si="7"/>
        <v/>
      </c>
      <c r="Y48" s="54" t="str">
        <f t="shared" ca="1" si="8"/>
        <v/>
      </c>
      <c r="Z48" s="74" t="str">
        <f t="shared" ca="1" si="9"/>
        <v/>
      </c>
      <c r="AA48" s="54" t="str">
        <f t="shared" ca="1" si="10"/>
        <v/>
      </c>
      <c r="AB48" s="74" t="str">
        <f t="shared" ca="1" si="11"/>
        <v/>
      </c>
      <c r="AC48" s="54" t="str">
        <f t="shared" ca="1" si="12"/>
        <v/>
      </c>
      <c r="AD48" s="74" t="str">
        <f t="shared" ca="1" si="13"/>
        <v/>
      </c>
      <c r="AE48" s="54" t="str">
        <f t="shared" ca="1" si="14"/>
        <v/>
      </c>
      <c r="AF48" s="74" t="str">
        <f t="shared" ca="1" si="15"/>
        <v/>
      </c>
      <c r="AG48" s="54" t="str">
        <f t="shared" ca="1" si="16"/>
        <v/>
      </c>
      <c r="AH48" s="74" t="str">
        <f t="shared" ca="1" si="17"/>
        <v/>
      </c>
      <c r="AI48" s="54" t="str">
        <f t="shared" ca="1" si="18"/>
        <v/>
      </c>
      <c r="AJ48" s="74" t="str">
        <f t="shared" ca="1" si="19"/>
        <v/>
      </c>
      <c r="AK48" s="54" t="str">
        <f t="shared" ca="1" si="20"/>
        <v/>
      </c>
      <c r="AL48" s="74" t="str">
        <f t="shared" ca="1" si="21"/>
        <v/>
      </c>
      <c r="AM48" s="54" t="str">
        <f t="shared" ca="1" si="22"/>
        <v/>
      </c>
      <c r="AN48" s="74" t="str">
        <f t="shared" ca="1" si="23"/>
        <v/>
      </c>
      <c r="AO48" s="54" t="str">
        <f t="shared" ca="1" si="24"/>
        <v/>
      </c>
      <c r="AP48" s="74" t="str">
        <f t="shared" ca="1" si="25"/>
        <v/>
      </c>
      <c r="AQ48" s="54" t="str">
        <f t="shared" ca="1" si="26"/>
        <v/>
      </c>
      <c r="AR48" s="74" t="str">
        <f t="shared" ca="1" si="27"/>
        <v/>
      </c>
    </row>
    <row r="49" spans="2:44" ht="15" customHeight="1" x14ac:dyDescent="0.25">
      <c r="B49" s="1" t="s">
        <v>695</v>
      </c>
      <c r="C49" s="1" t="s">
        <v>696</v>
      </c>
      <c r="D49" s="1" t="s">
        <v>697</v>
      </c>
      <c r="E49" s="1"/>
      <c r="F49" s="1" t="s">
        <v>698</v>
      </c>
      <c r="G49" s="1" t="s">
        <v>699</v>
      </c>
      <c r="H49" s="1" t="s">
        <v>583</v>
      </c>
      <c r="I49" s="1" t="s">
        <v>700</v>
      </c>
      <c r="J49" s="1" t="s">
        <v>607</v>
      </c>
      <c r="K49" s="1"/>
      <c r="L49" s="1"/>
      <c r="M49" s="1">
        <v>1</v>
      </c>
      <c r="N49" s="1"/>
      <c r="O49" s="1"/>
      <c r="P49" s="1"/>
      <c r="Q49" s="73">
        <f t="shared" ca="1" si="0"/>
        <v>3</v>
      </c>
      <c r="R49" s="74">
        <f t="shared" ca="1" si="1"/>
        <v>0</v>
      </c>
      <c r="S49" s="54" t="str">
        <f t="shared" ca="1" si="2"/>
        <v/>
      </c>
      <c r="T49" s="74" t="str">
        <f t="shared" ca="1" si="3"/>
        <v/>
      </c>
      <c r="U49" s="54" t="str">
        <f t="shared" ca="1" si="4"/>
        <v/>
      </c>
      <c r="V49" s="74" t="str">
        <f t="shared" ca="1" si="5"/>
        <v/>
      </c>
      <c r="W49" s="54">
        <f t="shared" ca="1" si="6"/>
        <v>1</v>
      </c>
      <c r="X49" s="74">
        <f t="shared" ca="1" si="7"/>
        <v>0</v>
      </c>
      <c r="Y49" s="54" t="str">
        <f t="shared" ca="1" si="8"/>
        <v/>
      </c>
      <c r="Z49" s="74" t="str">
        <f t="shared" ca="1" si="9"/>
        <v/>
      </c>
      <c r="AA49" s="54">
        <f t="shared" ca="1" si="10"/>
        <v>1</v>
      </c>
      <c r="AB49" s="74">
        <f t="shared" ca="1" si="11"/>
        <v>0</v>
      </c>
      <c r="AC49" s="54">
        <f t="shared" ca="1" si="12"/>
        <v>1</v>
      </c>
      <c r="AD49" s="74">
        <f t="shared" ca="1" si="13"/>
        <v>0</v>
      </c>
      <c r="AE49" s="54" t="str">
        <f t="shared" ca="1" si="14"/>
        <v/>
      </c>
      <c r="AF49" s="74" t="str">
        <f t="shared" ca="1" si="15"/>
        <v/>
      </c>
      <c r="AG49" s="54" t="str">
        <f t="shared" ca="1" si="16"/>
        <v/>
      </c>
      <c r="AH49" s="74" t="str">
        <f t="shared" ca="1" si="17"/>
        <v/>
      </c>
      <c r="AI49" s="54" t="str">
        <f t="shared" ca="1" si="18"/>
        <v/>
      </c>
      <c r="AJ49" s="74" t="str">
        <f t="shared" ca="1" si="19"/>
        <v/>
      </c>
      <c r="AK49" s="54" t="str">
        <f t="shared" ca="1" si="20"/>
        <v/>
      </c>
      <c r="AL49" s="74" t="str">
        <f t="shared" ca="1" si="21"/>
        <v/>
      </c>
      <c r="AM49" s="54" t="str">
        <f t="shared" ca="1" si="22"/>
        <v/>
      </c>
      <c r="AN49" s="74" t="str">
        <f t="shared" ca="1" si="23"/>
        <v/>
      </c>
      <c r="AO49" s="54" t="str">
        <f t="shared" ca="1" si="24"/>
        <v/>
      </c>
      <c r="AP49" s="74" t="str">
        <f t="shared" ca="1" si="25"/>
        <v/>
      </c>
      <c r="AQ49" s="54" t="str">
        <f t="shared" ca="1" si="26"/>
        <v/>
      </c>
      <c r="AR49" s="74" t="str">
        <f t="shared" ca="1" si="27"/>
        <v/>
      </c>
    </row>
    <row r="50" spans="2:44" ht="15" customHeight="1" x14ac:dyDescent="0.25">
      <c r="B50" s="1" t="s">
        <v>707</v>
      </c>
      <c r="C50" s="1" t="s">
        <v>708</v>
      </c>
      <c r="D50" s="1" t="s">
        <v>709</v>
      </c>
      <c r="E50" s="1"/>
      <c r="F50" s="1" t="s">
        <v>710</v>
      </c>
      <c r="G50" s="1" t="s">
        <v>711</v>
      </c>
      <c r="H50" s="1" t="s">
        <v>583</v>
      </c>
      <c r="I50" s="1" t="s">
        <v>712</v>
      </c>
      <c r="J50" s="1" t="s">
        <v>706</v>
      </c>
      <c r="K50" s="1" t="s">
        <v>700</v>
      </c>
      <c r="L50" s="1"/>
      <c r="M50" s="1">
        <v>1</v>
      </c>
      <c r="N50" s="1"/>
      <c r="O50" s="1"/>
      <c r="P50" s="1"/>
      <c r="Q50" s="73" t="str">
        <f t="shared" ca="1" si="0"/>
        <v/>
      </c>
      <c r="R50" s="74" t="str">
        <f t="shared" ca="1" si="1"/>
        <v/>
      </c>
      <c r="S50" s="54" t="str">
        <f t="shared" ca="1" si="2"/>
        <v/>
      </c>
      <c r="T50" s="74" t="str">
        <f t="shared" ca="1" si="3"/>
        <v/>
      </c>
      <c r="U50" s="54" t="str">
        <f t="shared" ca="1" si="4"/>
        <v/>
      </c>
      <c r="V50" s="74" t="str">
        <f t="shared" ca="1" si="5"/>
        <v/>
      </c>
      <c r="W50" s="54" t="str">
        <f t="shared" ca="1" si="6"/>
        <v/>
      </c>
      <c r="X50" s="74" t="str">
        <f t="shared" ca="1" si="7"/>
        <v/>
      </c>
      <c r="Y50" s="54" t="str">
        <f t="shared" ca="1" si="8"/>
        <v/>
      </c>
      <c r="Z50" s="74" t="str">
        <f t="shared" ca="1" si="9"/>
        <v/>
      </c>
      <c r="AA50" s="54" t="str">
        <f t="shared" ca="1" si="10"/>
        <v/>
      </c>
      <c r="AB50" s="74" t="str">
        <f t="shared" ca="1" si="11"/>
        <v/>
      </c>
      <c r="AC50" s="54" t="str">
        <f t="shared" ca="1" si="12"/>
        <v/>
      </c>
      <c r="AD50" s="74" t="str">
        <f t="shared" ca="1" si="13"/>
        <v/>
      </c>
      <c r="AE50" s="54" t="str">
        <f t="shared" ca="1" si="14"/>
        <v/>
      </c>
      <c r="AF50" s="74" t="str">
        <f t="shared" ca="1" si="15"/>
        <v/>
      </c>
      <c r="AG50" s="54" t="str">
        <f t="shared" ca="1" si="16"/>
        <v/>
      </c>
      <c r="AH50" s="74" t="str">
        <f t="shared" ca="1" si="17"/>
        <v/>
      </c>
      <c r="AI50" s="54" t="str">
        <f t="shared" ca="1" si="18"/>
        <v/>
      </c>
      <c r="AJ50" s="74" t="str">
        <f t="shared" ca="1" si="19"/>
        <v/>
      </c>
      <c r="AK50" s="54" t="str">
        <f t="shared" ca="1" si="20"/>
        <v/>
      </c>
      <c r="AL50" s="74" t="str">
        <f t="shared" ca="1" si="21"/>
        <v/>
      </c>
      <c r="AM50" s="54" t="str">
        <f t="shared" ca="1" si="22"/>
        <v/>
      </c>
      <c r="AN50" s="74" t="str">
        <f t="shared" ca="1" si="23"/>
        <v/>
      </c>
      <c r="AO50" s="54" t="str">
        <f t="shared" ca="1" si="24"/>
        <v/>
      </c>
      <c r="AP50" s="74" t="str">
        <f t="shared" ca="1" si="25"/>
        <v/>
      </c>
      <c r="AQ50" s="54" t="str">
        <f t="shared" ca="1" si="26"/>
        <v/>
      </c>
      <c r="AR50" s="74" t="str">
        <f t="shared" ca="1" si="27"/>
        <v/>
      </c>
    </row>
    <row r="51" spans="2:44" ht="15" customHeight="1" x14ac:dyDescent="0.25">
      <c r="B51" s="1" t="s">
        <v>2034</v>
      </c>
      <c r="C51" s="1" t="s">
        <v>848</v>
      </c>
      <c r="D51" s="1" t="s">
        <v>2035</v>
      </c>
      <c r="E51" s="1"/>
      <c r="F51" s="1" t="s">
        <v>2036</v>
      </c>
      <c r="G51" s="1" t="s">
        <v>2037</v>
      </c>
      <c r="H51" s="1" t="s">
        <v>583</v>
      </c>
      <c r="I51" s="1" t="s">
        <v>2038</v>
      </c>
      <c r="J51" s="1" t="s">
        <v>706</v>
      </c>
      <c r="K51" s="1" t="s">
        <v>700</v>
      </c>
      <c r="L51" s="1"/>
      <c r="M51" s="1">
        <v>1</v>
      </c>
      <c r="N51" s="1"/>
      <c r="O51" s="1"/>
      <c r="P51" s="1"/>
      <c r="Q51" s="73" t="str">
        <f t="shared" ca="1" si="0"/>
        <v/>
      </c>
      <c r="R51" s="74" t="str">
        <f t="shared" ca="1" si="1"/>
        <v/>
      </c>
      <c r="S51" s="54" t="str">
        <f t="shared" ca="1" si="2"/>
        <v/>
      </c>
      <c r="T51" s="74" t="str">
        <f t="shared" ca="1" si="3"/>
        <v/>
      </c>
      <c r="U51" s="54" t="str">
        <f t="shared" ca="1" si="4"/>
        <v/>
      </c>
      <c r="V51" s="74" t="str">
        <f t="shared" ca="1" si="5"/>
        <v/>
      </c>
      <c r="W51" s="54" t="str">
        <f t="shared" ca="1" si="6"/>
        <v/>
      </c>
      <c r="X51" s="74" t="str">
        <f t="shared" ca="1" si="7"/>
        <v/>
      </c>
      <c r="Y51" s="54" t="str">
        <f t="shared" ca="1" si="8"/>
        <v/>
      </c>
      <c r="Z51" s="74" t="str">
        <f t="shared" ca="1" si="9"/>
        <v/>
      </c>
      <c r="AA51" s="54" t="str">
        <f t="shared" ca="1" si="10"/>
        <v/>
      </c>
      <c r="AB51" s="74" t="str">
        <f t="shared" ca="1" si="11"/>
        <v/>
      </c>
      <c r="AC51" s="54" t="str">
        <f t="shared" ca="1" si="12"/>
        <v/>
      </c>
      <c r="AD51" s="74" t="str">
        <f t="shared" ca="1" si="13"/>
        <v/>
      </c>
      <c r="AE51" s="54" t="str">
        <f t="shared" ca="1" si="14"/>
        <v/>
      </c>
      <c r="AF51" s="74" t="str">
        <f t="shared" ca="1" si="15"/>
        <v/>
      </c>
      <c r="AG51" s="54" t="str">
        <f t="shared" ca="1" si="16"/>
        <v/>
      </c>
      <c r="AH51" s="74" t="str">
        <f t="shared" ca="1" si="17"/>
        <v/>
      </c>
      <c r="AI51" s="54" t="str">
        <f t="shared" ca="1" si="18"/>
        <v/>
      </c>
      <c r="AJ51" s="74" t="str">
        <f t="shared" ca="1" si="19"/>
        <v/>
      </c>
      <c r="AK51" s="54" t="str">
        <f t="shared" ca="1" si="20"/>
        <v/>
      </c>
      <c r="AL51" s="74" t="str">
        <f t="shared" ca="1" si="21"/>
        <v/>
      </c>
      <c r="AM51" s="54" t="str">
        <f t="shared" ca="1" si="22"/>
        <v/>
      </c>
      <c r="AN51" s="74" t="str">
        <f t="shared" ca="1" si="23"/>
        <v/>
      </c>
      <c r="AO51" s="54" t="str">
        <f t="shared" ca="1" si="24"/>
        <v/>
      </c>
      <c r="AP51" s="74" t="str">
        <f t="shared" ca="1" si="25"/>
        <v/>
      </c>
      <c r="AQ51" s="54" t="str">
        <f t="shared" ca="1" si="26"/>
        <v/>
      </c>
      <c r="AR51" s="74" t="str">
        <f t="shared" ca="1" si="27"/>
        <v/>
      </c>
    </row>
    <row r="52" spans="2:44" ht="30" x14ac:dyDescent="0.25">
      <c r="B52" s="1" t="s">
        <v>719</v>
      </c>
      <c r="C52" s="1" t="s">
        <v>556</v>
      </c>
      <c r="D52" s="1" t="s">
        <v>720</v>
      </c>
      <c r="E52" s="1"/>
      <c r="F52" s="1" t="s">
        <v>721</v>
      </c>
      <c r="G52" s="1" t="s">
        <v>722</v>
      </c>
      <c r="H52" s="1" t="s">
        <v>583</v>
      </c>
      <c r="I52" s="1" t="s">
        <v>723</v>
      </c>
      <c r="J52" s="1" t="s">
        <v>706</v>
      </c>
      <c r="K52" s="1" t="s">
        <v>700</v>
      </c>
      <c r="L52" s="1"/>
      <c r="M52" s="1">
        <v>1</v>
      </c>
      <c r="N52" s="1"/>
      <c r="O52" s="1"/>
      <c r="P52" s="1"/>
      <c r="Q52" s="73">
        <f t="shared" ca="1" si="0"/>
        <v>1</v>
      </c>
      <c r="R52" s="74" t="str">
        <f t="shared" ca="1" si="1"/>
        <v/>
      </c>
      <c r="S52" s="54" t="str">
        <f t="shared" ca="1" si="2"/>
        <v/>
      </c>
      <c r="T52" s="74" t="str">
        <f t="shared" ca="1" si="3"/>
        <v/>
      </c>
      <c r="U52" s="54" t="str">
        <f t="shared" ca="1" si="4"/>
        <v/>
      </c>
      <c r="V52" s="74" t="str">
        <f t="shared" ca="1" si="5"/>
        <v/>
      </c>
      <c r="W52" s="54">
        <f t="shared" ca="1" si="6"/>
        <v>1</v>
      </c>
      <c r="X52" s="74" t="str">
        <f t="shared" ca="1" si="7"/>
        <v/>
      </c>
      <c r="Y52" s="54" t="str">
        <f t="shared" ca="1" si="8"/>
        <v/>
      </c>
      <c r="Z52" s="74" t="str">
        <f t="shared" ca="1" si="9"/>
        <v/>
      </c>
      <c r="AA52" s="54" t="str">
        <f t="shared" ca="1" si="10"/>
        <v/>
      </c>
      <c r="AB52" s="74" t="str">
        <f t="shared" ca="1" si="11"/>
        <v/>
      </c>
      <c r="AC52" s="54" t="str">
        <f t="shared" ca="1" si="12"/>
        <v/>
      </c>
      <c r="AD52" s="74" t="str">
        <f t="shared" ca="1" si="13"/>
        <v/>
      </c>
      <c r="AE52" s="54" t="str">
        <f t="shared" ca="1" si="14"/>
        <v/>
      </c>
      <c r="AF52" s="74" t="str">
        <f t="shared" ca="1" si="15"/>
        <v/>
      </c>
      <c r="AG52" s="54" t="str">
        <f t="shared" ca="1" si="16"/>
        <v/>
      </c>
      <c r="AH52" s="74" t="str">
        <f t="shared" ca="1" si="17"/>
        <v/>
      </c>
      <c r="AI52" s="54" t="str">
        <f t="shared" ca="1" si="18"/>
        <v/>
      </c>
      <c r="AJ52" s="74" t="str">
        <f t="shared" ca="1" si="19"/>
        <v/>
      </c>
      <c r="AK52" s="54" t="str">
        <f t="shared" ca="1" si="20"/>
        <v/>
      </c>
      <c r="AL52" s="74" t="str">
        <f t="shared" ca="1" si="21"/>
        <v/>
      </c>
      <c r="AM52" s="54" t="str">
        <f t="shared" ca="1" si="22"/>
        <v/>
      </c>
      <c r="AN52" s="74" t="str">
        <f t="shared" ca="1" si="23"/>
        <v/>
      </c>
      <c r="AO52" s="54" t="str">
        <f t="shared" ca="1" si="24"/>
        <v/>
      </c>
      <c r="AP52" s="74" t="str">
        <f t="shared" ca="1" si="25"/>
        <v/>
      </c>
      <c r="AQ52" s="54" t="str">
        <f t="shared" ca="1" si="26"/>
        <v/>
      </c>
      <c r="AR52" s="74" t="str">
        <f t="shared" ca="1" si="27"/>
        <v/>
      </c>
    </row>
    <row r="53" spans="2:44" x14ac:dyDescent="0.25">
      <c r="B53"/>
      <c r="R53"/>
      <c r="T53"/>
    </row>
    <row r="54" spans="2:44" x14ac:dyDescent="0.25">
      <c r="B54"/>
      <c r="R54"/>
      <c r="T54"/>
    </row>
    <row r="55" spans="2:44" x14ac:dyDescent="0.25">
      <c r="B55"/>
      <c r="R55"/>
      <c r="T55"/>
    </row>
    <row r="56" spans="2:44" x14ac:dyDescent="0.25">
      <c r="B56"/>
      <c r="R56"/>
      <c r="T56"/>
    </row>
    <row r="57" spans="2:44" x14ac:dyDescent="0.25">
      <c r="B57"/>
      <c r="R57"/>
      <c r="T57"/>
    </row>
    <row r="58" spans="2:44" x14ac:dyDescent="0.25">
      <c r="B58"/>
      <c r="R58"/>
      <c r="T58"/>
    </row>
    <row r="59" spans="2:44" x14ac:dyDescent="0.25">
      <c r="B59"/>
      <c r="R59"/>
      <c r="T59"/>
    </row>
    <row r="60" spans="2:44" x14ac:dyDescent="0.25">
      <c r="B60"/>
      <c r="R60"/>
      <c r="T60"/>
    </row>
    <row r="61" spans="2:44" x14ac:dyDescent="0.25">
      <c r="B61"/>
      <c r="R61"/>
      <c r="T61"/>
    </row>
    <row r="62" spans="2:44" x14ac:dyDescent="0.25">
      <c r="B62"/>
      <c r="R62"/>
      <c r="T62"/>
    </row>
    <row r="63" spans="2:44" x14ac:dyDescent="0.25">
      <c r="B63"/>
      <c r="R63"/>
      <c r="T63"/>
    </row>
    <row r="64" spans="2:44" x14ac:dyDescent="0.25">
      <c r="B64"/>
      <c r="R64"/>
      <c r="T64"/>
    </row>
    <row r="65" customFormat="1" x14ac:dyDescent="0.25"/>
    <row r="66" customFormat="1" x14ac:dyDescent="0.25"/>
    <row r="67" customFormat="1" x14ac:dyDescent="0.25"/>
    <row r="68" customFormat="1" x14ac:dyDescent="0.25"/>
    <row r="69" customFormat="1" x14ac:dyDescent="0.25"/>
    <row r="70" customFormat="1" x14ac:dyDescent="0.25"/>
    <row r="71" customFormat="1" x14ac:dyDescent="0.25"/>
    <row r="72" customFormat="1" x14ac:dyDescent="0.25"/>
    <row r="73" customFormat="1" x14ac:dyDescent="0.25"/>
    <row r="74" customFormat="1" x14ac:dyDescent="0.25"/>
    <row r="75" customFormat="1" x14ac:dyDescent="0.25"/>
    <row r="76" customFormat="1" x14ac:dyDescent="0.25"/>
    <row r="77" customFormat="1" x14ac:dyDescent="0.25"/>
    <row r="78" customFormat="1" x14ac:dyDescent="0.25"/>
    <row r="79" customFormat="1" x14ac:dyDescent="0.25"/>
    <row r="80" customFormat="1" x14ac:dyDescent="0.25"/>
    <row r="81" customFormat="1" x14ac:dyDescent="0.25"/>
    <row r="82" customFormat="1" x14ac:dyDescent="0.25"/>
    <row r="83" customFormat="1" x14ac:dyDescent="0.25"/>
    <row r="84" customFormat="1" x14ac:dyDescent="0.25"/>
    <row r="85" customFormat="1" x14ac:dyDescent="0.25"/>
    <row r="86" customFormat="1" x14ac:dyDescent="0.25"/>
    <row r="87" customFormat="1" x14ac:dyDescent="0.25"/>
    <row r="88" customFormat="1" x14ac:dyDescent="0.25"/>
    <row r="89" customFormat="1" x14ac:dyDescent="0.25"/>
    <row r="90" customFormat="1" x14ac:dyDescent="0.25"/>
    <row r="91" customFormat="1" x14ac:dyDescent="0.25"/>
    <row r="92" customFormat="1" x14ac:dyDescent="0.25"/>
    <row r="93" customFormat="1" x14ac:dyDescent="0.25"/>
    <row r="94" customFormat="1" x14ac:dyDescent="0.25"/>
    <row r="95" customFormat="1" x14ac:dyDescent="0.25"/>
    <row r="96" customFormat="1" x14ac:dyDescent="0.25"/>
    <row r="97" customFormat="1" x14ac:dyDescent="0.25"/>
    <row r="98" customFormat="1" x14ac:dyDescent="0.25"/>
    <row r="99" customFormat="1" x14ac:dyDescent="0.25"/>
    <row r="100" customFormat="1" x14ac:dyDescent="0.25"/>
    <row r="101" customFormat="1" x14ac:dyDescent="0.25"/>
    <row r="102" customFormat="1" x14ac:dyDescent="0.25"/>
    <row r="103" customFormat="1" x14ac:dyDescent="0.25"/>
    <row r="104" customFormat="1" x14ac:dyDescent="0.25"/>
    <row r="105" customFormat="1" x14ac:dyDescent="0.25"/>
    <row r="106" customFormat="1" x14ac:dyDescent="0.25"/>
    <row r="107" customFormat="1" x14ac:dyDescent="0.25"/>
    <row r="108" customFormat="1" x14ac:dyDescent="0.25"/>
    <row r="109" customFormat="1" x14ac:dyDescent="0.25"/>
    <row r="110" customFormat="1" x14ac:dyDescent="0.25"/>
    <row r="111" customFormat="1" x14ac:dyDescent="0.25"/>
    <row r="112" customFormat="1" x14ac:dyDescent="0.25"/>
    <row r="113" customFormat="1" x14ac:dyDescent="0.25"/>
    <row r="114" customFormat="1" x14ac:dyDescent="0.25"/>
    <row r="115" customFormat="1" x14ac:dyDescent="0.25"/>
    <row r="116" customFormat="1" x14ac:dyDescent="0.25"/>
    <row r="117" customFormat="1" x14ac:dyDescent="0.25"/>
    <row r="118" customFormat="1" x14ac:dyDescent="0.25"/>
    <row r="119" customFormat="1" x14ac:dyDescent="0.25"/>
    <row r="120" customFormat="1" x14ac:dyDescent="0.25"/>
    <row r="121" customFormat="1" x14ac:dyDescent="0.25"/>
    <row r="122" customFormat="1" x14ac:dyDescent="0.25"/>
    <row r="123" customFormat="1" x14ac:dyDescent="0.25"/>
    <row r="124" customFormat="1" x14ac:dyDescent="0.25"/>
    <row r="125" customFormat="1" x14ac:dyDescent="0.25"/>
    <row r="126" customFormat="1" x14ac:dyDescent="0.25"/>
    <row r="127" customFormat="1" x14ac:dyDescent="0.25"/>
    <row r="128" customFormat="1" x14ac:dyDescent="0.25"/>
    <row r="129" customFormat="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sheetData>
  <customSheetViews>
    <customSheetView guid="{83A2DA31-60F6-4C74-93BD-40FF99C1C7A8}" hiddenColumns="1" topLeftCell="A28">
      <selection activeCell="E63" sqref="E63"/>
      <pageMargins left="0" right="0" top="0" bottom="0" header="0" footer="0"/>
      <pageSetup orientation="portrait" r:id="rId1"/>
    </customSheetView>
    <customSheetView guid="{F8CBCBDD-5FE1-4656-8906-81A832D861EF}" hiddenColumns="1">
      <pageMargins left="0" right="0" top="0" bottom="0" header="0" footer="0"/>
      <pageSetup orientation="portrait" r:id="rId2"/>
    </customSheetView>
    <customSheetView guid="{8751A03A-3443-4C38-AE50-B3AE313663B0}" hiddenColumns="1">
      <pageMargins left="0" right="0" top="0" bottom="0" header="0" footer="0"/>
      <pageSetup orientation="portrait" r:id="rId3"/>
    </customSheetView>
    <customSheetView guid="{F567BCB2-6D48-41F2-A191-09CE8F64E918}" hiddenColumns="1">
      <pageMargins left="0" right="0" top="0" bottom="0" header="0" footer="0"/>
      <pageSetup orientation="portrait" r:id="rId4"/>
    </customSheetView>
    <customSheetView guid="{ADFAD4B4-1AD9-4570-8307-CE0121173A42}" hiddenColumns="1">
      <pageMargins left="0" right="0" top="0" bottom="0" header="0" footer="0"/>
      <pageSetup orientation="portrait" r:id="rId5"/>
    </customSheetView>
    <customSheetView guid="{DD6C8357-A7F2-44E6-AC58-30945CFAD161}" hiddenColumns="1" topLeftCell="A2">
      <selection activeCell="S7" sqref="S7"/>
      <pageMargins left="0" right="0" top="0" bottom="0" header="0" footer="0"/>
      <pageSetup orientation="portrait" r:id="rId6"/>
    </customSheetView>
    <customSheetView guid="{E8EA09A6-9A5D-41BD-A1B6-DD1E2B4E5703}" hiddenColumns="1">
      <pageMargins left="0" right="0" top="0" bottom="0" header="0" footer="0"/>
      <pageSetup orientation="portrait" r:id="rId7"/>
    </customSheetView>
    <customSheetView guid="{3EE9CC87-2444-446D-B867-08D102D54FBA}" hiddenColumns="1" topLeftCell="A28">
      <selection activeCell="E63" sqref="E63"/>
      <pageMargins left="0" right="0" top="0" bottom="0" header="0" footer="0"/>
      <pageSetup orientation="portrait" r:id="rId8"/>
    </customSheetView>
    <customSheetView guid="{59FEBC5D-7E48-4444-A38F-E4C647AEA35E}" hiddenColumns="1" topLeftCell="A28">
      <selection activeCell="E63" sqref="E63"/>
      <pageMargins left="0" right="0" top="0" bottom="0" header="0" footer="0"/>
      <pageSetup orientation="portrait" r:id="rId9"/>
    </customSheetView>
  </customSheetViews>
  <mergeCells count="18">
    <mergeCell ref="AG6:AH6"/>
    <mergeCell ref="AI6:AJ6"/>
    <mergeCell ref="AK6:AL6"/>
    <mergeCell ref="AM6:AN6"/>
    <mergeCell ref="B5:B7"/>
    <mergeCell ref="Q5:R6"/>
    <mergeCell ref="S5:AR5"/>
    <mergeCell ref="C6:C7"/>
    <mergeCell ref="D6:D7"/>
    <mergeCell ref="S6:T6"/>
    <mergeCell ref="U6:V6"/>
    <mergeCell ref="W6:X6"/>
    <mergeCell ref="Y6:Z6"/>
    <mergeCell ref="AA6:AB6"/>
    <mergeCell ref="AO6:AP6"/>
    <mergeCell ref="AQ6:AR6"/>
    <mergeCell ref="AC6:AD6"/>
    <mergeCell ref="AE6:AF6"/>
  </mergeCells>
  <conditionalFormatting sqref="R8:R52 T8:T52 V8:V52 X8:X52 Z8:Z52 AB8:AB52 AD8:AD52 AF8:AF52 AH8:AH52 AL8:AL52 AN8:AN52 AP8:AP52 AR8:AR52 AJ8:AJ52">
    <cfRule type="cellIs" dxfId="26" priority="204" operator="between">
      <formula>0.04</formula>
      <formula>100</formula>
    </cfRule>
    <cfRule type="cellIs" dxfId="25" priority="205" operator="between">
      <formula>0.02</formula>
      <formula>0.04</formula>
    </cfRule>
    <cfRule type="cellIs" dxfId="24" priority="206" operator="lessThan">
      <formula>0.02</formula>
    </cfRule>
  </conditionalFormatting>
  <conditionalFormatting sqref="B1 B4:B5 B201:B1048576">
    <cfRule type="expression" dxfId="23" priority="199">
      <formula>$H1="Service Center"</formula>
    </cfRule>
    <cfRule type="expression" dxfId="22" priority="200">
      <formula>$H1="COBRA"</formula>
    </cfRule>
    <cfRule type="expression" dxfId="21" priority="201">
      <formula>$H1="Claims"</formula>
    </cfRule>
  </conditionalFormatting>
  <conditionalFormatting sqref="B1 B4:B5 B201:B1048576">
    <cfRule type="expression" dxfId="20" priority="197">
      <formula>NOT(ISBLANK($B1))</formula>
    </cfRule>
    <cfRule type="expression" dxfId="19" priority="198">
      <formula>AND($H1="Service Center",$M1=15)</formula>
    </cfRule>
    <cfRule type="expression" dxfId="18" priority="202">
      <formula>$B1="Full Name"</formula>
    </cfRule>
    <cfRule type="expression" dxfId="17" priority="203">
      <formula>$M1="Totals"</formula>
    </cfRule>
  </conditionalFormatting>
  <conditionalFormatting sqref="B8:P52">
    <cfRule type="expression" dxfId="16" priority="3">
      <formula>$H8="Service Center"</formula>
    </cfRule>
    <cfRule type="expression" dxfId="15" priority="4">
      <formula>$H8="COBRA"</formula>
    </cfRule>
    <cfRule type="expression" dxfId="14" priority="5">
      <formula>$H8="Claims"</formula>
    </cfRule>
  </conditionalFormatting>
  <conditionalFormatting sqref="B8:P52">
    <cfRule type="expression" dxfId="13" priority="1">
      <formula>NOT(ISBLANK($B8))</formula>
    </cfRule>
    <cfRule type="expression" dxfId="12" priority="2">
      <formula>AND($H8="Service Center",$M8=15)</formula>
    </cfRule>
    <cfRule type="expression" dxfId="11" priority="6">
      <formula>$B8="Full Name"</formula>
    </cfRule>
    <cfRule type="expression" dxfId="10" priority="7">
      <formula>$M8="Totals"</formula>
    </cfRule>
  </conditionalFormatting>
  <pageMargins left="0.7" right="0.7" top="0.75" bottom="0.75" header="0.3" footer="0.3"/>
  <pageSetup orientation="portrait" r:id="rId1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6BD8B-9C9B-4390-AB43-C60DB631CB86}">
  <sheetPr codeName="Sheet7"/>
  <dimension ref="B2:AA50"/>
  <sheetViews>
    <sheetView workbookViewId="0"/>
  </sheetViews>
  <sheetFormatPr defaultRowHeight="15" x14ac:dyDescent="0.25"/>
  <cols>
    <col min="1" max="1" width="2.7109375" customWidth="1"/>
    <col min="2" max="2" width="28.140625" style="1" bestFit="1" customWidth="1"/>
    <col min="3" max="3" width="19.140625" style="1" hidden="1" customWidth="1"/>
    <col min="4" max="4" width="21.7109375" style="1" hidden="1" customWidth="1"/>
    <col min="5" max="5" width="11" style="1" hidden="1" customWidth="1"/>
    <col min="6" max="6" width="9.5703125" style="1" hidden="1" customWidth="1"/>
    <col min="7" max="7" width="16.140625" style="1" hidden="1" customWidth="1"/>
    <col min="8" max="8" width="17.140625" style="1" customWidth="1"/>
    <col min="9" max="9" width="33.85546875" style="1" hidden="1" customWidth="1"/>
    <col min="10" max="10" width="16.140625" style="1" customWidth="1"/>
    <col min="11" max="11" width="20.85546875" style="1" hidden="1" customWidth="1"/>
    <col min="12" max="12" width="19.85546875" style="1" hidden="1" customWidth="1"/>
    <col min="13" max="13" width="9.140625" style="1"/>
    <col min="14" max="16" width="0" style="1" hidden="1" customWidth="1"/>
    <col min="17" max="17" width="9.140625" style="1"/>
    <col min="18" max="19" width="9.140625" style="27"/>
    <col min="20" max="20" width="9.140625" style="1"/>
    <col min="21" max="22" width="9.140625" style="2"/>
    <col min="23" max="23" width="9.140625" style="1"/>
    <col min="24" max="24" width="18.85546875" style="1" bestFit="1" customWidth="1"/>
    <col min="25" max="27" width="9.140625" style="1"/>
  </cols>
  <sheetData>
    <row r="2" spans="2:24" s="1" customFormat="1" ht="52.5" x14ac:dyDescent="0.25">
      <c r="B2" s="22" t="s">
        <v>437</v>
      </c>
      <c r="C2" s="22" t="s">
        <v>438</v>
      </c>
      <c r="D2" s="22" t="s">
        <v>439</v>
      </c>
      <c r="E2" s="23" t="s">
        <v>440</v>
      </c>
      <c r="F2" s="23" t="s">
        <v>441</v>
      </c>
      <c r="G2" s="23" t="s">
        <v>442</v>
      </c>
      <c r="H2" s="23" t="s">
        <v>443</v>
      </c>
      <c r="I2" s="23" t="s">
        <v>444</v>
      </c>
      <c r="J2" s="23" t="s">
        <v>445</v>
      </c>
      <c r="K2" s="23" t="s">
        <v>446</v>
      </c>
      <c r="L2" s="23" t="s">
        <v>447</v>
      </c>
      <c r="M2" s="24" t="s">
        <v>448</v>
      </c>
      <c r="N2" s="24"/>
      <c r="O2" s="24"/>
      <c r="P2" s="24" t="s">
        <v>449</v>
      </c>
      <c r="Q2" s="24" t="s">
        <v>450</v>
      </c>
      <c r="R2" s="25" t="s">
        <v>451</v>
      </c>
      <c r="S2" s="25" t="s">
        <v>452</v>
      </c>
      <c r="T2" s="24" t="s">
        <v>453</v>
      </c>
      <c r="U2" s="26" t="s">
        <v>454</v>
      </c>
      <c r="V2" s="2"/>
    </row>
    <row r="3" spans="2:24" s="1" customFormat="1" ht="15" customHeight="1" x14ac:dyDescent="0.25">
      <c r="B3" s="1" t="s">
        <v>455</v>
      </c>
      <c r="C3" s="1" t="s">
        <v>456</v>
      </c>
      <c r="D3" s="1" t="s">
        <v>297</v>
      </c>
      <c r="E3" t="s">
        <v>457</v>
      </c>
      <c r="F3" t="s">
        <v>458</v>
      </c>
      <c r="G3" t="s">
        <v>459</v>
      </c>
      <c r="H3" t="s">
        <v>460</v>
      </c>
      <c r="I3" t="s">
        <v>461</v>
      </c>
      <c r="J3" t="s">
        <v>462</v>
      </c>
      <c r="K3"/>
      <c r="L3" t="s">
        <v>463</v>
      </c>
      <c r="M3">
        <v>0</v>
      </c>
      <c r="N3" t="s">
        <v>464</v>
      </c>
      <c r="O3"/>
      <c r="P3"/>
      <c r="Q3" s="7"/>
      <c r="R3" s="27"/>
      <c r="S3" s="27"/>
      <c r="U3" s="8" t="str">
        <f>IF(ISERROR(SUM(_xlfn.NUMBERVALUE(S3)*8+_xlfn.NUMBERVALUE(T3)*2)/Q3),"",SUM(_xlfn.NUMBERVALUE(S3)*8+_xlfn.NUMBERVALUE(T3)*2)/Q3)</f>
        <v/>
      </c>
      <c r="V3" s="2"/>
      <c r="W3" s="83" t="s">
        <v>465</v>
      </c>
      <c r="X3" s="83"/>
    </row>
    <row r="4" spans="2:24" s="1" customFormat="1" ht="15" customHeight="1" x14ac:dyDescent="0.25">
      <c r="B4" s="1" t="s">
        <v>506</v>
      </c>
      <c r="C4" s="1" t="s">
        <v>208</v>
      </c>
      <c r="D4" s="1" t="s">
        <v>209</v>
      </c>
      <c r="E4" t="s">
        <v>507</v>
      </c>
      <c r="F4" t="s">
        <v>352</v>
      </c>
      <c r="G4" t="s">
        <v>508</v>
      </c>
      <c r="H4" t="s">
        <v>460</v>
      </c>
      <c r="I4" t="s">
        <v>509</v>
      </c>
      <c r="J4" t="s">
        <v>470</v>
      </c>
      <c r="K4"/>
      <c r="L4" t="s">
        <v>510</v>
      </c>
      <c r="M4">
        <v>15</v>
      </c>
      <c r="N4" t="s">
        <v>511</v>
      </c>
      <c r="O4">
        <v>32</v>
      </c>
      <c r="P4">
        <v>40</v>
      </c>
      <c r="Q4" s="7"/>
      <c r="R4" s="27"/>
      <c r="S4" s="27"/>
      <c r="U4" s="8" t="str">
        <f t="shared" ref="U4:U46" si="0">IF(ISERROR(SUM(_xlfn.NUMBERVALUE(S4)*8+_xlfn.NUMBERVALUE(T4)*2)/Q4),"",SUM(_xlfn.NUMBERVALUE(S4)*8+_xlfn.NUMBERVALUE(T4)*2)/Q4)</f>
        <v/>
      </c>
      <c r="V4" s="2"/>
      <c r="W4" s="40" t="s">
        <v>473</v>
      </c>
      <c r="X4" s="41" t="s">
        <v>474</v>
      </c>
    </row>
    <row r="5" spans="2:24" s="1" customFormat="1" ht="15" customHeight="1" x14ac:dyDescent="0.25">
      <c r="B5" s="1" t="s">
        <v>3070</v>
      </c>
      <c r="C5" s="1" t="s">
        <v>325</v>
      </c>
      <c r="D5" s="1" t="s">
        <v>1451</v>
      </c>
      <c r="E5" t="s">
        <v>3071</v>
      </c>
      <c r="F5" t="s">
        <v>3072</v>
      </c>
      <c r="G5" t="s">
        <v>3073</v>
      </c>
      <c r="H5" t="s">
        <v>460</v>
      </c>
      <c r="I5" t="s">
        <v>3074</v>
      </c>
      <c r="J5" t="s">
        <v>2033</v>
      </c>
      <c r="K5" t="s">
        <v>3074</v>
      </c>
      <c r="L5"/>
      <c r="M5"/>
      <c r="N5"/>
      <c r="O5"/>
      <c r="P5"/>
      <c r="Q5" s="7"/>
      <c r="R5" s="27"/>
      <c r="S5" s="27"/>
      <c r="U5" s="8" t="str">
        <f t="shared" si="0"/>
        <v/>
      </c>
      <c r="V5" s="2"/>
      <c r="W5" s="40" t="s">
        <v>482</v>
      </c>
      <c r="X5" s="41" t="s">
        <v>483</v>
      </c>
    </row>
    <row r="6" spans="2:24" s="1" customFormat="1" ht="15" customHeight="1" x14ac:dyDescent="0.25">
      <c r="B6" s="1" t="s">
        <v>525</v>
      </c>
      <c r="C6" s="1" t="s">
        <v>277</v>
      </c>
      <c r="D6" s="1" t="s">
        <v>278</v>
      </c>
      <c r="E6" t="s">
        <v>526</v>
      </c>
      <c r="F6" t="s">
        <v>527</v>
      </c>
      <c r="G6" t="s">
        <v>528</v>
      </c>
      <c r="H6" t="s">
        <v>460</v>
      </c>
      <c r="I6" t="s">
        <v>529</v>
      </c>
      <c r="J6" t="s">
        <v>2033</v>
      </c>
      <c r="K6" t="s">
        <v>509</v>
      </c>
      <c r="L6"/>
      <c r="M6">
        <v>15</v>
      </c>
      <c r="N6" t="s">
        <v>530</v>
      </c>
      <c r="O6">
        <v>219</v>
      </c>
      <c r="P6">
        <v>25</v>
      </c>
      <c r="Q6" s="7"/>
      <c r="R6" s="27"/>
      <c r="S6" s="27"/>
      <c r="U6" s="8" t="str">
        <f t="shared" si="0"/>
        <v/>
      </c>
      <c r="V6" s="2"/>
      <c r="W6" s="40" t="s">
        <v>490</v>
      </c>
      <c r="X6" s="41" t="s">
        <v>491</v>
      </c>
    </row>
    <row r="7" spans="2:24" s="1" customFormat="1" ht="15" customHeight="1" x14ac:dyDescent="0.25">
      <c r="B7" s="1" t="s">
        <v>475</v>
      </c>
      <c r="C7" s="1" t="s">
        <v>362</v>
      </c>
      <c r="D7" s="1" t="s">
        <v>394</v>
      </c>
      <c r="E7" t="s">
        <v>476</v>
      </c>
      <c r="F7" t="s">
        <v>175</v>
      </c>
      <c r="G7" t="s">
        <v>477</v>
      </c>
      <c r="H7" t="s">
        <v>460</v>
      </c>
      <c r="I7" t="s">
        <v>478</v>
      </c>
      <c r="J7" t="s">
        <v>2033</v>
      </c>
      <c r="K7" t="s">
        <v>509</v>
      </c>
      <c r="L7" t="s">
        <v>480</v>
      </c>
      <c r="M7">
        <v>15</v>
      </c>
      <c r="N7" t="s">
        <v>481</v>
      </c>
      <c r="O7">
        <v>67</v>
      </c>
      <c r="P7">
        <v>20</v>
      </c>
      <c r="Q7" s="7"/>
      <c r="R7" s="27"/>
      <c r="S7" s="27"/>
      <c r="U7" s="8" t="str">
        <f t="shared" si="0"/>
        <v/>
      </c>
      <c r="V7" s="2"/>
      <c r="W7" s="84" t="s">
        <v>499</v>
      </c>
      <c r="X7" s="84"/>
    </row>
    <row r="8" spans="2:24" s="1" customFormat="1" ht="15" customHeight="1" x14ac:dyDescent="0.25">
      <c r="B8" s="1" t="s">
        <v>542</v>
      </c>
      <c r="C8" s="1" t="s">
        <v>245</v>
      </c>
      <c r="D8" s="1" t="s">
        <v>246</v>
      </c>
      <c r="E8" t="s">
        <v>543</v>
      </c>
      <c r="F8" t="s">
        <v>21</v>
      </c>
      <c r="G8" t="s">
        <v>544</v>
      </c>
      <c r="H8" t="s">
        <v>460</v>
      </c>
      <c r="I8" t="s">
        <v>545</v>
      </c>
      <c r="J8" t="s">
        <v>2033</v>
      </c>
      <c r="K8" t="s">
        <v>509</v>
      </c>
      <c r="L8" t="s">
        <v>546</v>
      </c>
      <c r="M8">
        <v>15</v>
      </c>
      <c r="N8" t="s">
        <v>547</v>
      </c>
      <c r="O8">
        <v>209</v>
      </c>
      <c r="P8">
        <v>40</v>
      </c>
      <c r="Q8" s="7"/>
      <c r="R8" s="27"/>
      <c r="S8" s="27"/>
      <c r="U8" s="8" t="str">
        <f t="shared" si="0"/>
        <v/>
      </c>
      <c r="V8" s="2"/>
      <c r="W8" s="85" t="s">
        <v>505</v>
      </c>
      <c r="X8" s="85"/>
    </row>
    <row r="9" spans="2:24" s="1" customFormat="1" ht="15" customHeight="1" x14ac:dyDescent="0.25">
      <c r="B9" s="1" t="s">
        <v>492</v>
      </c>
      <c r="C9" s="1" t="s">
        <v>107</v>
      </c>
      <c r="D9" s="1" t="s">
        <v>108</v>
      </c>
      <c r="E9" t="s">
        <v>493</v>
      </c>
      <c r="F9" t="s">
        <v>494</v>
      </c>
      <c r="G9" t="s">
        <v>495</v>
      </c>
      <c r="H9" t="s">
        <v>460</v>
      </c>
      <c r="I9" t="s">
        <v>496</v>
      </c>
      <c r="J9" t="s">
        <v>2033</v>
      </c>
      <c r="K9" t="s">
        <v>509</v>
      </c>
      <c r="L9"/>
      <c r="M9">
        <v>15</v>
      </c>
      <c r="N9" t="s">
        <v>497</v>
      </c>
      <c r="O9" t="s">
        <v>498</v>
      </c>
      <c r="P9">
        <v>40</v>
      </c>
      <c r="Q9" s="7"/>
      <c r="R9" s="27"/>
      <c r="S9" s="27"/>
      <c r="U9" s="8" t="str">
        <f t="shared" si="0"/>
        <v/>
      </c>
      <c r="V9" s="2"/>
    </row>
    <row r="10" spans="2:24" s="1" customFormat="1" ht="15" customHeight="1" x14ac:dyDescent="0.25">
      <c r="B10" s="1" t="s">
        <v>512</v>
      </c>
      <c r="C10" s="1" t="s">
        <v>371</v>
      </c>
      <c r="D10" s="1" t="s">
        <v>372</v>
      </c>
      <c r="E10" t="s">
        <v>513</v>
      </c>
      <c r="F10" t="s">
        <v>34</v>
      </c>
      <c r="G10" t="s">
        <v>514</v>
      </c>
      <c r="H10" t="s">
        <v>460</v>
      </c>
      <c r="I10" t="s">
        <v>515</v>
      </c>
      <c r="J10" t="s">
        <v>470</v>
      </c>
      <c r="K10"/>
      <c r="L10" t="s">
        <v>516</v>
      </c>
      <c r="M10">
        <v>15</v>
      </c>
      <c r="N10" t="s">
        <v>517</v>
      </c>
      <c r="O10">
        <v>132</v>
      </c>
      <c r="P10">
        <v>40</v>
      </c>
      <c r="Q10" s="7"/>
      <c r="R10" s="27"/>
      <c r="S10" s="27"/>
      <c r="U10" s="8" t="str">
        <f t="shared" si="0"/>
        <v/>
      </c>
      <c r="V10" s="2"/>
    </row>
    <row r="11" spans="2:24" s="1" customFormat="1" ht="15" customHeight="1" x14ac:dyDescent="0.25">
      <c r="B11" s="1" t="s">
        <v>518</v>
      </c>
      <c r="C11" s="1" t="s">
        <v>296</v>
      </c>
      <c r="D11" s="1" t="s">
        <v>297</v>
      </c>
      <c r="E11" t="s">
        <v>519</v>
      </c>
      <c r="F11" t="s">
        <v>520</v>
      </c>
      <c r="G11" t="s">
        <v>521</v>
      </c>
      <c r="H11" t="s">
        <v>460</v>
      </c>
      <c r="I11" t="s">
        <v>522</v>
      </c>
      <c r="J11" t="s">
        <v>523</v>
      </c>
      <c r="K11" t="s">
        <v>515</v>
      </c>
      <c r="L11"/>
      <c r="M11">
        <v>15</v>
      </c>
      <c r="N11" t="s">
        <v>524</v>
      </c>
      <c r="O11">
        <v>719</v>
      </c>
      <c r="P11">
        <v>40</v>
      </c>
      <c r="Q11" s="7"/>
      <c r="R11" s="27"/>
      <c r="S11" s="27"/>
      <c r="U11" s="8" t="str">
        <f t="shared" si="0"/>
        <v/>
      </c>
      <c r="V11" s="2"/>
    </row>
    <row r="12" spans="2:24" s="1" customFormat="1" ht="15" customHeight="1" x14ac:dyDescent="0.25">
      <c r="B12" s="1" t="s">
        <v>531</v>
      </c>
      <c r="C12" s="1" t="s">
        <v>325</v>
      </c>
      <c r="D12" s="1" t="s">
        <v>278</v>
      </c>
      <c r="E12" t="s">
        <v>532</v>
      </c>
      <c r="F12" t="s">
        <v>244</v>
      </c>
      <c r="G12" t="s">
        <v>533</v>
      </c>
      <c r="H12" t="s">
        <v>460</v>
      </c>
      <c r="I12" t="s">
        <v>534</v>
      </c>
      <c r="J12" t="s">
        <v>523</v>
      </c>
      <c r="K12" t="s">
        <v>515</v>
      </c>
      <c r="L12" t="s">
        <v>535</v>
      </c>
      <c r="M12">
        <v>15</v>
      </c>
      <c r="N12" t="s">
        <v>536</v>
      </c>
      <c r="O12">
        <v>142</v>
      </c>
      <c r="P12">
        <v>25</v>
      </c>
      <c r="Q12" s="7"/>
      <c r="R12" s="27"/>
      <c r="S12" s="27"/>
      <c r="U12" s="8" t="str">
        <f t="shared" si="0"/>
        <v/>
      </c>
      <c r="V12" s="2"/>
    </row>
    <row r="13" spans="2:24" s="1" customFormat="1" ht="15" customHeight="1" x14ac:dyDescent="0.25">
      <c r="B13" s="1" t="s">
        <v>537</v>
      </c>
      <c r="C13" s="1" t="s">
        <v>64</v>
      </c>
      <c r="D13" s="1" t="s">
        <v>65</v>
      </c>
      <c r="E13" t="s">
        <v>538</v>
      </c>
      <c r="F13" t="s">
        <v>114</v>
      </c>
      <c r="G13" t="s">
        <v>539</v>
      </c>
      <c r="H13" t="s">
        <v>460</v>
      </c>
      <c r="I13" t="s">
        <v>540</v>
      </c>
      <c r="J13" t="s">
        <v>523</v>
      </c>
      <c r="K13" t="s">
        <v>515</v>
      </c>
      <c r="L13"/>
      <c r="M13">
        <v>15</v>
      </c>
      <c r="N13" t="s">
        <v>541</v>
      </c>
      <c r="O13">
        <v>716</v>
      </c>
      <c r="P13">
        <v>25</v>
      </c>
      <c r="Q13" s="7"/>
      <c r="R13" s="27"/>
      <c r="S13" s="27"/>
      <c r="U13" s="8" t="str">
        <f t="shared" si="0"/>
        <v/>
      </c>
      <c r="V13" s="2"/>
    </row>
    <row r="14" spans="2:24" s="1" customFormat="1" ht="15" customHeight="1" x14ac:dyDescent="0.25">
      <c r="B14" s="1" t="s">
        <v>484</v>
      </c>
      <c r="C14" s="1" t="s">
        <v>22</v>
      </c>
      <c r="D14" s="1" t="s">
        <v>23</v>
      </c>
      <c r="E14" t="s">
        <v>485</v>
      </c>
      <c r="F14" t="s">
        <v>486</v>
      </c>
      <c r="G14" t="s">
        <v>487</v>
      </c>
      <c r="H14" t="s">
        <v>460</v>
      </c>
      <c r="I14" t="s">
        <v>488</v>
      </c>
      <c r="J14" t="s">
        <v>523</v>
      </c>
      <c r="K14" t="s">
        <v>515</v>
      </c>
      <c r="L14"/>
      <c r="M14">
        <v>15</v>
      </c>
      <c r="N14" t="s">
        <v>489</v>
      </c>
      <c r="O14">
        <v>2117</v>
      </c>
      <c r="P14">
        <v>40</v>
      </c>
      <c r="Q14" s="7"/>
      <c r="R14" s="27"/>
      <c r="S14" s="27"/>
      <c r="U14" s="8" t="str">
        <f t="shared" si="0"/>
        <v/>
      </c>
      <c r="V14" s="2"/>
    </row>
    <row r="15" spans="2:24" ht="15" customHeight="1" x14ac:dyDescent="0.25">
      <c r="B15" s="1" t="s">
        <v>500</v>
      </c>
      <c r="C15" s="1" t="s">
        <v>176</v>
      </c>
      <c r="D15" s="1" t="s">
        <v>177</v>
      </c>
      <c r="E15" t="s">
        <v>501</v>
      </c>
      <c r="F15" t="s">
        <v>168</v>
      </c>
      <c r="G15" t="s">
        <v>502</v>
      </c>
      <c r="H15" t="s">
        <v>460</v>
      </c>
      <c r="I15" t="s">
        <v>503</v>
      </c>
      <c r="J15" t="s">
        <v>523</v>
      </c>
      <c r="K15" t="s">
        <v>515</v>
      </c>
      <c r="L15"/>
      <c r="M15">
        <v>15</v>
      </c>
      <c r="N15" t="s">
        <v>504</v>
      </c>
      <c r="O15">
        <v>182</v>
      </c>
      <c r="P15">
        <v>40</v>
      </c>
      <c r="Q15" s="7"/>
      <c r="U15" s="8" t="str">
        <f t="shared" si="0"/>
        <v/>
      </c>
    </row>
    <row r="16" spans="2:24" ht="15" customHeight="1" x14ac:dyDescent="0.25">
      <c r="B16" s="1" t="s">
        <v>548</v>
      </c>
      <c r="C16" s="1" t="s">
        <v>396</v>
      </c>
      <c r="D16" s="1" t="s">
        <v>549</v>
      </c>
      <c r="E16"/>
      <c r="F16" t="s">
        <v>550</v>
      </c>
      <c r="G16" t="s">
        <v>551</v>
      </c>
      <c r="H16" t="s">
        <v>552</v>
      </c>
      <c r="I16" t="s">
        <v>553</v>
      </c>
      <c r="J16" t="s">
        <v>554</v>
      </c>
      <c r="K16"/>
      <c r="L16"/>
      <c r="M16">
        <v>6</v>
      </c>
      <c r="N16"/>
      <c r="O16"/>
      <c r="P16"/>
      <c r="Q16" s="7"/>
      <c r="U16" s="8" t="str">
        <f t="shared" si="0"/>
        <v/>
      </c>
    </row>
    <row r="17" spans="2:21" ht="15" customHeight="1" x14ac:dyDescent="0.25">
      <c r="B17" s="1" t="s">
        <v>555</v>
      </c>
      <c r="C17" s="1" t="s">
        <v>556</v>
      </c>
      <c r="D17" s="1" t="s">
        <v>557</v>
      </c>
      <c r="E17"/>
      <c r="F17" t="s">
        <v>558</v>
      </c>
      <c r="G17" t="s">
        <v>559</v>
      </c>
      <c r="H17" t="s">
        <v>552</v>
      </c>
      <c r="I17" t="s">
        <v>560</v>
      </c>
      <c r="J17" t="s">
        <v>561</v>
      </c>
      <c r="K17" t="s">
        <v>553</v>
      </c>
      <c r="L17"/>
      <c r="M17">
        <v>6</v>
      </c>
      <c r="N17"/>
      <c r="O17"/>
      <c r="P17"/>
      <c r="Q17" s="7"/>
      <c r="U17" s="8" t="str">
        <f t="shared" si="0"/>
        <v/>
      </c>
    </row>
    <row r="18" spans="2:21" ht="15" customHeight="1" x14ac:dyDescent="0.25">
      <c r="B18" s="1" t="s">
        <v>562</v>
      </c>
      <c r="C18" s="1" t="s">
        <v>563</v>
      </c>
      <c r="D18" s="1" t="s">
        <v>564</v>
      </c>
      <c r="E18"/>
      <c r="F18" t="s">
        <v>565</v>
      </c>
      <c r="G18" t="s">
        <v>566</v>
      </c>
      <c r="H18" t="s">
        <v>552</v>
      </c>
      <c r="I18" t="s">
        <v>567</v>
      </c>
      <c r="J18" t="s">
        <v>561</v>
      </c>
      <c r="K18" t="s">
        <v>553</v>
      </c>
      <c r="L18"/>
      <c r="M18">
        <v>6</v>
      </c>
      <c r="N18"/>
      <c r="O18"/>
      <c r="P18"/>
      <c r="Q18" s="7"/>
      <c r="U18" s="8" t="str">
        <f t="shared" si="0"/>
        <v/>
      </c>
    </row>
    <row r="19" spans="2:21" ht="15" customHeight="1" x14ac:dyDescent="0.25">
      <c r="B19" s="1" t="s">
        <v>574</v>
      </c>
      <c r="C19" s="1" t="s">
        <v>575</v>
      </c>
      <c r="D19" s="1" t="s">
        <v>576</v>
      </c>
      <c r="E19"/>
      <c r="F19" t="s">
        <v>577</v>
      </c>
      <c r="G19" t="s">
        <v>578</v>
      </c>
      <c r="H19" t="s">
        <v>552</v>
      </c>
      <c r="I19" t="s">
        <v>579</v>
      </c>
      <c r="J19" t="s">
        <v>561</v>
      </c>
      <c r="K19" t="s">
        <v>553</v>
      </c>
      <c r="L19"/>
      <c r="M19">
        <v>6</v>
      </c>
      <c r="N19"/>
      <c r="O19"/>
      <c r="P19"/>
      <c r="Q19" s="7"/>
      <c r="U19" s="8" t="str">
        <f t="shared" si="0"/>
        <v/>
      </c>
    </row>
    <row r="20" spans="2:21" ht="15" customHeight="1" x14ac:dyDescent="0.25">
      <c r="B20" s="1" t="s">
        <v>580</v>
      </c>
      <c r="C20" s="1" t="s">
        <v>316</v>
      </c>
      <c r="D20" s="1" t="s">
        <v>581</v>
      </c>
      <c r="E20"/>
      <c r="F20" t="s">
        <v>565</v>
      </c>
      <c r="G20" t="s">
        <v>582</v>
      </c>
      <c r="H20" t="s">
        <v>583</v>
      </c>
      <c r="I20" t="s">
        <v>584</v>
      </c>
      <c r="J20" t="s">
        <v>585</v>
      </c>
      <c r="K20"/>
      <c r="L20"/>
      <c r="M20">
        <v>1</v>
      </c>
      <c r="N20"/>
      <c r="O20"/>
      <c r="P20"/>
      <c r="Q20" s="7"/>
      <c r="U20" s="8" t="str">
        <f t="shared" si="0"/>
        <v/>
      </c>
    </row>
    <row r="21" spans="2:21" ht="15" customHeight="1" x14ac:dyDescent="0.25">
      <c r="B21" s="1" t="s">
        <v>586</v>
      </c>
      <c r="C21" s="1" t="s">
        <v>587</v>
      </c>
      <c r="D21" s="1" t="s">
        <v>588</v>
      </c>
      <c r="E21"/>
      <c r="F21" t="s">
        <v>589</v>
      </c>
      <c r="G21" t="s">
        <v>590</v>
      </c>
      <c r="H21" t="s">
        <v>583</v>
      </c>
      <c r="I21" t="s">
        <v>591</v>
      </c>
      <c r="J21" t="s">
        <v>592</v>
      </c>
      <c r="K21"/>
      <c r="L21"/>
      <c r="M21">
        <v>1</v>
      </c>
      <c r="N21"/>
      <c r="O21"/>
      <c r="P21"/>
      <c r="Q21" s="7"/>
      <c r="U21" s="8" t="str">
        <f t="shared" si="0"/>
        <v/>
      </c>
    </row>
    <row r="22" spans="2:21" ht="15" customHeight="1" x14ac:dyDescent="0.25">
      <c r="B22" s="1" t="s">
        <v>593</v>
      </c>
      <c r="C22" s="1" t="s">
        <v>169</v>
      </c>
      <c r="D22" s="1" t="s">
        <v>170</v>
      </c>
      <c r="E22"/>
      <c r="F22" t="s">
        <v>594</v>
      </c>
      <c r="G22" t="s">
        <v>595</v>
      </c>
      <c r="H22" t="s">
        <v>583</v>
      </c>
      <c r="I22" t="s">
        <v>596</v>
      </c>
      <c r="J22" t="s">
        <v>592</v>
      </c>
      <c r="K22"/>
      <c r="L22"/>
      <c r="M22">
        <v>1</v>
      </c>
      <c r="N22"/>
      <c r="O22"/>
      <c r="P22"/>
      <c r="Q22" s="7"/>
      <c r="U22" s="8" t="str">
        <f t="shared" si="0"/>
        <v/>
      </c>
    </row>
    <row r="23" spans="2:21" s="1" customFormat="1" ht="15" customHeight="1" x14ac:dyDescent="0.25">
      <c r="B23" s="1" t="s">
        <v>3075</v>
      </c>
      <c r="C23" s="1" t="s">
        <v>3076</v>
      </c>
      <c r="D23" s="1" t="s">
        <v>2085</v>
      </c>
      <c r="E23"/>
      <c r="F23" t="s">
        <v>3077</v>
      </c>
      <c r="G23" t="s">
        <v>3078</v>
      </c>
      <c r="H23" t="s">
        <v>583</v>
      </c>
      <c r="I23" t="s">
        <v>3079</v>
      </c>
      <c r="J23" t="s">
        <v>607</v>
      </c>
      <c r="K23"/>
      <c r="L23"/>
      <c r="M23">
        <v>1</v>
      </c>
      <c r="N23"/>
      <c r="O23"/>
      <c r="P23"/>
      <c r="Q23" s="7"/>
      <c r="R23" s="27"/>
      <c r="S23" s="27"/>
      <c r="U23" s="9" t="str">
        <f t="shared" si="0"/>
        <v/>
      </c>
    </row>
    <row r="24" spans="2:21" s="1" customFormat="1" ht="15" customHeight="1" x14ac:dyDescent="0.25">
      <c r="B24" s="1" t="s">
        <v>608</v>
      </c>
      <c r="C24" s="1" t="s">
        <v>609</v>
      </c>
      <c r="D24" s="1" t="s">
        <v>610</v>
      </c>
      <c r="E24"/>
      <c r="F24" t="s">
        <v>611</v>
      </c>
      <c r="G24" t="s">
        <v>612</v>
      </c>
      <c r="H24" t="s">
        <v>583</v>
      </c>
      <c r="I24" t="s">
        <v>613</v>
      </c>
      <c r="J24" t="s">
        <v>614</v>
      </c>
      <c r="K24" t="s">
        <v>606</v>
      </c>
      <c r="L24"/>
      <c r="M24">
        <v>1</v>
      </c>
      <c r="N24"/>
      <c r="O24"/>
      <c r="P24"/>
      <c r="Q24" s="7"/>
      <c r="R24" s="27"/>
      <c r="S24" s="27"/>
      <c r="U24" s="9" t="str">
        <f t="shared" si="0"/>
        <v/>
      </c>
    </row>
    <row r="25" spans="2:21" s="1" customFormat="1" ht="15" customHeight="1" x14ac:dyDescent="0.25">
      <c r="B25" s="1" t="s">
        <v>615</v>
      </c>
      <c r="C25" s="1" t="s">
        <v>616</v>
      </c>
      <c r="D25" s="1" t="s">
        <v>617</v>
      </c>
      <c r="E25"/>
      <c r="F25" t="s">
        <v>618</v>
      </c>
      <c r="G25" t="s">
        <v>619</v>
      </c>
      <c r="H25" t="s">
        <v>583</v>
      </c>
      <c r="I25" t="s">
        <v>620</v>
      </c>
      <c r="J25" t="s">
        <v>614</v>
      </c>
      <c r="K25" t="s">
        <v>606</v>
      </c>
      <c r="L25"/>
      <c r="M25">
        <v>1</v>
      </c>
      <c r="N25"/>
      <c r="O25"/>
      <c r="P25"/>
      <c r="Q25" s="7"/>
      <c r="R25" s="27"/>
      <c r="S25" s="27"/>
      <c r="U25" s="9" t="str">
        <f t="shared" si="0"/>
        <v/>
      </c>
    </row>
    <row r="26" spans="2:21" s="1" customFormat="1" ht="15" customHeight="1" x14ac:dyDescent="0.25">
      <c r="B26" s="1" t="s">
        <v>621</v>
      </c>
      <c r="C26" s="1" t="s">
        <v>622</v>
      </c>
      <c r="D26" s="1" t="s">
        <v>267</v>
      </c>
      <c r="E26"/>
      <c r="F26" t="s">
        <v>623</v>
      </c>
      <c r="G26" t="s">
        <v>624</v>
      </c>
      <c r="H26" t="s">
        <v>583</v>
      </c>
      <c r="I26" t="s">
        <v>625</v>
      </c>
      <c r="J26" t="s">
        <v>614</v>
      </c>
      <c r="K26" t="s">
        <v>606</v>
      </c>
      <c r="L26"/>
      <c r="M26">
        <v>1</v>
      </c>
      <c r="N26"/>
      <c r="O26"/>
      <c r="P26"/>
      <c r="Q26" s="7"/>
      <c r="R26" s="27"/>
      <c r="S26" s="27"/>
      <c r="U26" s="9" t="str">
        <f t="shared" si="0"/>
        <v/>
      </c>
    </row>
    <row r="27" spans="2:21" s="1" customFormat="1" ht="15" customHeight="1" x14ac:dyDescent="0.25">
      <c r="B27" s="1" t="s">
        <v>626</v>
      </c>
      <c r="C27" s="1" t="s">
        <v>362</v>
      </c>
      <c r="D27" s="1" t="s">
        <v>409</v>
      </c>
      <c r="E27"/>
      <c r="F27" t="s">
        <v>627</v>
      </c>
      <c r="G27" t="s">
        <v>628</v>
      </c>
      <c r="H27" t="s">
        <v>583</v>
      </c>
      <c r="I27" t="s">
        <v>629</v>
      </c>
      <c r="J27" t="s">
        <v>614</v>
      </c>
      <c r="K27" t="s">
        <v>606</v>
      </c>
      <c r="L27"/>
      <c r="M27">
        <v>1</v>
      </c>
      <c r="N27"/>
      <c r="O27"/>
      <c r="P27"/>
      <c r="Q27" s="7"/>
      <c r="R27" s="27"/>
      <c r="S27" s="27"/>
      <c r="U27" s="9" t="str">
        <f t="shared" si="0"/>
        <v/>
      </c>
    </row>
    <row r="28" spans="2:21" s="1" customFormat="1" ht="15" customHeight="1" x14ac:dyDescent="0.25">
      <c r="B28" s="1" t="s">
        <v>630</v>
      </c>
      <c r="C28" s="1" t="s">
        <v>425</v>
      </c>
      <c r="D28" s="1" t="s">
        <v>426</v>
      </c>
      <c r="E28"/>
      <c r="F28" t="s">
        <v>631</v>
      </c>
      <c r="G28" t="s">
        <v>632</v>
      </c>
      <c r="H28" t="s">
        <v>583</v>
      </c>
      <c r="I28" t="s">
        <v>633</v>
      </c>
      <c r="J28" t="s">
        <v>614</v>
      </c>
      <c r="K28" t="s">
        <v>606</v>
      </c>
      <c r="L28"/>
      <c r="M28">
        <v>15</v>
      </c>
      <c r="N28"/>
      <c r="O28"/>
      <c r="P28"/>
      <c r="Q28" s="7"/>
      <c r="R28" s="27"/>
      <c r="S28" s="27"/>
      <c r="U28" s="8" t="str">
        <f t="shared" si="0"/>
        <v/>
      </c>
    </row>
    <row r="29" spans="2:21" s="1" customFormat="1" ht="15" customHeight="1" x14ac:dyDescent="0.25">
      <c r="B29" s="1" t="s">
        <v>634</v>
      </c>
      <c r="C29" s="1" t="s">
        <v>635</v>
      </c>
      <c r="D29" s="1" t="s">
        <v>636</v>
      </c>
      <c r="E29"/>
      <c r="F29" t="s">
        <v>21</v>
      </c>
      <c r="G29" t="s">
        <v>637</v>
      </c>
      <c r="H29" t="s">
        <v>583</v>
      </c>
      <c r="I29" t="s">
        <v>638</v>
      </c>
      <c r="J29" t="s">
        <v>607</v>
      </c>
      <c r="K29"/>
      <c r="L29"/>
      <c r="M29">
        <v>1</v>
      </c>
      <c r="N29"/>
      <c r="O29"/>
      <c r="P29"/>
      <c r="Q29" s="7"/>
      <c r="R29" s="27"/>
      <c r="S29" s="27"/>
      <c r="U29" s="9" t="str">
        <f t="shared" si="0"/>
        <v/>
      </c>
    </row>
    <row r="30" spans="2:21" s="1" customFormat="1" ht="15" customHeight="1" x14ac:dyDescent="0.25">
      <c r="B30" s="1" t="s">
        <v>1630</v>
      </c>
      <c r="C30" s="1" t="s">
        <v>1631</v>
      </c>
      <c r="D30" s="1" t="s">
        <v>1122</v>
      </c>
      <c r="E30"/>
      <c r="F30" t="s">
        <v>21</v>
      </c>
      <c r="G30" t="s">
        <v>1632</v>
      </c>
      <c r="H30" t="s">
        <v>583</v>
      </c>
      <c r="I30" t="s">
        <v>1633</v>
      </c>
      <c r="J30" t="s">
        <v>1634</v>
      </c>
      <c r="K30" t="s">
        <v>638</v>
      </c>
      <c r="L30"/>
      <c r="M30">
        <v>15</v>
      </c>
      <c r="N30"/>
      <c r="O30"/>
      <c r="P30"/>
      <c r="Q30" s="7"/>
      <c r="R30" s="27"/>
      <c r="S30" s="27"/>
      <c r="U30" s="9" t="str">
        <f t="shared" si="0"/>
        <v/>
      </c>
    </row>
    <row r="31" spans="2:21" s="1" customFormat="1" ht="15" customHeight="1" x14ac:dyDescent="0.25">
      <c r="B31" s="1" t="s">
        <v>639</v>
      </c>
      <c r="C31" s="1" t="s">
        <v>635</v>
      </c>
      <c r="D31" s="1" t="s">
        <v>640</v>
      </c>
      <c r="E31"/>
      <c r="F31" t="s">
        <v>641</v>
      </c>
      <c r="G31" t="s">
        <v>642</v>
      </c>
      <c r="H31" t="s">
        <v>583</v>
      </c>
      <c r="I31" t="s">
        <v>643</v>
      </c>
      <c r="J31" t="s">
        <v>607</v>
      </c>
      <c r="K31"/>
      <c r="L31"/>
      <c r="M31">
        <v>1</v>
      </c>
      <c r="N31"/>
      <c r="O31"/>
      <c r="P31"/>
      <c r="Q31" s="7"/>
      <c r="R31" s="27"/>
      <c r="S31" s="27"/>
      <c r="U31" s="9" t="str">
        <f t="shared" si="0"/>
        <v/>
      </c>
    </row>
    <row r="32" spans="2:21" ht="15" customHeight="1" x14ac:dyDescent="0.25">
      <c r="B32" s="1" t="s">
        <v>644</v>
      </c>
      <c r="C32" s="1" t="s">
        <v>162</v>
      </c>
      <c r="D32" s="1" t="s">
        <v>163</v>
      </c>
      <c r="E32"/>
      <c r="F32" t="s">
        <v>645</v>
      </c>
      <c r="G32" t="s">
        <v>646</v>
      </c>
      <c r="H32" t="s">
        <v>583</v>
      </c>
      <c r="I32" t="s">
        <v>647</v>
      </c>
      <c r="J32" t="s">
        <v>648</v>
      </c>
      <c r="K32" t="s">
        <v>643</v>
      </c>
      <c r="L32"/>
      <c r="M32">
        <v>1</v>
      </c>
      <c r="N32"/>
      <c r="O32"/>
      <c r="P32"/>
      <c r="Q32" s="7"/>
      <c r="U32" s="8" t="str">
        <f t="shared" si="0"/>
        <v/>
      </c>
    </row>
    <row r="33" spans="2:21" ht="15" customHeight="1" x14ac:dyDescent="0.25">
      <c r="B33" s="1" t="s">
        <v>649</v>
      </c>
      <c r="C33" s="1" t="s">
        <v>264</v>
      </c>
      <c r="D33" s="1" t="s">
        <v>650</v>
      </c>
      <c r="E33"/>
      <c r="F33" t="s">
        <v>651</v>
      </c>
      <c r="G33" t="s">
        <v>652</v>
      </c>
      <c r="H33" t="s">
        <v>583</v>
      </c>
      <c r="I33" t="s">
        <v>653</v>
      </c>
      <c r="J33" t="s">
        <v>648</v>
      </c>
      <c r="K33" t="s">
        <v>643</v>
      </c>
      <c r="L33"/>
      <c r="M33">
        <v>1</v>
      </c>
      <c r="N33"/>
      <c r="O33"/>
      <c r="P33"/>
      <c r="Q33" s="7"/>
      <c r="U33" s="8" t="str">
        <f t="shared" si="0"/>
        <v/>
      </c>
    </row>
    <row r="34" spans="2:21" ht="15" customHeight="1" x14ac:dyDescent="0.25">
      <c r="B34" s="1" t="s">
        <v>654</v>
      </c>
      <c r="C34" s="1" t="s">
        <v>417</v>
      </c>
      <c r="D34" s="1" t="s">
        <v>418</v>
      </c>
      <c r="E34"/>
      <c r="F34" t="s">
        <v>655</v>
      </c>
      <c r="G34" t="s">
        <v>656</v>
      </c>
      <c r="H34" t="s">
        <v>583</v>
      </c>
      <c r="I34" t="s">
        <v>657</v>
      </c>
      <c r="J34" t="s">
        <v>648</v>
      </c>
      <c r="K34" t="s">
        <v>643</v>
      </c>
      <c r="L34"/>
      <c r="M34">
        <v>1</v>
      </c>
      <c r="N34"/>
      <c r="O34"/>
      <c r="P34"/>
      <c r="Q34" s="7"/>
      <c r="U34" s="8" t="str">
        <f t="shared" si="0"/>
        <v/>
      </c>
    </row>
    <row r="35" spans="2:21" ht="15" customHeight="1" x14ac:dyDescent="0.25">
      <c r="B35" s="1" t="s">
        <v>1641</v>
      </c>
      <c r="C35" s="1" t="s">
        <v>345</v>
      </c>
      <c r="D35" s="1" t="s">
        <v>1642</v>
      </c>
      <c r="E35"/>
      <c r="F35" t="s">
        <v>1643</v>
      </c>
      <c r="G35" t="s">
        <v>1644</v>
      </c>
      <c r="H35" t="s">
        <v>583</v>
      </c>
      <c r="I35" t="s">
        <v>1645</v>
      </c>
      <c r="J35" t="s">
        <v>648</v>
      </c>
      <c r="K35" t="s">
        <v>643</v>
      </c>
      <c r="L35"/>
      <c r="M35">
        <v>15</v>
      </c>
      <c r="N35"/>
      <c r="O35"/>
      <c r="P35"/>
      <c r="Q35" s="7"/>
      <c r="U35" s="8" t="str">
        <f t="shared" si="0"/>
        <v/>
      </c>
    </row>
    <row r="36" spans="2:21" ht="15" customHeight="1" x14ac:dyDescent="0.25">
      <c r="B36" s="1" t="s">
        <v>658</v>
      </c>
      <c r="C36" s="1" t="s">
        <v>659</v>
      </c>
      <c r="D36" s="1" t="s">
        <v>660</v>
      </c>
      <c r="E36"/>
      <c r="F36" t="s">
        <v>661</v>
      </c>
      <c r="G36" t="s">
        <v>662</v>
      </c>
      <c r="H36" t="s">
        <v>583</v>
      </c>
      <c r="I36" t="s">
        <v>663</v>
      </c>
      <c r="J36" t="s">
        <v>607</v>
      </c>
      <c r="K36"/>
      <c r="L36"/>
      <c r="M36">
        <v>1</v>
      </c>
      <c r="N36"/>
      <c r="O36"/>
      <c r="P36"/>
      <c r="Q36" s="7"/>
      <c r="U36" s="8" t="str">
        <f t="shared" si="0"/>
        <v/>
      </c>
    </row>
    <row r="37" spans="2:21" ht="15" customHeight="1" x14ac:dyDescent="0.25">
      <c r="B37" s="1" t="s">
        <v>664</v>
      </c>
      <c r="C37" s="1" t="s">
        <v>155</v>
      </c>
      <c r="D37" s="1" t="s">
        <v>156</v>
      </c>
      <c r="E37"/>
      <c r="F37" t="s">
        <v>550</v>
      </c>
      <c r="G37" t="s">
        <v>665</v>
      </c>
      <c r="H37" t="s">
        <v>583</v>
      </c>
      <c r="I37" t="s">
        <v>666</v>
      </c>
      <c r="J37" t="s">
        <v>667</v>
      </c>
      <c r="K37" t="s">
        <v>663</v>
      </c>
      <c r="L37"/>
      <c r="M37">
        <v>1</v>
      </c>
      <c r="N37"/>
      <c r="O37"/>
      <c r="P37"/>
      <c r="Q37" s="7"/>
      <c r="U37" s="8" t="str">
        <f t="shared" si="0"/>
        <v/>
      </c>
    </row>
    <row r="38" spans="2:21" ht="15" customHeight="1" x14ac:dyDescent="0.25">
      <c r="B38" s="1" t="s">
        <v>668</v>
      </c>
      <c r="C38" s="1" t="s">
        <v>669</v>
      </c>
      <c r="D38" s="1" t="s">
        <v>670</v>
      </c>
      <c r="E38"/>
      <c r="F38" t="s">
        <v>671</v>
      </c>
      <c r="G38" t="s">
        <v>672</v>
      </c>
      <c r="H38" t="s">
        <v>583</v>
      </c>
      <c r="I38" t="s">
        <v>673</v>
      </c>
      <c r="J38" t="s">
        <v>667</v>
      </c>
      <c r="K38" t="s">
        <v>663</v>
      </c>
      <c r="L38"/>
      <c r="M38">
        <v>1</v>
      </c>
      <c r="N38"/>
      <c r="O38"/>
      <c r="P38"/>
      <c r="Q38" s="7"/>
      <c r="U38" s="8" t="str">
        <f t="shared" si="0"/>
        <v/>
      </c>
    </row>
    <row r="39" spans="2:21" ht="15" customHeight="1" x14ac:dyDescent="0.25">
      <c r="B39" s="1" t="s">
        <v>701</v>
      </c>
      <c r="C39" s="1" t="s">
        <v>696</v>
      </c>
      <c r="D39" s="1" t="s">
        <v>702</v>
      </c>
      <c r="E39"/>
      <c r="F39" t="s">
        <v>703</v>
      </c>
      <c r="G39" t="s">
        <v>704</v>
      </c>
      <c r="H39" t="s">
        <v>583</v>
      </c>
      <c r="I39" t="s">
        <v>705</v>
      </c>
      <c r="J39" t="s">
        <v>667</v>
      </c>
      <c r="K39" t="s">
        <v>663</v>
      </c>
      <c r="L39"/>
      <c r="M39">
        <v>1</v>
      </c>
      <c r="N39"/>
      <c r="O39"/>
      <c r="P39"/>
      <c r="Q39" s="7"/>
      <c r="U39" s="8" t="str">
        <f t="shared" si="0"/>
        <v/>
      </c>
    </row>
    <row r="40" spans="2:21" ht="15" customHeight="1" x14ac:dyDescent="0.25">
      <c r="B40" s="1" t="s">
        <v>674</v>
      </c>
      <c r="C40" s="1" t="s">
        <v>411</v>
      </c>
      <c r="D40" s="1" t="s">
        <v>412</v>
      </c>
      <c r="E40"/>
      <c r="F40" t="s">
        <v>675</v>
      </c>
      <c r="G40" t="s">
        <v>676</v>
      </c>
      <c r="H40" t="s">
        <v>583</v>
      </c>
      <c r="I40" t="s">
        <v>677</v>
      </c>
      <c r="J40" t="s">
        <v>667</v>
      </c>
      <c r="K40" t="s">
        <v>663</v>
      </c>
      <c r="L40"/>
      <c r="M40">
        <v>1</v>
      </c>
      <c r="N40"/>
      <c r="O40"/>
      <c r="P40"/>
      <c r="Q40" s="7"/>
      <c r="U40" s="8" t="str">
        <f t="shared" si="0"/>
        <v/>
      </c>
    </row>
    <row r="41" spans="2:21" ht="15" customHeight="1" x14ac:dyDescent="0.25">
      <c r="B41" s="1" t="s">
        <v>678</v>
      </c>
      <c r="C41" s="1" t="s">
        <v>679</v>
      </c>
      <c r="D41" s="1" t="s">
        <v>680</v>
      </c>
      <c r="E41"/>
      <c r="F41" t="s">
        <v>681</v>
      </c>
      <c r="G41" t="s">
        <v>682</v>
      </c>
      <c r="H41" t="s">
        <v>583</v>
      </c>
      <c r="I41" t="s">
        <v>683</v>
      </c>
      <c r="J41" t="s">
        <v>607</v>
      </c>
      <c r="K41"/>
      <c r="L41"/>
      <c r="M41">
        <v>1</v>
      </c>
      <c r="N41"/>
      <c r="O41"/>
      <c r="P41"/>
      <c r="Q41" s="7"/>
      <c r="U41" s="8" t="str">
        <f t="shared" si="0"/>
        <v/>
      </c>
    </row>
    <row r="42" spans="2:21" ht="15" customHeight="1" x14ac:dyDescent="0.25">
      <c r="B42" s="1" t="s">
        <v>713</v>
      </c>
      <c r="C42" s="1" t="s">
        <v>714</v>
      </c>
      <c r="D42" s="1" t="s">
        <v>715</v>
      </c>
      <c r="E42"/>
      <c r="F42" t="s">
        <v>716</v>
      </c>
      <c r="G42" t="s">
        <v>717</v>
      </c>
      <c r="H42" t="s">
        <v>583</v>
      </c>
      <c r="I42" t="s">
        <v>718</v>
      </c>
      <c r="J42" t="s">
        <v>688</v>
      </c>
      <c r="K42" t="s">
        <v>683</v>
      </c>
      <c r="L42"/>
      <c r="M42">
        <v>1</v>
      </c>
      <c r="N42"/>
      <c r="O42"/>
      <c r="P42"/>
      <c r="Q42" s="7"/>
      <c r="U42" s="8" t="str">
        <f t="shared" si="0"/>
        <v/>
      </c>
    </row>
    <row r="43" spans="2:21" ht="15" customHeight="1" x14ac:dyDescent="0.25">
      <c r="B43" s="1" t="s">
        <v>689</v>
      </c>
      <c r="C43" s="1" t="s">
        <v>690</v>
      </c>
      <c r="D43" s="1" t="s">
        <v>691</v>
      </c>
      <c r="E43"/>
      <c r="F43" t="s">
        <v>692</v>
      </c>
      <c r="G43" t="s">
        <v>693</v>
      </c>
      <c r="H43" t="s">
        <v>583</v>
      </c>
      <c r="I43" t="s">
        <v>694</v>
      </c>
      <c r="J43" t="s">
        <v>688</v>
      </c>
      <c r="K43" t="s">
        <v>683</v>
      </c>
      <c r="L43"/>
      <c r="M43">
        <v>1</v>
      </c>
      <c r="N43"/>
      <c r="O43"/>
      <c r="P43"/>
      <c r="Q43" s="7"/>
      <c r="U43" s="8" t="str">
        <f t="shared" si="0"/>
        <v/>
      </c>
    </row>
    <row r="44" spans="2:21" ht="15" customHeight="1" x14ac:dyDescent="0.25">
      <c r="B44" s="1" t="s">
        <v>695</v>
      </c>
      <c r="C44" s="1" t="s">
        <v>696</v>
      </c>
      <c r="D44" s="1" t="s">
        <v>697</v>
      </c>
      <c r="E44"/>
      <c r="F44" t="s">
        <v>698</v>
      </c>
      <c r="G44" t="s">
        <v>699</v>
      </c>
      <c r="H44" t="s">
        <v>583</v>
      </c>
      <c r="I44" t="s">
        <v>700</v>
      </c>
      <c r="J44" t="s">
        <v>607</v>
      </c>
      <c r="K44"/>
      <c r="L44"/>
      <c r="M44">
        <v>1</v>
      </c>
      <c r="N44"/>
      <c r="O44"/>
      <c r="P44"/>
      <c r="Q44" s="7"/>
      <c r="U44" s="8" t="str">
        <f t="shared" si="0"/>
        <v/>
      </c>
    </row>
    <row r="45" spans="2:21" ht="15" customHeight="1" x14ac:dyDescent="0.25">
      <c r="B45" s="1" t="s">
        <v>707</v>
      </c>
      <c r="C45" s="1" t="s">
        <v>708</v>
      </c>
      <c r="D45" s="1" t="s">
        <v>709</v>
      </c>
      <c r="E45"/>
      <c r="F45" t="s">
        <v>710</v>
      </c>
      <c r="G45" t="s">
        <v>711</v>
      </c>
      <c r="H45" t="s">
        <v>583</v>
      </c>
      <c r="I45" t="s">
        <v>712</v>
      </c>
      <c r="J45" t="s">
        <v>706</v>
      </c>
      <c r="K45" t="s">
        <v>700</v>
      </c>
      <c r="L45"/>
      <c r="M45">
        <v>1</v>
      </c>
      <c r="N45"/>
      <c r="O45"/>
      <c r="P45"/>
      <c r="Q45" s="7"/>
      <c r="U45" s="8" t="str">
        <f t="shared" si="0"/>
        <v/>
      </c>
    </row>
    <row r="46" spans="2:21" ht="15" customHeight="1" x14ac:dyDescent="0.25">
      <c r="B46" s="1" t="s">
        <v>2034</v>
      </c>
      <c r="C46" s="1" t="s">
        <v>848</v>
      </c>
      <c r="D46" s="1" t="s">
        <v>2035</v>
      </c>
      <c r="E46"/>
      <c r="F46" t="s">
        <v>2036</v>
      </c>
      <c r="G46" t="s">
        <v>2037</v>
      </c>
      <c r="H46" t="s">
        <v>583</v>
      </c>
      <c r="I46" t="s">
        <v>2038</v>
      </c>
      <c r="J46" t="s">
        <v>706</v>
      </c>
      <c r="K46" t="s">
        <v>700</v>
      </c>
      <c r="L46"/>
      <c r="M46">
        <v>1</v>
      </c>
      <c r="N46"/>
      <c r="O46"/>
      <c r="P46"/>
      <c r="Q46" s="7"/>
      <c r="U46" s="8" t="str">
        <f t="shared" si="0"/>
        <v/>
      </c>
    </row>
    <row r="47" spans="2:21" ht="15" customHeight="1" x14ac:dyDescent="0.25">
      <c r="B47" s="1" t="s">
        <v>719</v>
      </c>
      <c r="C47" s="1" t="s">
        <v>556</v>
      </c>
      <c r="D47" s="1" t="s">
        <v>720</v>
      </c>
      <c r="E47"/>
      <c r="F47" t="s">
        <v>721</v>
      </c>
      <c r="G47" t="s">
        <v>722</v>
      </c>
      <c r="H47" t="s">
        <v>583</v>
      </c>
      <c r="I47" t="s">
        <v>723</v>
      </c>
      <c r="J47" t="s">
        <v>706</v>
      </c>
      <c r="K47" t="s">
        <v>700</v>
      </c>
      <c r="L47"/>
      <c r="M47">
        <v>1</v>
      </c>
      <c r="N47"/>
      <c r="O47"/>
      <c r="P47"/>
      <c r="Q47" s="7"/>
      <c r="U47" s="8"/>
    </row>
    <row r="48" spans="2:21" ht="15" customHeight="1" x14ac:dyDescent="0.25">
      <c r="E48"/>
      <c r="F48"/>
      <c r="G48"/>
      <c r="H48"/>
      <c r="I48"/>
      <c r="J48"/>
      <c r="K48"/>
      <c r="L48"/>
      <c r="M48" t="s">
        <v>724</v>
      </c>
      <c r="N48"/>
      <c r="O48"/>
      <c r="P48"/>
      <c r="Q48" s="1">
        <f>SUM(Q3:Q46)</f>
        <v>0</v>
      </c>
      <c r="R48" s="27">
        <f>SUM(R3:R46)</f>
        <v>0</v>
      </c>
      <c r="S48" s="27">
        <f>SUM(S3:S46)</f>
        <v>0</v>
      </c>
      <c r="T48" s="1">
        <f>SUM(T3:T46)</f>
        <v>0</v>
      </c>
      <c r="U48" s="2">
        <f>IFERROR(SUM(S47*8+T47*2)/Q47,0)</f>
        <v>0</v>
      </c>
    </row>
    <row r="49" spans="5:16" ht="15" customHeight="1" x14ac:dyDescent="0.25">
      <c r="E49"/>
      <c r="F49"/>
      <c r="G49"/>
      <c r="H49"/>
      <c r="I49"/>
      <c r="J49"/>
      <c r="K49"/>
      <c r="L49"/>
      <c r="M49"/>
      <c r="N49"/>
      <c r="O49"/>
      <c r="P49"/>
    </row>
    <row r="50" spans="5:16" ht="15" customHeight="1" x14ac:dyDescent="0.25">
      <c r="E50"/>
      <c r="F50"/>
      <c r="G50"/>
      <c r="H50"/>
      <c r="I50"/>
      <c r="J50"/>
      <c r="K50"/>
      <c r="L50"/>
      <c r="M50"/>
      <c r="N50"/>
      <c r="O50"/>
      <c r="P50"/>
    </row>
  </sheetData>
  <customSheetViews>
    <customSheetView guid="{83A2DA31-60F6-4C74-93BD-40FF99C1C7A8}" hiddenColumns="1">
      <pageMargins left="0" right="0" top="0" bottom="0" header="0" footer="0"/>
    </customSheetView>
    <customSheetView guid="{F8CBCBDD-5FE1-4656-8906-81A832D861EF}" hiddenColumns="1">
      <pageMargins left="0" right="0" top="0" bottom="0" header="0" footer="0"/>
    </customSheetView>
    <customSheetView guid="{8751A03A-3443-4C38-AE50-B3AE313663B0}" hiddenColumns="1" topLeftCell="A2">
      <pageMargins left="0" right="0" top="0" bottom="0" header="0" footer="0"/>
    </customSheetView>
    <customSheetView guid="{F567BCB2-6D48-41F2-A191-09CE8F64E918}" hiddenColumns="1" topLeftCell="A16">
      <pageMargins left="0" right="0" top="0" bottom="0" header="0" footer="0"/>
    </customSheetView>
    <customSheetView guid="{ADFAD4B4-1AD9-4570-8307-CE0121173A42}" hiddenColumns="1" topLeftCell="A7">
      <pageMargins left="0" right="0" top="0" bottom="0" header="0" footer="0"/>
    </customSheetView>
    <customSheetView guid="{E8EA09A6-9A5D-41BD-A1B6-DD1E2B4E5703}" hiddenColumns="1" topLeftCell="A2">
      <pageMargins left="0" right="0" top="0" bottom="0" header="0" footer="0"/>
    </customSheetView>
    <customSheetView guid="{3EE9CC87-2444-446D-B867-08D102D54FBA}" hiddenColumns="1">
      <pageMargins left="0" right="0" top="0" bottom="0" header="0" footer="0"/>
    </customSheetView>
    <customSheetView guid="{59FEBC5D-7E48-4444-A38F-E4C647AEA35E}" hiddenColumns="1">
      <pageMargins left="0" right="0" top="0" bottom="0" header="0" footer="0"/>
    </customSheetView>
  </customSheetViews>
  <mergeCells count="3">
    <mergeCell ref="W3:X3"/>
    <mergeCell ref="W7:X7"/>
    <mergeCell ref="W8:X8"/>
  </mergeCells>
  <conditionalFormatting sqref="B1:P1048576">
    <cfRule type="expression" dxfId="9" priority="6">
      <formula>$H1="Service Center"</formula>
    </cfRule>
    <cfRule type="expression" dxfId="8" priority="7">
      <formula>$H1="COBRA"</formula>
    </cfRule>
    <cfRule type="expression" dxfId="7" priority="8">
      <formula>$H1="Claims"</formula>
    </cfRule>
  </conditionalFormatting>
  <conditionalFormatting sqref="B1:U1048576">
    <cfRule type="expression" dxfId="6" priority="4">
      <formula>NOT(ISBLANK($B1))</formula>
    </cfRule>
    <cfRule type="expression" dxfId="5" priority="5">
      <formula>AND($H1="Service Center",$M1=15)</formula>
    </cfRule>
    <cfRule type="expression" dxfId="4" priority="9">
      <formula>$B1="Full Name"</formula>
    </cfRule>
    <cfRule type="expression" dxfId="3" priority="10">
      <formula>$M1="Totals"</formula>
    </cfRule>
  </conditionalFormatting>
  <conditionalFormatting sqref="Q2">
    <cfRule type="expression" dxfId="2" priority="1">
      <formula>$H2="Service Center"</formula>
    </cfRule>
    <cfRule type="expression" dxfId="1" priority="2">
      <formula>$H2="COBRA"</formula>
    </cfRule>
    <cfRule type="expression" dxfId="0" priority="3">
      <formula>$H2="Claims"</formula>
    </cfRule>
  </conditionalFormatting>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EDD9AB-56F0-4100-A292-A470D477DF83}">
  <sheetPr codeName="Sheet5"/>
  <dimension ref="B2:P29"/>
  <sheetViews>
    <sheetView workbookViewId="0"/>
  </sheetViews>
  <sheetFormatPr defaultColWidth="9.140625" defaultRowHeight="15" x14ac:dyDescent="0.25"/>
  <cols>
    <col min="1" max="1" width="2.7109375" style="16" customWidth="1"/>
    <col min="2" max="2" width="10" style="14" customWidth="1"/>
    <col min="3" max="6" width="9.140625" style="14"/>
    <col min="7" max="8" width="9.140625" style="16"/>
    <col min="9" max="13" width="9.140625" style="14"/>
    <col min="14" max="14" width="25.140625" style="14" customWidth="1"/>
    <col min="15" max="15" width="8.7109375"/>
    <col min="16" max="16" width="16.140625" style="16" customWidth="1"/>
    <col min="17" max="16384" width="9.140625" style="16"/>
  </cols>
  <sheetData>
    <row r="2" spans="2:16" s="14" customFormat="1" ht="34.5" x14ac:dyDescent="0.55000000000000004">
      <c r="B2" s="17" t="s">
        <v>3080</v>
      </c>
      <c r="F2" s="15"/>
      <c r="G2" s="16"/>
      <c r="H2" s="16"/>
    </row>
    <row r="3" spans="2:16" s="14" customFormat="1" ht="15" customHeight="1" x14ac:dyDescent="0.35">
      <c r="B3" s="18" t="s">
        <v>3081</v>
      </c>
      <c r="C3" s="15"/>
      <c r="D3" s="15"/>
      <c r="E3" s="15"/>
      <c r="F3" s="15"/>
      <c r="G3" s="16"/>
      <c r="H3" s="16"/>
    </row>
    <row r="4" spans="2:16" s="14" customFormat="1" ht="15" customHeight="1" x14ac:dyDescent="0.35">
      <c r="B4" s="15"/>
      <c r="C4" s="15"/>
      <c r="D4" s="15"/>
      <c r="E4" s="15"/>
      <c r="F4" s="15"/>
      <c r="G4" s="16"/>
      <c r="H4" s="16"/>
    </row>
    <row r="5" spans="2:16" ht="23.25" x14ac:dyDescent="0.35">
      <c r="B5" s="127" t="s">
        <v>3082</v>
      </c>
      <c r="C5" s="127"/>
      <c r="D5" s="127"/>
      <c r="E5" s="127"/>
      <c r="G5" s="128" t="s">
        <v>3083</v>
      </c>
      <c r="H5" s="128"/>
      <c r="I5" s="128"/>
      <c r="J5" s="128"/>
      <c r="K5" s="128"/>
      <c r="L5" s="128"/>
      <c r="N5" s="19" t="s">
        <v>3084</v>
      </c>
      <c r="P5" s="19" t="s">
        <v>3085</v>
      </c>
    </row>
    <row r="6" spans="2:16" ht="15" customHeight="1" x14ac:dyDescent="0.25">
      <c r="B6" s="58" t="s">
        <v>438</v>
      </c>
      <c r="C6" s="58" t="s">
        <v>441</v>
      </c>
      <c r="D6" s="58" t="s">
        <v>3086</v>
      </c>
      <c r="E6" s="58" t="s">
        <v>3087</v>
      </c>
      <c r="G6" s="129" t="s">
        <v>3088</v>
      </c>
      <c r="H6" s="129"/>
      <c r="I6" s="129"/>
      <c r="J6" s="129" t="s">
        <v>3089</v>
      </c>
      <c r="K6" s="129"/>
      <c r="L6" s="129"/>
      <c r="N6" s="58">
        <v>15</v>
      </c>
      <c r="P6" s="59" t="s">
        <v>3090</v>
      </c>
    </row>
    <row r="7" spans="2:16" ht="15" customHeight="1" x14ac:dyDescent="0.25">
      <c r="B7" s="60" t="s">
        <v>176</v>
      </c>
      <c r="C7" s="60" t="s">
        <v>168</v>
      </c>
      <c r="D7" s="61" t="s">
        <v>3091</v>
      </c>
      <c r="E7" s="61" t="s">
        <v>3092</v>
      </c>
      <c r="G7" s="58" t="s">
        <v>2</v>
      </c>
      <c r="H7" s="58" t="s">
        <v>441</v>
      </c>
      <c r="I7" s="58" t="s">
        <v>3093</v>
      </c>
      <c r="J7" s="58" t="s">
        <v>2</v>
      </c>
      <c r="K7" s="58" t="s">
        <v>441</v>
      </c>
      <c r="L7" s="58" t="s">
        <v>3093</v>
      </c>
      <c r="N7" s="20"/>
      <c r="P7" s="59" t="s">
        <v>3094</v>
      </c>
    </row>
    <row r="8" spans="2:16" ht="15" customHeight="1" x14ac:dyDescent="0.25">
      <c r="B8" s="60" t="s">
        <v>64</v>
      </c>
      <c r="C8" s="60" t="s">
        <v>114</v>
      </c>
      <c r="D8" s="61" t="s">
        <v>3095</v>
      </c>
      <c r="E8" s="61" t="s">
        <v>3092</v>
      </c>
      <c r="G8" s="60" t="s">
        <v>208</v>
      </c>
      <c r="H8" s="60" t="s">
        <v>352</v>
      </c>
      <c r="I8" s="61" t="s">
        <v>3091</v>
      </c>
      <c r="J8" s="60" t="s">
        <v>176</v>
      </c>
      <c r="K8" s="60" t="s">
        <v>168</v>
      </c>
      <c r="L8" s="61" t="s">
        <v>3091</v>
      </c>
      <c r="P8" s="62" t="s">
        <v>29</v>
      </c>
    </row>
    <row r="9" spans="2:16" ht="15" customHeight="1" x14ac:dyDescent="0.25">
      <c r="B9" s="60" t="s">
        <v>208</v>
      </c>
      <c r="C9" s="60" t="s">
        <v>352</v>
      </c>
      <c r="D9" s="61" t="s">
        <v>3091</v>
      </c>
      <c r="E9" s="61" t="s">
        <v>3096</v>
      </c>
      <c r="G9" s="60" t="s">
        <v>245</v>
      </c>
      <c r="H9" s="60" t="s">
        <v>21</v>
      </c>
      <c r="I9" s="61" t="s">
        <v>3091</v>
      </c>
      <c r="J9" s="60" t="s">
        <v>64</v>
      </c>
      <c r="K9" s="60" t="s">
        <v>114</v>
      </c>
      <c r="L9" s="61" t="s">
        <v>3095</v>
      </c>
      <c r="P9" s="62" t="s">
        <v>20</v>
      </c>
    </row>
    <row r="10" spans="2:16" ht="15" customHeight="1" x14ac:dyDescent="0.25">
      <c r="B10" s="60" t="s">
        <v>245</v>
      </c>
      <c r="C10" s="60" t="s">
        <v>21</v>
      </c>
      <c r="D10" s="61" t="s">
        <v>3091</v>
      </c>
      <c r="E10" s="61" t="s">
        <v>3096</v>
      </c>
      <c r="G10" s="60" t="s">
        <v>325</v>
      </c>
      <c r="H10" s="60" t="s">
        <v>244</v>
      </c>
      <c r="I10" s="61" t="s">
        <v>3095</v>
      </c>
      <c r="J10" s="60"/>
      <c r="K10" s="60"/>
      <c r="L10" s="61"/>
      <c r="P10" s="59" t="s">
        <v>3097</v>
      </c>
    </row>
    <row r="11" spans="2:16" ht="15" customHeight="1" x14ac:dyDescent="0.25">
      <c r="B11" s="60" t="s">
        <v>325</v>
      </c>
      <c r="C11" s="60" t="s">
        <v>244</v>
      </c>
      <c r="D11" s="61" t="s">
        <v>3095</v>
      </c>
      <c r="E11" s="61" t="s">
        <v>3096</v>
      </c>
      <c r="G11" s="60" t="s">
        <v>371</v>
      </c>
      <c r="H11" s="60" t="s">
        <v>34</v>
      </c>
      <c r="I11" s="61" t="s">
        <v>3091</v>
      </c>
      <c r="J11" s="60"/>
      <c r="K11" s="60"/>
      <c r="L11" s="61"/>
      <c r="P11" s="62" t="s">
        <v>756</v>
      </c>
    </row>
    <row r="12" spans="2:16" ht="15" customHeight="1" x14ac:dyDescent="0.25">
      <c r="B12" s="60" t="s">
        <v>371</v>
      </c>
      <c r="C12" s="60" t="s">
        <v>34</v>
      </c>
      <c r="D12" s="61" t="s">
        <v>3091</v>
      </c>
      <c r="E12" s="61" t="s">
        <v>3096</v>
      </c>
      <c r="G12" s="60" t="s">
        <v>362</v>
      </c>
      <c r="H12" s="60" t="s">
        <v>175</v>
      </c>
      <c r="I12" s="61" t="s">
        <v>3095</v>
      </c>
      <c r="J12" s="60"/>
      <c r="K12" s="60"/>
      <c r="L12" s="61"/>
      <c r="P12" s="59" t="s">
        <v>2382</v>
      </c>
    </row>
    <row r="13" spans="2:16" ht="15" customHeight="1" x14ac:dyDescent="0.25">
      <c r="B13" s="60" t="s">
        <v>362</v>
      </c>
      <c r="C13" s="60" t="s">
        <v>175</v>
      </c>
      <c r="D13" s="61" t="s">
        <v>3095</v>
      </c>
      <c r="E13" s="61" t="s">
        <v>3096</v>
      </c>
      <c r="G13" s="60"/>
      <c r="H13" s="60"/>
      <c r="I13" s="61"/>
      <c r="J13" s="60"/>
      <c r="K13" s="60"/>
      <c r="L13" s="61"/>
      <c r="P13" s="59" t="s">
        <v>3098</v>
      </c>
    </row>
    <row r="14" spans="2:16" ht="15" customHeight="1" x14ac:dyDescent="0.25">
      <c r="B14" s="61"/>
      <c r="C14" s="61"/>
      <c r="D14" s="61"/>
      <c r="E14" s="61"/>
      <c r="G14" s="60"/>
      <c r="H14" s="60"/>
      <c r="I14" s="61"/>
      <c r="J14" s="60"/>
      <c r="K14" s="60"/>
      <c r="L14" s="61"/>
      <c r="P14" s="62" t="s">
        <v>70</v>
      </c>
    </row>
    <row r="15" spans="2:16" ht="15" customHeight="1" x14ac:dyDescent="0.25">
      <c r="B15" s="61"/>
      <c r="C15" s="61"/>
      <c r="D15" s="61"/>
      <c r="E15" s="61"/>
      <c r="G15" s="60"/>
      <c r="H15" s="60"/>
      <c r="I15" s="61"/>
      <c r="J15" s="60"/>
      <c r="K15" s="60"/>
      <c r="L15" s="61"/>
      <c r="P15" s="59" t="s">
        <v>3099</v>
      </c>
    </row>
    <row r="16" spans="2:16" ht="15" customHeight="1" x14ac:dyDescent="0.25">
      <c r="B16" s="61"/>
      <c r="C16" s="61"/>
      <c r="D16" s="61"/>
      <c r="E16" s="61"/>
      <c r="G16" s="60"/>
      <c r="H16" s="60"/>
      <c r="I16" s="61"/>
      <c r="J16" s="60"/>
      <c r="K16" s="60"/>
      <c r="L16" s="61"/>
      <c r="P16" s="62" t="s">
        <v>3100</v>
      </c>
    </row>
    <row r="17" spans="2:16" ht="15" customHeight="1" x14ac:dyDescent="0.25">
      <c r="B17" s="61"/>
      <c r="C17" s="61"/>
      <c r="D17" s="61"/>
      <c r="E17" s="61"/>
      <c r="G17" s="60"/>
      <c r="H17" s="60"/>
      <c r="I17" s="61"/>
      <c r="J17" s="60"/>
      <c r="K17" s="60"/>
      <c r="L17" s="61"/>
      <c r="P17" s="62" t="s">
        <v>3101</v>
      </c>
    </row>
    <row r="18" spans="2:16" x14ac:dyDescent="0.25">
      <c r="B18" s="61"/>
      <c r="C18" s="61"/>
      <c r="D18" s="61"/>
      <c r="E18" s="61"/>
      <c r="G18" s="16" t="s">
        <v>3102</v>
      </c>
      <c r="P18" s="62" t="s">
        <v>3103</v>
      </c>
    </row>
    <row r="19" spans="2:16" x14ac:dyDescent="0.25">
      <c r="B19" s="20" t="s">
        <v>3104</v>
      </c>
      <c r="G19" s="16" t="s">
        <v>3105</v>
      </c>
      <c r="P19" s="62" t="s">
        <v>3106</v>
      </c>
    </row>
    <row r="20" spans="2:16" x14ac:dyDescent="0.25">
      <c r="B20" s="20" t="s">
        <v>3107</v>
      </c>
      <c r="G20" s="16" t="s">
        <v>3108</v>
      </c>
      <c r="P20" s="62" t="s">
        <v>38</v>
      </c>
    </row>
    <row r="21" spans="2:16" x14ac:dyDescent="0.25">
      <c r="P21" s="62" t="s">
        <v>314</v>
      </c>
    </row>
    <row r="22" spans="2:16" x14ac:dyDescent="0.25">
      <c r="P22" s="62" t="s">
        <v>877</v>
      </c>
    </row>
    <row r="23" spans="2:16" x14ac:dyDescent="0.25">
      <c r="P23" s="62" t="s">
        <v>3109</v>
      </c>
    </row>
    <row r="24" spans="2:16" x14ac:dyDescent="0.25">
      <c r="P24" s="62" t="s">
        <v>1718</v>
      </c>
    </row>
    <row r="25" spans="2:16" x14ac:dyDescent="0.25">
      <c r="P25" s="62"/>
    </row>
    <row r="26" spans="2:16" x14ac:dyDescent="0.25">
      <c r="P26" s="62"/>
    </row>
    <row r="27" spans="2:16" x14ac:dyDescent="0.25">
      <c r="P27" s="62"/>
    </row>
    <row r="28" spans="2:16" x14ac:dyDescent="0.25">
      <c r="P28" s="62"/>
    </row>
    <row r="29" spans="2:16" x14ac:dyDescent="0.25">
      <c r="P29" s="62"/>
    </row>
  </sheetData>
  <mergeCells count="4">
    <mergeCell ref="B5:E5"/>
    <mergeCell ref="G5:L5"/>
    <mergeCell ref="G6:I6"/>
    <mergeCell ref="J6:L6"/>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FC83CE-F9CC-4280-BF8E-A65A1604CC97}">
  <sheetPr codeName="Sheet8"/>
  <dimension ref="A1:O46"/>
  <sheetViews>
    <sheetView topLeftCell="C55" workbookViewId="0"/>
  </sheetViews>
  <sheetFormatPr defaultRowHeight="15" x14ac:dyDescent="0.25"/>
  <cols>
    <col min="1" max="1" width="28.140625" style="1" bestFit="1" customWidth="1"/>
    <col min="2" max="2" width="19.140625" style="1" customWidth="1"/>
    <col min="3" max="3" width="21.7109375" style="1" bestFit="1" customWidth="1"/>
    <col min="4" max="4" width="22.42578125" customWidth="1"/>
    <col min="5" max="5" width="13.5703125" bestFit="1" customWidth="1"/>
    <col min="6" max="6" width="27.5703125" customWidth="1"/>
    <col min="7" max="7" width="24.5703125" customWidth="1"/>
    <col min="8" max="8" width="32.7109375" customWidth="1"/>
    <col min="9" max="9" width="33.5703125" customWidth="1"/>
    <col min="10" max="10" width="25" customWidth="1"/>
    <col min="11" max="11" width="26.5703125" bestFit="1" customWidth="1"/>
  </cols>
  <sheetData>
    <row r="1" spans="1:15" ht="26.25" x14ac:dyDescent="0.25">
      <c r="A1" s="10" t="s">
        <v>3110</v>
      </c>
    </row>
    <row r="2" spans="1:15" x14ac:dyDescent="0.25">
      <c r="A2" s="1" t="s">
        <v>455</v>
      </c>
      <c r="B2" s="1" t="s">
        <v>456</v>
      </c>
      <c r="C2" s="1" t="s">
        <v>297</v>
      </c>
      <c r="D2" t="s">
        <v>457</v>
      </c>
      <c r="E2" t="s">
        <v>458</v>
      </c>
      <c r="F2" t="s">
        <v>459</v>
      </c>
      <c r="G2" t="s">
        <v>460</v>
      </c>
      <c r="H2" t="s">
        <v>461</v>
      </c>
      <c r="I2" t="s">
        <v>462</v>
      </c>
      <c r="K2" t="s">
        <v>463</v>
      </c>
      <c r="L2">
        <v>0</v>
      </c>
      <c r="M2" t="s">
        <v>464</v>
      </c>
    </row>
    <row r="3" spans="1:15" x14ac:dyDescent="0.25">
      <c r="A3" s="1" t="s">
        <v>506</v>
      </c>
      <c r="B3" s="1" t="s">
        <v>208</v>
      </c>
      <c r="C3" s="1" t="s">
        <v>209</v>
      </c>
      <c r="D3" t="s">
        <v>507</v>
      </c>
      <c r="E3" t="s">
        <v>352</v>
      </c>
      <c r="F3" t="s">
        <v>508</v>
      </c>
      <c r="G3" t="s">
        <v>460</v>
      </c>
      <c r="H3" t="s">
        <v>509</v>
      </c>
      <c r="I3" t="s">
        <v>470</v>
      </c>
      <c r="K3" t="s">
        <v>510</v>
      </c>
      <c r="L3">
        <v>15</v>
      </c>
      <c r="M3" t="s">
        <v>511</v>
      </c>
      <c r="N3">
        <v>32</v>
      </c>
      <c r="O3">
        <v>40</v>
      </c>
    </row>
    <row r="4" spans="1:15" x14ac:dyDescent="0.25">
      <c r="A4" s="1" t="s">
        <v>3070</v>
      </c>
      <c r="B4" s="1" t="s">
        <v>325</v>
      </c>
      <c r="C4" s="1" t="s">
        <v>1451</v>
      </c>
      <c r="D4" t="s">
        <v>3071</v>
      </c>
      <c r="E4" t="s">
        <v>3072</v>
      </c>
      <c r="F4" t="s">
        <v>3073</v>
      </c>
      <c r="G4" t="s">
        <v>460</v>
      </c>
      <c r="H4" t="s">
        <v>3074</v>
      </c>
      <c r="I4" t="s">
        <v>2033</v>
      </c>
      <c r="J4" t="s">
        <v>3074</v>
      </c>
    </row>
    <row r="5" spans="1:15" x14ac:dyDescent="0.25">
      <c r="A5" s="1" t="s">
        <v>525</v>
      </c>
      <c r="B5" s="1" t="s">
        <v>277</v>
      </c>
      <c r="C5" s="1" t="s">
        <v>278</v>
      </c>
      <c r="D5" t="s">
        <v>526</v>
      </c>
      <c r="E5" t="s">
        <v>527</v>
      </c>
      <c r="F5" t="s">
        <v>528</v>
      </c>
      <c r="G5" t="s">
        <v>460</v>
      </c>
      <c r="H5" t="s">
        <v>529</v>
      </c>
      <c r="I5" t="s">
        <v>2033</v>
      </c>
      <c r="J5" t="s">
        <v>509</v>
      </c>
      <c r="L5">
        <v>15</v>
      </c>
      <c r="M5" t="s">
        <v>530</v>
      </c>
      <c r="N5">
        <v>219</v>
      </c>
      <c r="O5">
        <v>25</v>
      </c>
    </row>
    <row r="6" spans="1:15" x14ac:dyDescent="0.25">
      <c r="A6" s="1" t="s">
        <v>475</v>
      </c>
      <c r="B6" s="1" t="s">
        <v>362</v>
      </c>
      <c r="C6" s="1" t="s">
        <v>394</v>
      </c>
      <c r="D6" t="s">
        <v>476</v>
      </c>
      <c r="E6" t="s">
        <v>175</v>
      </c>
      <c r="F6" t="s">
        <v>477</v>
      </c>
      <c r="G6" t="s">
        <v>460</v>
      </c>
      <c r="H6" t="s">
        <v>478</v>
      </c>
      <c r="I6" t="s">
        <v>2033</v>
      </c>
      <c r="J6" t="s">
        <v>509</v>
      </c>
      <c r="K6" t="s">
        <v>480</v>
      </c>
      <c r="L6">
        <v>15</v>
      </c>
      <c r="M6" t="s">
        <v>481</v>
      </c>
      <c r="N6">
        <v>67</v>
      </c>
      <c r="O6">
        <v>20</v>
      </c>
    </row>
    <row r="7" spans="1:15" x14ac:dyDescent="0.25">
      <c r="A7" s="1" t="s">
        <v>542</v>
      </c>
      <c r="B7" s="1" t="s">
        <v>245</v>
      </c>
      <c r="C7" s="1" t="s">
        <v>246</v>
      </c>
      <c r="D7" t="s">
        <v>543</v>
      </c>
      <c r="E7" t="s">
        <v>21</v>
      </c>
      <c r="F7" t="s">
        <v>544</v>
      </c>
      <c r="G7" t="s">
        <v>460</v>
      </c>
      <c r="H7" t="s">
        <v>545</v>
      </c>
      <c r="I7" t="s">
        <v>2033</v>
      </c>
      <c r="J7" t="s">
        <v>509</v>
      </c>
      <c r="K7" t="s">
        <v>546</v>
      </c>
      <c r="L7">
        <v>15</v>
      </c>
      <c r="M7" t="s">
        <v>547</v>
      </c>
      <c r="N7">
        <v>209</v>
      </c>
      <c r="O7">
        <v>40</v>
      </c>
    </row>
    <row r="8" spans="1:15" x14ac:dyDescent="0.25">
      <c r="A8" s="1" t="s">
        <v>492</v>
      </c>
      <c r="B8" s="1" t="s">
        <v>107</v>
      </c>
      <c r="C8" s="1" t="s">
        <v>108</v>
      </c>
      <c r="D8" t="s">
        <v>493</v>
      </c>
      <c r="E8" t="s">
        <v>494</v>
      </c>
      <c r="F8" t="s">
        <v>495</v>
      </c>
      <c r="G8" t="s">
        <v>460</v>
      </c>
      <c r="H8" t="s">
        <v>496</v>
      </c>
      <c r="I8" t="s">
        <v>2033</v>
      </c>
      <c r="J8" t="s">
        <v>509</v>
      </c>
      <c r="L8">
        <v>15</v>
      </c>
      <c r="M8" t="s">
        <v>497</v>
      </c>
      <c r="N8" t="s">
        <v>498</v>
      </c>
      <c r="O8">
        <v>40</v>
      </c>
    </row>
    <row r="9" spans="1:15" x14ac:dyDescent="0.25">
      <c r="A9" s="1" t="s">
        <v>512</v>
      </c>
      <c r="B9" s="1" t="s">
        <v>371</v>
      </c>
      <c r="C9" s="1" t="s">
        <v>372</v>
      </c>
      <c r="D9" t="s">
        <v>513</v>
      </c>
      <c r="E9" t="s">
        <v>34</v>
      </c>
      <c r="F9" t="s">
        <v>514</v>
      </c>
      <c r="G9" t="s">
        <v>460</v>
      </c>
      <c r="H9" t="s">
        <v>515</v>
      </c>
      <c r="I9" t="s">
        <v>470</v>
      </c>
      <c r="K9" t="s">
        <v>516</v>
      </c>
      <c r="L9">
        <v>15</v>
      </c>
      <c r="M9" t="s">
        <v>517</v>
      </c>
      <c r="N9">
        <v>132</v>
      </c>
      <c r="O9">
        <v>40</v>
      </c>
    </row>
    <row r="10" spans="1:15" x14ac:dyDescent="0.25">
      <c r="A10" s="1" t="s">
        <v>518</v>
      </c>
      <c r="B10" s="1" t="s">
        <v>296</v>
      </c>
      <c r="C10" s="1" t="s">
        <v>297</v>
      </c>
      <c r="D10" t="s">
        <v>519</v>
      </c>
      <c r="E10" t="s">
        <v>520</v>
      </c>
      <c r="F10" t="s">
        <v>521</v>
      </c>
      <c r="G10" t="s">
        <v>460</v>
      </c>
      <c r="H10" t="s">
        <v>522</v>
      </c>
      <c r="I10" t="s">
        <v>523</v>
      </c>
      <c r="J10" t="s">
        <v>515</v>
      </c>
      <c r="L10">
        <v>15</v>
      </c>
      <c r="M10" t="s">
        <v>524</v>
      </c>
      <c r="N10">
        <v>719</v>
      </c>
      <c r="O10">
        <v>40</v>
      </c>
    </row>
    <row r="11" spans="1:15" x14ac:dyDescent="0.25">
      <c r="A11" s="1" t="s">
        <v>531</v>
      </c>
      <c r="B11" s="1" t="s">
        <v>325</v>
      </c>
      <c r="C11" s="1" t="s">
        <v>278</v>
      </c>
      <c r="D11" t="s">
        <v>532</v>
      </c>
      <c r="E11" t="s">
        <v>244</v>
      </c>
      <c r="F11" t="s">
        <v>533</v>
      </c>
      <c r="G11" t="s">
        <v>460</v>
      </c>
      <c r="H11" t="s">
        <v>534</v>
      </c>
      <c r="I11" t="s">
        <v>523</v>
      </c>
      <c r="J11" t="s">
        <v>515</v>
      </c>
      <c r="K11" t="s">
        <v>535</v>
      </c>
      <c r="L11">
        <v>15</v>
      </c>
      <c r="M11" t="s">
        <v>536</v>
      </c>
      <c r="N11">
        <v>142</v>
      </c>
      <c r="O11">
        <v>25</v>
      </c>
    </row>
    <row r="12" spans="1:15" x14ac:dyDescent="0.25">
      <c r="A12" s="1" t="s">
        <v>537</v>
      </c>
      <c r="B12" s="1" t="s">
        <v>64</v>
      </c>
      <c r="C12" s="1" t="s">
        <v>65</v>
      </c>
      <c r="D12" t="s">
        <v>538</v>
      </c>
      <c r="E12" t="s">
        <v>114</v>
      </c>
      <c r="F12" t="s">
        <v>539</v>
      </c>
      <c r="G12" t="s">
        <v>460</v>
      </c>
      <c r="H12" t="s">
        <v>540</v>
      </c>
      <c r="I12" t="s">
        <v>523</v>
      </c>
      <c r="J12" t="s">
        <v>515</v>
      </c>
      <c r="L12">
        <v>15</v>
      </c>
      <c r="M12" t="s">
        <v>541</v>
      </c>
      <c r="N12">
        <v>716</v>
      </c>
      <c r="O12">
        <v>25</v>
      </c>
    </row>
    <row r="13" spans="1:15" x14ac:dyDescent="0.25">
      <c r="A13" s="1" t="s">
        <v>484</v>
      </c>
      <c r="B13" s="1" t="s">
        <v>22</v>
      </c>
      <c r="C13" s="1" t="s">
        <v>23</v>
      </c>
      <c r="D13" t="s">
        <v>485</v>
      </c>
      <c r="E13" t="s">
        <v>486</v>
      </c>
      <c r="F13" t="s">
        <v>487</v>
      </c>
      <c r="G13" t="s">
        <v>460</v>
      </c>
      <c r="H13" t="s">
        <v>488</v>
      </c>
      <c r="I13" t="s">
        <v>523</v>
      </c>
      <c r="J13" t="s">
        <v>515</v>
      </c>
      <c r="L13">
        <v>15</v>
      </c>
      <c r="M13" t="s">
        <v>489</v>
      </c>
      <c r="N13">
        <v>2117</v>
      </c>
      <c r="O13">
        <v>40</v>
      </c>
    </row>
    <row r="14" spans="1:15" x14ac:dyDescent="0.25">
      <c r="A14" s="1" t="s">
        <v>500</v>
      </c>
      <c r="B14" s="1" t="s">
        <v>176</v>
      </c>
      <c r="C14" s="1" t="s">
        <v>177</v>
      </c>
      <c r="D14" t="s">
        <v>501</v>
      </c>
      <c r="E14" t="s">
        <v>168</v>
      </c>
      <c r="F14" t="s">
        <v>502</v>
      </c>
      <c r="G14" t="s">
        <v>460</v>
      </c>
      <c r="H14" t="s">
        <v>503</v>
      </c>
      <c r="I14" t="s">
        <v>523</v>
      </c>
      <c r="J14" t="s">
        <v>515</v>
      </c>
      <c r="L14">
        <v>15</v>
      </c>
      <c r="M14" t="s">
        <v>504</v>
      </c>
      <c r="N14">
        <v>182</v>
      </c>
      <c r="O14">
        <v>40</v>
      </c>
    </row>
    <row r="15" spans="1:15" x14ac:dyDescent="0.25">
      <c r="A15" s="1" t="s">
        <v>548</v>
      </c>
      <c r="B15" s="1" t="s">
        <v>396</v>
      </c>
      <c r="C15" s="1" t="s">
        <v>549</v>
      </c>
      <c r="E15" t="s">
        <v>550</v>
      </c>
      <c r="F15" t="s">
        <v>551</v>
      </c>
      <c r="G15" t="s">
        <v>552</v>
      </c>
      <c r="H15" t="s">
        <v>553</v>
      </c>
      <c r="I15" t="s">
        <v>554</v>
      </c>
      <c r="L15">
        <v>6</v>
      </c>
    </row>
    <row r="16" spans="1:15" x14ac:dyDescent="0.25">
      <c r="A16" s="1" t="s">
        <v>555</v>
      </c>
      <c r="B16" s="1" t="s">
        <v>556</v>
      </c>
      <c r="C16" s="1" t="s">
        <v>557</v>
      </c>
      <c r="E16" t="s">
        <v>558</v>
      </c>
      <c r="F16" t="s">
        <v>559</v>
      </c>
      <c r="G16" t="s">
        <v>552</v>
      </c>
      <c r="H16" t="s">
        <v>560</v>
      </c>
      <c r="I16" t="s">
        <v>561</v>
      </c>
      <c r="J16" t="s">
        <v>553</v>
      </c>
      <c r="L16">
        <v>6</v>
      </c>
    </row>
    <row r="17" spans="1:12" x14ac:dyDescent="0.25">
      <c r="A17" s="1" t="s">
        <v>562</v>
      </c>
      <c r="B17" s="1" t="s">
        <v>563</v>
      </c>
      <c r="C17" s="1" t="s">
        <v>564</v>
      </c>
      <c r="E17" t="s">
        <v>565</v>
      </c>
      <c r="F17" t="s">
        <v>566</v>
      </c>
      <c r="G17" t="s">
        <v>552</v>
      </c>
      <c r="H17" t="s">
        <v>567</v>
      </c>
      <c r="I17" t="s">
        <v>561</v>
      </c>
      <c r="J17" t="s">
        <v>553</v>
      </c>
      <c r="L17">
        <v>6</v>
      </c>
    </row>
    <row r="18" spans="1:12" x14ac:dyDescent="0.25">
      <c r="A18" s="1" t="s">
        <v>574</v>
      </c>
      <c r="B18" s="1" t="s">
        <v>575</v>
      </c>
      <c r="C18" s="1" t="s">
        <v>576</v>
      </c>
      <c r="E18" t="s">
        <v>577</v>
      </c>
      <c r="F18" t="s">
        <v>578</v>
      </c>
      <c r="G18" t="s">
        <v>552</v>
      </c>
      <c r="H18" t="s">
        <v>579</v>
      </c>
      <c r="I18" t="s">
        <v>561</v>
      </c>
      <c r="J18" t="s">
        <v>553</v>
      </c>
      <c r="L18">
        <v>6</v>
      </c>
    </row>
    <row r="19" spans="1:12" x14ac:dyDescent="0.25">
      <c r="A19" s="1" t="s">
        <v>580</v>
      </c>
      <c r="B19" s="1" t="s">
        <v>316</v>
      </c>
      <c r="C19" s="1" t="s">
        <v>581</v>
      </c>
      <c r="E19" t="s">
        <v>565</v>
      </c>
      <c r="F19" t="s">
        <v>582</v>
      </c>
      <c r="G19" t="s">
        <v>583</v>
      </c>
      <c r="H19" t="s">
        <v>584</v>
      </c>
      <c r="I19" t="s">
        <v>585</v>
      </c>
      <c r="L19">
        <v>1</v>
      </c>
    </row>
    <row r="20" spans="1:12" x14ac:dyDescent="0.25">
      <c r="A20" s="1" t="s">
        <v>586</v>
      </c>
      <c r="B20" s="1" t="s">
        <v>587</v>
      </c>
      <c r="C20" s="1" t="s">
        <v>588</v>
      </c>
      <c r="E20" t="s">
        <v>589</v>
      </c>
      <c r="F20" t="s">
        <v>590</v>
      </c>
      <c r="G20" t="s">
        <v>583</v>
      </c>
      <c r="H20" t="s">
        <v>591</v>
      </c>
      <c r="I20" t="s">
        <v>592</v>
      </c>
      <c r="L20">
        <v>1</v>
      </c>
    </row>
    <row r="21" spans="1:12" x14ac:dyDescent="0.25">
      <c r="A21" s="1" t="s">
        <v>593</v>
      </c>
      <c r="B21" s="1" t="s">
        <v>169</v>
      </c>
      <c r="C21" s="1" t="s">
        <v>170</v>
      </c>
      <c r="E21" t="s">
        <v>594</v>
      </c>
      <c r="F21" t="s">
        <v>595</v>
      </c>
      <c r="G21" t="s">
        <v>583</v>
      </c>
      <c r="H21" t="s">
        <v>596</v>
      </c>
      <c r="I21" t="s">
        <v>592</v>
      </c>
      <c r="L21">
        <v>1</v>
      </c>
    </row>
    <row r="22" spans="1:12" x14ac:dyDescent="0.25">
      <c r="A22" s="1" t="s">
        <v>3075</v>
      </c>
      <c r="B22" s="1" t="s">
        <v>3076</v>
      </c>
      <c r="C22" s="1" t="s">
        <v>2085</v>
      </c>
      <c r="E22" t="s">
        <v>3077</v>
      </c>
      <c r="F22" t="s">
        <v>3078</v>
      </c>
      <c r="G22" t="s">
        <v>583</v>
      </c>
      <c r="H22" t="s">
        <v>3079</v>
      </c>
      <c r="I22" t="s">
        <v>607</v>
      </c>
      <c r="L22">
        <v>1</v>
      </c>
    </row>
    <row r="23" spans="1:12" x14ac:dyDescent="0.25">
      <c r="A23" s="1" t="s">
        <v>608</v>
      </c>
      <c r="B23" s="1" t="s">
        <v>609</v>
      </c>
      <c r="C23" s="1" t="s">
        <v>610</v>
      </c>
      <c r="E23" t="s">
        <v>611</v>
      </c>
      <c r="F23" t="s">
        <v>612</v>
      </c>
      <c r="G23" t="s">
        <v>583</v>
      </c>
      <c r="H23" t="s">
        <v>613</v>
      </c>
      <c r="I23" t="s">
        <v>614</v>
      </c>
      <c r="J23" t="s">
        <v>606</v>
      </c>
      <c r="L23">
        <v>1</v>
      </c>
    </row>
    <row r="24" spans="1:12" x14ac:dyDescent="0.25">
      <c r="A24" s="1" t="s">
        <v>615</v>
      </c>
      <c r="B24" s="1" t="s">
        <v>616</v>
      </c>
      <c r="C24" s="1" t="s">
        <v>617</v>
      </c>
      <c r="E24" t="s">
        <v>618</v>
      </c>
      <c r="F24" t="s">
        <v>619</v>
      </c>
      <c r="G24" t="s">
        <v>583</v>
      </c>
      <c r="H24" t="s">
        <v>620</v>
      </c>
      <c r="I24" t="s">
        <v>614</v>
      </c>
      <c r="J24" t="s">
        <v>606</v>
      </c>
      <c r="L24">
        <v>1</v>
      </c>
    </row>
    <row r="25" spans="1:12" x14ac:dyDescent="0.25">
      <c r="A25" s="1" t="s">
        <v>621</v>
      </c>
      <c r="B25" s="1" t="s">
        <v>622</v>
      </c>
      <c r="C25" s="1" t="s">
        <v>267</v>
      </c>
      <c r="E25" t="s">
        <v>623</v>
      </c>
      <c r="F25" t="s">
        <v>624</v>
      </c>
      <c r="G25" t="s">
        <v>583</v>
      </c>
      <c r="H25" t="s">
        <v>625</v>
      </c>
      <c r="I25" t="s">
        <v>614</v>
      </c>
      <c r="J25" t="s">
        <v>606</v>
      </c>
      <c r="L25">
        <v>1</v>
      </c>
    </row>
    <row r="26" spans="1:12" x14ac:dyDescent="0.25">
      <c r="A26" s="1" t="s">
        <v>626</v>
      </c>
      <c r="B26" s="1" t="s">
        <v>362</v>
      </c>
      <c r="C26" s="1" t="s">
        <v>409</v>
      </c>
      <c r="E26" t="s">
        <v>627</v>
      </c>
      <c r="F26" t="s">
        <v>628</v>
      </c>
      <c r="G26" t="s">
        <v>583</v>
      </c>
      <c r="H26" t="s">
        <v>629</v>
      </c>
      <c r="I26" t="s">
        <v>614</v>
      </c>
      <c r="J26" t="s">
        <v>606</v>
      </c>
      <c r="L26">
        <v>1</v>
      </c>
    </row>
    <row r="27" spans="1:12" x14ac:dyDescent="0.25">
      <c r="A27" s="1" t="s">
        <v>630</v>
      </c>
      <c r="B27" s="1" t="s">
        <v>425</v>
      </c>
      <c r="C27" s="1" t="s">
        <v>426</v>
      </c>
      <c r="E27" t="s">
        <v>631</v>
      </c>
      <c r="F27" t="s">
        <v>632</v>
      </c>
      <c r="G27" t="s">
        <v>583</v>
      </c>
      <c r="H27" t="s">
        <v>633</v>
      </c>
      <c r="I27" t="s">
        <v>614</v>
      </c>
      <c r="J27" t="s">
        <v>606</v>
      </c>
      <c r="L27">
        <v>15</v>
      </c>
    </row>
    <row r="28" spans="1:12" x14ac:dyDescent="0.25">
      <c r="A28" s="1" t="s">
        <v>634</v>
      </c>
      <c r="B28" s="1" t="s">
        <v>635</v>
      </c>
      <c r="C28" s="1" t="s">
        <v>636</v>
      </c>
      <c r="E28" t="s">
        <v>21</v>
      </c>
      <c r="F28" t="s">
        <v>637</v>
      </c>
      <c r="G28" t="s">
        <v>583</v>
      </c>
      <c r="H28" t="s">
        <v>638</v>
      </c>
      <c r="I28" t="s">
        <v>607</v>
      </c>
      <c r="L28">
        <v>1</v>
      </c>
    </row>
    <row r="29" spans="1:12" x14ac:dyDescent="0.25">
      <c r="A29" s="1" t="s">
        <v>1630</v>
      </c>
      <c r="B29" s="1" t="s">
        <v>1631</v>
      </c>
      <c r="C29" s="1" t="s">
        <v>1122</v>
      </c>
      <c r="E29" t="s">
        <v>21</v>
      </c>
      <c r="F29" t="s">
        <v>1632</v>
      </c>
      <c r="G29" t="s">
        <v>583</v>
      </c>
      <c r="H29" t="s">
        <v>1633</v>
      </c>
      <c r="I29" t="s">
        <v>1634</v>
      </c>
      <c r="J29" t="s">
        <v>638</v>
      </c>
      <c r="L29">
        <v>15</v>
      </c>
    </row>
    <row r="30" spans="1:12" x14ac:dyDescent="0.25">
      <c r="A30" s="1" t="s">
        <v>639</v>
      </c>
      <c r="B30" s="1" t="s">
        <v>635</v>
      </c>
      <c r="C30" s="1" t="s">
        <v>640</v>
      </c>
      <c r="E30" t="s">
        <v>641</v>
      </c>
      <c r="F30" t="s">
        <v>642</v>
      </c>
      <c r="G30" t="s">
        <v>583</v>
      </c>
      <c r="H30" t="s">
        <v>643</v>
      </c>
      <c r="I30" t="s">
        <v>607</v>
      </c>
      <c r="L30">
        <v>1</v>
      </c>
    </row>
    <row r="31" spans="1:12" x14ac:dyDescent="0.25">
      <c r="A31" s="1" t="s">
        <v>644</v>
      </c>
      <c r="B31" s="1" t="s">
        <v>162</v>
      </c>
      <c r="C31" s="1" t="s">
        <v>163</v>
      </c>
      <c r="E31" t="s">
        <v>645</v>
      </c>
      <c r="F31" t="s">
        <v>646</v>
      </c>
      <c r="G31" t="s">
        <v>583</v>
      </c>
      <c r="H31" t="s">
        <v>647</v>
      </c>
      <c r="I31" t="s">
        <v>648</v>
      </c>
      <c r="J31" t="s">
        <v>643</v>
      </c>
      <c r="L31">
        <v>1</v>
      </c>
    </row>
    <row r="32" spans="1:12" x14ac:dyDescent="0.25">
      <c r="A32" s="1" t="s">
        <v>649</v>
      </c>
      <c r="B32" s="1" t="s">
        <v>264</v>
      </c>
      <c r="C32" s="1" t="s">
        <v>650</v>
      </c>
      <c r="E32" t="s">
        <v>651</v>
      </c>
      <c r="F32" t="s">
        <v>652</v>
      </c>
      <c r="G32" t="s">
        <v>583</v>
      </c>
      <c r="H32" t="s">
        <v>653</v>
      </c>
      <c r="I32" t="s">
        <v>648</v>
      </c>
      <c r="J32" t="s">
        <v>643</v>
      </c>
      <c r="L32">
        <v>1</v>
      </c>
    </row>
    <row r="33" spans="1:12" x14ac:dyDescent="0.25">
      <c r="A33" s="1" t="s">
        <v>654</v>
      </c>
      <c r="B33" s="1" t="s">
        <v>417</v>
      </c>
      <c r="C33" s="1" t="s">
        <v>418</v>
      </c>
      <c r="E33" t="s">
        <v>655</v>
      </c>
      <c r="F33" t="s">
        <v>656</v>
      </c>
      <c r="G33" t="s">
        <v>583</v>
      </c>
      <c r="H33" t="s">
        <v>657</v>
      </c>
      <c r="I33" t="s">
        <v>648</v>
      </c>
      <c r="J33" t="s">
        <v>643</v>
      </c>
      <c r="L33">
        <v>1</v>
      </c>
    </row>
    <row r="34" spans="1:12" x14ac:dyDescent="0.25">
      <c r="A34" s="1" t="s">
        <v>1641</v>
      </c>
      <c r="B34" s="1" t="s">
        <v>345</v>
      </c>
      <c r="C34" s="1" t="s">
        <v>1642</v>
      </c>
      <c r="E34" t="s">
        <v>1643</v>
      </c>
      <c r="F34" t="s">
        <v>1644</v>
      </c>
      <c r="G34" t="s">
        <v>583</v>
      </c>
      <c r="H34" t="s">
        <v>1645</v>
      </c>
      <c r="I34" t="s">
        <v>648</v>
      </c>
      <c r="J34" t="s">
        <v>643</v>
      </c>
      <c r="L34">
        <v>15</v>
      </c>
    </row>
    <row r="35" spans="1:12" x14ac:dyDescent="0.25">
      <c r="A35" s="1" t="s">
        <v>658</v>
      </c>
      <c r="B35" s="1" t="s">
        <v>659</v>
      </c>
      <c r="C35" s="1" t="s">
        <v>660</v>
      </c>
      <c r="E35" t="s">
        <v>661</v>
      </c>
      <c r="F35" t="s">
        <v>662</v>
      </c>
      <c r="G35" t="s">
        <v>583</v>
      </c>
      <c r="H35" t="s">
        <v>663</v>
      </c>
      <c r="I35" t="s">
        <v>607</v>
      </c>
      <c r="L35">
        <v>1</v>
      </c>
    </row>
    <row r="36" spans="1:12" x14ac:dyDescent="0.25">
      <c r="A36" s="1" t="s">
        <v>664</v>
      </c>
      <c r="B36" s="1" t="s">
        <v>155</v>
      </c>
      <c r="C36" s="1" t="s">
        <v>156</v>
      </c>
      <c r="E36" t="s">
        <v>550</v>
      </c>
      <c r="F36" t="s">
        <v>665</v>
      </c>
      <c r="G36" t="s">
        <v>583</v>
      </c>
      <c r="H36" t="s">
        <v>666</v>
      </c>
      <c r="I36" t="s">
        <v>667</v>
      </c>
      <c r="J36" t="s">
        <v>663</v>
      </c>
      <c r="L36">
        <v>1</v>
      </c>
    </row>
    <row r="37" spans="1:12" x14ac:dyDescent="0.25">
      <c r="A37" s="1" t="s">
        <v>668</v>
      </c>
      <c r="B37" s="1" t="s">
        <v>669</v>
      </c>
      <c r="C37" s="1" t="s">
        <v>670</v>
      </c>
      <c r="E37" t="s">
        <v>671</v>
      </c>
      <c r="F37" t="s">
        <v>672</v>
      </c>
      <c r="G37" t="s">
        <v>583</v>
      </c>
      <c r="H37" t="s">
        <v>673</v>
      </c>
      <c r="I37" t="s">
        <v>667</v>
      </c>
      <c r="J37" t="s">
        <v>663</v>
      </c>
      <c r="L37">
        <v>1</v>
      </c>
    </row>
    <row r="38" spans="1:12" x14ac:dyDescent="0.25">
      <c r="A38" s="1" t="s">
        <v>701</v>
      </c>
      <c r="B38" s="1" t="s">
        <v>696</v>
      </c>
      <c r="C38" s="1" t="s">
        <v>702</v>
      </c>
      <c r="E38" t="s">
        <v>703</v>
      </c>
      <c r="F38" t="s">
        <v>704</v>
      </c>
      <c r="G38" t="s">
        <v>583</v>
      </c>
      <c r="H38" t="s">
        <v>705</v>
      </c>
      <c r="I38" t="s">
        <v>667</v>
      </c>
      <c r="J38" t="s">
        <v>663</v>
      </c>
      <c r="L38">
        <v>1</v>
      </c>
    </row>
    <row r="39" spans="1:12" x14ac:dyDescent="0.25">
      <c r="A39" s="1" t="s">
        <v>674</v>
      </c>
      <c r="B39" s="1" t="s">
        <v>411</v>
      </c>
      <c r="C39" s="1" t="s">
        <v>412</v>
      </c>
      <c r="E39" t="s">
        <v>675</v>
      </c>
      <c r="F39" t="s">
        <v>676</v>
      </c>
      <c r="G39" t="s">
        <v>583</v>
      </c>
      <c r="H39" t="s">
        <v>677</v>
      </c>
      <c r="I39" t="s">
        <v>667</v>
      </c>
      <c r="J39" t="s">
        <v>663</v>
      </c>
      <c r="L39">
        <v>1</v>
      </c>
    </row>
    <row r="40" spans="1:12" x14ac:dyDescent="0.25">
      <c r="A40" s="1" t="s">
        <v>678</v>
      </c>
      <c r="B40" s="1" t="s">
        <v>679</v>
      </c>
      <c r="C40" s="1" t="s">
        <v>680</v>
      </c>
      <c r="E40" t="s">
        <v>681</v>
      </c>
      <c r="F40" t="s">
        <v>682</v>
      </c>
      <c r="G40" t="s">
        <v>583</v>
      </c>
      <c r="H40" t="s">
        <v>683</v>
      </c>
      <c r="I40" t="s">
        <v>607</v>
      </c>
      <c r="L40">
        <v>1</v>
      </c>
    </row>
    <row r="41" spans="1:12" x14ac:dyDescent="0.25">
      <c r="A41" s="1" t="s">
        <v>713</v>
      </c>
      <c r="B41" s="1" t="s">
        <v>714</v>
      </c>
      <c r="C41" s="1" t="s">
        <v>715</v>
      </c>
      <c r="E41" t="s">
        <v>716</v>
      </c>
      <c r="F41" t="s">
        <v>717</v>
      </c>
      <c r="G41" t="s">
        <v>583</v>
      </c>
      <c r="H41" t="s">
        <v>718</v>
      </c>
      <c r="I41" t="s">
        <v>688</v>
      </c>
      <c r="J41" t="s">
        <v>683</v>
      </c>
      <c r="L41">
        <v>1</v>
      </c>
    </row>
    <row r="42" spans="1:12" x14ac:dyDescent="0.25">
      <c r="A42" s="1" t="s">
        <v>689</v>
      </c>
      <c r="B42" s="1" t="s">
        <v>690</v>
      </c>
      <c r="C42" s="1" t="s">
        <v>691</v>
      </c>
      <c r="E42" t="s">
        <v>692</v>
      </c>
      <c r="F42" t="s">
        <v>693</v>
      </c>
      <c r="G42" t="s">
        <v>583</v>
      </c>
      <c r="H42" t="s">
        <v>694</v>
      </c>
      <c r="I42" t="s">
        <v>688</v>
      </c>
      <c r="J42" t="s">
        <v>683</v>
      </c>
      <c r="L42">
        <v>1</v>
      </c>
    </row>
    <row r="43" spans="1:12" x14ac:dyDescent="0.25">
      <c r="A43" s="1" t="s">
        <v>695</v>
      </c>
      <c r="B43" s="1" t="s">
        <v>696</v>
      </c>
      <c r="C43" s="1" t="s">
        <v>697</v>
      </c>
      <c r="E43" t="s">
        <v>698</v>
      </c>
      <c r="F43" t="s">
        <v>699</v>
      </c>
      <c r="G43" t="s">
        <v>583</v>
      </c>
      <c r="H43" t="s">
        <v>700</v>
      </c>
      <c r="I43" t="s">
        <v>607</v>
      </c>
      <c r="L43">
        <v>1</v>
      </c>
    </row>
    <row r="44" spans="1:12" x14ac:dyDescent="0.25">
      <c r="A44" s="1" t="s">
        <v>707</v>
      </c>
      <c r="B44" s="1" t="s">
        <v>708</v>
      </c>
      <c r="C44" s="1" t="s">
        <v>709</v>
      </c>
      <c r="E44" t="s">
        <v>710</v>
      </c>
      <c r="F44" t="s">
        <v>711</v>
      </c>
      <c r="G44" t="s">
        <v>583</v>
      </c>
      <c r="H44" t="s">
        <v>712</v>
      </c>
      <c r="I44" t="s">
        <v>706</v>
      </c>
      <c r="J44" t="s">
        <v>700</v>
      </c>
      <c r="L44">
        <v>1</v>
      </c>
    </row>
    <row r="45" spans="1:12" x14ac:dyDescent="0.25">
      <c r="A45" s="1" t="s">
        <v>2034</v>
      </c>
      <c r="B45" s="1" t="s">
        <v>848</v>
      </c>
      <c r="C45" s="1" t="s">
        <v>2035</v>
      </c>
      <c r="E45" t="s">
        <v>2036</v>
      </c>
      <c r="F45" t="s">
        <v>2037</v>
      </c>
      <c r="G45" t="s">
        <v>583</v>
      </c>
      <c r="H45" t="s">
        <v>2038</v>
      </c>
      <c r="I45" t="s">
        <v>706</v>
      </c>
      <c r="J45" t="s">
        <v>700</v>
      </c>
      <c r="L45">
        <v>1</v>
      </c>
    </row>
    <row r="46" spans="1:12" x14ac:dyDescent="0.25">
      <c r="A46" s="1" t="s">
        <v>719</v>
      </c>
      <c r="B46" s="1" t="s">
        <v>556</v>
      </c>
      <c r="C46" s="1" t="s">
        <v>720</v>
      </c>
      <c r="E46" t="s">
        <v>721</v>
      </c>
      <c r="F46" t="s">
        <v>722</v>
      </c>
      <c r="G46" t="s">
        <v>583</v>
      </c>
      <c r="H46" t="s">
        <v>723</v>
      </c>
      <c r="I46" t="s">
        <v>706</v>
      </c>
      <c r="J46" t="s">
        <v>700</v>
      </c>
      <c r="L46">
        <v>1</v>
      </c>
    </row>
  </sheetData>
  <customSheetViews>
    <customSheetView guid="{83A2DA31-60F6-4C74-93BD-40FF99C1C7A8}" state="hidden">
      <selection activeCell="A2" sqref="A2:XFD2"/>
      <pageMargins left="0" right="0" top="0" bottom="0" header="0" footer="0"/>
    </customSheetView>
    <customSheetView guid="{F8CBCBDD-5FE1-4656-8906-81A832D861EF}" state="hidden">
      <pageMargins left="0" right="0" top="0" bottom="0" header="0" footer="0"/>
    </customSheetView>
    <customSheetView guid="{8751A03A-3443-4C38-AE50-B3AE313663B0}" state="hidden">
      <pageMargins left="0" right="0" top="0" bottom="0" header="0" footer="0"/>
    </customSheetView>
    <customSheetView guid="{F567BCB2-6D48-41F2-A191-09CE8F64E918}" state="hidden">
      <pageMargins left="0" right="0" top="0" bottom="0" header="0" footer="0"/>
    </customSheetView>
    <customSheetView guid="{ADFAD4B4-1AD9-4570-8307-CE0121173A42}" state="hidden">
      <pageMargins left="0" right="0" top="0" bottom="0" header="0" footer="0"/>
    </customSheetView>
    <customSheetView guid="{E8EA09A6-9A5D-41BD-A1B6-DD1E2B4E5703}" state="hidden">
      <pageMargins left="0" right="0" top="0" bottom="0" header="0" footer="0"/>
    </customSheetView>
    <customSheetView guid="{3EE9CC87-2444-446D-B867-08D102D54FBA}" state="hidden">
      <pageMargins left="0" right="0" top="0" bottom="0" header="0" footer="0"/>
    </customSheetView>
    <customSheetView guid="{59FEBC5D-7E48-4444-A38F-E4C647AEA35E}" state="hidden">
      <selection activeCell="A2" sqref="A2:XFD2"/>
      <pageMargins left="0" right="0" top="0" bottom="0" header="0" footer="0"/>
    </customSheetView>
  </customSheetView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_dlc_DocId xmlns="4f9ff5bd-b277-4794-b83c-65b4d35a3089">XE2KWRQTYUX5-294-3177</_dlc_DocId>
    <_dlc_DocIdUrl xmlns="4f9ff5bd-b277-4794-b83c-65b4d35a3089">
      <Url>https://natben.sharepoint.com/servicedelivery/_layouts/15/DocIdRedir.aspx?ID=XE2KWRQTYUX5-294-3177</Url>
      <Description>XE2KWRQTYUX5-294-3177</Description>
    </_dlc_DocIdUrl>
  </documentManagement>
</p:properties>
</file>

<file path=customXml/item4.xml><?xml version="1.0" encoding="utf-8"?>
<ct:contentTypeSchema xmlns:ct="http://schemas.microsoft.com/office/2006/metadata/contentType" xmlns:ma="http://schemas.microsoft.com/office/2006/metadata/properties/metaAttributes" ct:_="" ma:_="" ma:contentTypeName="Document" ma:contentTypeID="0x010100B78409C19009BD4295BF8382418ABFD3" ma:contentTypeVersion="19" ma:contentTypeDescription="Create a new document." ma:contentTypeScope="" ma:versionID="478a57a613d6de39fcdf837d708706f0">
  <xsd:schema xmlns:xsd="http://www.w3.org/2001/XMLSchema" xmlns:xs="http://www.w3.org/2001/XMLSchema" xmlns:p="http://schemas.microsoft.com/office/2006/metadata/properties" xmlns:ns1="http://schemas.microsoft.com/sharepoint/v3" xmlns:ns2="4f9ff5bd-b277-4794-b83c-65b4d35a3089" xmlns:ns3="4ecdf204-54c6-458b-82c9-b1ced6e0ff0d" targetNamespace="http://schemas.microsoft.com/office/2006/metadata/properties" ma:root="true" ma:fieldsID="acefc87ee3b9e79fb9cb870200e7bc59" ns1:_="" ns2:_="" ns3:_="">
    <xsd:import namespace="http://schemas.microsoft.com/sharepoint/v3"/>
    <xsd:import namespace="4f9ff5bd-b277-4794-b83c-65b4d35a3089"/>
    <xsd:import namespace="4ecdf204-54c6-458b-82c9-b1ced6e0ff0d"/>
    <xsd:element name="properties">
      <xsd:complexType>
        <xsd:sequence>
          <xsd:element name="documentManagement">
            <xsd:complexType>
              <xsd:all>
                <xsd:element ref="ns2:_dlc_DocId" minOccurs="0"/>
                <xsd:element ref="ns2:_dlc_DocIdUrl" minOccurs="0"/>
                <xsd:element ref="ns2:_dlc_DocIdPersistId" minOccurs="0"/>
                <xsd:element ref="ns2:SharedWithUsers" minOccurs="0"/>
                <xsd:element ref="ns2:SharingHintHash" minOccurs="0"/>
                <xsd:element ref="ns2:SharedWithDetails" minOccurs="0"/>
                <xsd:element ref="ns3:MediaServiceMetadata" minOccurs="0"/>
                <xsd:element ref="ns3:MediaServiceFastMetadata" minOccurs="0"/>
                <xsd:element ref="ns3:MediaServiceDateTaken" minOccurs="0"/>
                <xsd:element ref="ns3:MediaServiceAutoTags" minOccurs="0"/>
                <xsd:element ref="ns3:MediaServiceLocation" minOccurs="0"/>
                <xsd:element ref="ns3:MediaServiceOCR" minOccurs="0"/>
                <xsd:element ref="ns3:MediaServiceEventHashCode" minOccurs="0"/>
                <xsd:element ref="ns3:MediaServiceGenerationTime" minOccurs="0"/>
                <xsd:element ref="ns3:MediaServiceAutoKeyPoints" minOccurs="0"/>
                <xsd:element ref="ns3:MediaServiceKeyPoints" minOccurs="0"/>
                <xsd:element ref="ns1:_ip_UnifiedCompliancePolicyProperties" minOccurs="0"/>
                <xsd:element ref="ns1:_ip_UnifiedCompliancePolicyUIAction" minOccurs="0"/>
                <xsd:element ref="ns3:MediaServiceObjectDetectorVersions" minOccurs="0"/>
                <xsd:element ref="ns3:MediaLengthInSecond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4" nillable="true" ma:displayName="Unified Compliance Policy Properties" ma:hidden="true" ma:internalName="_ip_UnifiedCompliancePolicyProperties">
      <xsd:simpleType>
        <xsd:restriction base="dms:Note"/>
      </xsd:simpleType>
    </xsd:element>
    <xsd:element name="_ip_UnifiedCompliancePolicyUIAction" ma:index="2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f9ff5bd-b277-4794-b83c-65b4d35a3089"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dexed="true"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ingHintHash" ma:index="12" nillable="true" ma:displayName="Sharing Hint Hash" ma:internalName="SharingHintHash" ma:readOnly="true">
      <xsd:simpleType>
        <xsd:restriction base="dms:Text"/>
      </xsd:simple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4ecdf204-54c6-458b-82c9-b1ced6e0ff0d" elementFormDefault="qualified">
    <xsd:import namespace="http://schemas.microsoft.com/office/2006/documentManagement/types"/>
    <xsd:import namespace="http://schemas.microsoft.com/office/infopath/2007/PartnerControls"/>
    <xsd:element name="MediaServiceMetadata" ma:index="14" nillable="true" ma:displayName="MediaServiceMetadata" ma:description="" ma:hidden="true" ma:internalName="MediaServiceMetadata" ma:readOnly="true">
      <xsd:simpleType>
        <xsd:restriction base="dms:Note"/>
      </xsd:simpleType>
    </xsd:element>
    <xsd:element name="MediaServiceFastMetadata" ma:index="15" nillable="true" ma:displayName="MediaServiceFastMetadata" ma:description="" ma:hidden="true" ma:internalName="MediaServiceFastMetadata" ma:readOnly="true">
      <xsd:simpleType>
        <xsd:restriction base="dms:Note"/>
      </xsd:simpleType>
    </xsd:element>
    <xsd:element name="MediaServiceDateTaken" ma:index="16" nillable="true" ma:displayName="MediaServiceDateTaken" ma:description="" ma:hidden="true" ma:internalName="MediaServiceDateTaken" ma:readOnly="true">
      <xsd:simpleType>
        <xsd:restriction base="dms:Text"/>
      </xsd:simpleType>
    </xsd:element>
    <xsd:element name="MediaServiceAutoTags" ma:index="17" nillable="true" ma:displayName="MediaServiceAutoTags" ma:description="" ma:internalName="MediaServiceAutoTags" ma:readOnly="true">
      <xsd:simpleType>
        <xsd:restriction base="dms:Text"/>
      </xsd:simpleType>
    </xsd:element>
    <xsd:element name="MediaServiceLocation" ma:index="18" nillable="true" ma:displayName="MediaServiceLocation" ma:description="" ma:internalName="MediaServiceLocation" ma:readOnly="true">
      <xsd:simpleType>
        <xsd:restriction base="dms:Text"/>
      </xsd:simpleType>
    </xsd:element>
    <xsd:element name="MediaServiceOCR" ma:index="19" nillable="true" ma:displayName="MediaServiceOCR" ma:internalName="MediaServiceOCR" ma:readOnly="true">
      <xsd:simpleType>
        <xsd:restriction base="dms:Note">
          <xsd:maxLength value="255"/>
        </xsd:restriction>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ServiceGenerationTime" ma:index="21" nillable="true" ma:displayName="MediaServiceGenerationTime" ma:hidden="true" ma:internalName="MediaServiceGenerationTime" ma:readOnly="true">
      <xsd:simpleType>
        <xsd:restriction base="dms:Text"/>
      </xsd:simpleType>
    </xsd:element>
    <xsd:element name="MediaServiceAutoKeyPoints" ma:index="22" nillable="true" ma:displayName="MediaServiceAutoKeyPoints" ma:hidden="true" ma:internalName="MediaServiceAutoKeyPoints" ma:readOnly="true">
      <xsd:simpleType>
        <xsd:restriction base="dms:Note"/>
      </xsd:simpleType>
    </xsd:element>
    <xsd:element name="MediaServiceKeyPoints" ma:index="23" nillable="true" ma:displayName="KeyPoints" ma:internalName="MediaServiceKeyPoints" ma:readOnly="true">
      <xsd:simpleType>
        <xsd:restriction base="dms:Note">
          <xsd:maxLength value="255"/>
        </xsd:restriction>
      </xsd:simpleType>
    </xsd:element>
    <xsd:element name="MediaServiceObjectDetectorVersions" ma:index="26" nillable="true" ma:displayName="MediaServiceObjectDetectorVersions" ma:hidden="true" ma:indexed="true" ma:internalName="MediaServiceObjectDetectorVersions" ma:readOnly="true">
      <xsd:simpleType>
        <xsd:restriction base="dms:Text"/>
      </xsd:simpleType>
    </xsd:element>
    <xsd:element name="MediaLengthInSeconds" ma:index="27" nillable="true" ma:displayName="MediaLengthInSeconds" ma:hidden="true" ma:internalName="MediaLengthInSeconds" ma:readOnly="true">
      <xsd:simpleType>
        <xsd:restriction base="dms:Unknown"/>
      </xsd:simpleType>
    </xsd:element>
    <xsd:element name="MediaServiceSearchProperties" ma:index="28"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049DD58-1666-4F2D-93DD-442F5D0D0B06}">
  <ds:schemaRefs>
    <ds:schemaRef ds:uri="http://schemas.microsoft.com/sharepoint/events"/>
  </ds:schemaRefs>
</ds:datastoreItem>
</file>

<file path=customXml/itemProps2.xml><?xml version="1.0" encoding="utf-8"?>
<ds:datastoreItem xmlns:ds="http://schemas.openxmlformats.org/officeDocument/2006/customXml" ds:itemID="{96F2C32B-B555-4B20-ADE9-07867DE11EFD}">
  <ds:schemaRefs>
    <ds:schemaRef ds:uri="http://schemas.microsoft.com/sharepoint/v3/contenttype/forms"/>
  </ds:schemaRefs>
</ds:datastoreItem>
</file>

<file path=customXml/itemProps3.xml><?xml version="1.0" encoding="utf-8"?>
<ds:datastoreItem xmlns:ds="http://schemas.openxmlformats.org/officeDocument/2006/customXml" ds:itemID="{FCE8A3B3-AFDF-422D-A67A-75353A41AEB3}">
  <ds:schemaRefs>
    <ds:schemaRef ds:uri="http://schemas.microsoft.com/office/2006/documentManagement/types"/>
    <ds:schemaRef ds:uri="http://purl.org/dc/elements/1.1/"/>
    <ds:schemaRef ds:uri="http://schemas.microsoft.com/sharepoint/v3"/>
    <ds:schemaRef ds:uri="http://schemas.microsoft.com/office/infopath/2007/PartnerControls"/>
    <ds:schemaRef ds:uri="4ecdf204-54c6-458b-82c9-b1ced6e0ff0d"/>
    <ds:schemaRef ds:uri="4f9ff5bd-b277-4794-b83c-65b4d35a3089"/>
    <ds:schemaRef ds:uri="http://schemas.microsoft.com/office/2006/metadata/properties"/>
    <ds:schemaRef ds:uri="http://www.w3.org/XML/1998/namespace"/>
    <ds:schemaRef ds:uri="http://schemas.openxmlformats.org/package/2006/metadata/core-properties"/>
    <ds:schemaRef ds:uri="http://purl.org/dc/dcmitype/"/>
    <ds:schemaRef ds:uri="http://purl.org/dc/terms/"/>
  </ds:schemaRefs>
</ds:datastoreItem>
</file>

<file path=customXml/itemProps4.xml><?xml version="1.0" encoding="utf-8"?>
<ds:datastoreItem xmlns:ds="http://schemas.openxmlformats.org/officeDocument/2006/customXml" ds:itemID="{B85F7659-89E9-4C5F-8C38-E999BAFFBC2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4f9ff5bd-b277-4794-b83c-65b4d35a3089"/>
    <ds:schemaRef ds:uri="4ecdf204-54c6-458b-82c9-b1ced6e0ff0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31</vt:i4>
      </vt:variant>
    </vt:vector>
  </HeadingPairs>
  <TitlesOfParts>
    <vt:vector size="31" baseType="lpstr">
      <vt:lpstr>09_30_10_06</vt:lpstr>
      <vt:lpstr>09_30_10_06 Acc Rate</vt:lpstr>
      <vt:lpstr>10_07_10_13</vt:lpstr>
      <vt:lpstr>10_07_10_13 Acc Rate</vt:lpstr>
      <vt:lpstr>10_14_10_20</vt:lpstr>
      <vt:lpstr>10_14_10_20 Acc Rate</vt:lpstr>
      <vt:lpstr>10_21_10_27</vt:lpstr>
      <vt:lpstr>10_21_10_27 Acc Rate</vt:lpstr>
      <vt:lpstr>10_28_11_03</vt:lpstr>
      <vt:lpstr>10_28_11_03 Acc Rate</vt:lpstr>
      <vt:lpstr>11_04_11_10</vt:lpstr>
      <vt:lpstr>11_04_11_10 Acc Rate</vt:lpstr>
      <vt:lpstr>11_11_11_17</vt:lpstr>
      <vt:lpstr>11_11_11_17 Acc Rate</vt:lpstr>
      <vt:lpstr>11_18_11_24</vt:lpstr>
      <vt:lpstr>11_18_11_24 Acc Rate</vt:lpstr>
      <vt:lpstr>11_25_12_01</vt:lpstr>
      <vt:lpstr>11_25_12_01 Acc Rate</vt:lpstr>
      <vt:lpstr>12_02_12_08</vt:lpstr>
      <vt:lpstr>12_02_12_08 Acc Rate</vt:lpstr>
      <vt:lpstr>12_09_12_15</vt:lpstr>
      <vt:lpstr>12_09_12_15 Acc Rate</vt:lpstr>
      <vt:lpstr>12_16_12_22</vt:lpstr>
      <vt:lpstr>12_16_12_22 Acc Rate</vt:lpstr>
      <vt:lpstr>12_23_12_29</vt:lpstr>
      <vt:lpstr>12_23_12_29 Acc Rate</vt:lpstr>
      <vt:lpstr>Completion</vt:lpstr>
      <vt:lpstr>Accuracy</vt:lpstr>
      <vt:lpstr>Acc Rate Template</vt:lpstr>
      <vt:lpstr>Auditors</vt:lpstr>
      <vt:lpstr>Directory</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Emily Jackson</dc:creator>
  <cp:keywords/>
  <dc:description/>
  <cp:lastModifiedBy>Adefemi Adelaja</cp:lastModifiedBy>
  <cp:revision/>
  <dcterms:created xsi:type="dcterms:W3CDTF">2024-07-08T23:01:06Z</dcterms:created>
  <dcterms:modified xsi:type="dcterms:W3CDTF">2025-09-23T15:13:38Z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44931d1f-bf94-4728-a01a-2b98b23d3297_Enabled">
    <vt:lpwstr>true</vt:lpwstr>
  </property>
  <property fmtid="{D5CDD505-2E9C-101B-9397-08002B2CF9AE}" pid="3" name="MSIP_Label_44931d1f-bf94-4728-a01a-2b98b23d3297_SetDate">
    <vt:lpwstr>2024-07-08T23:02:36Z</vt:lpwstr>
  </property>
  <property fmtid="{D5CDD505-2E9C-101B-9397-08002B2CF9AE}" pid="4" name="MSIP_Label_44931d1f-bf94-4728-a01a-2b98b23d3297_Method">
    <vt:lpwstr>Standard</vt:lpwstr>
  </property>
  <property fmtid="{D5CDD505-2E9C-101B-9397-08002B2CF9AE}" pid="5" name="MSIP_Label_44931d1f-bf94-4728-a01a-2b98b23d3297_Name">
    <vt:lpwstr>defa4170-0d19-0005-0004-bc88714345d2</vt:lpwstr>
  </property>
  <property fmtid="{D5CDD505-2E9C-101B-9397-08002B2CF9AE}" pid="6" name="MSIP_Label_44931d1f-bf94-4728-a01a-2b98b23d3297_SiteId">
    <vt:lpwstr>d3d7ee47-b7d2-4b11-96d8-dec9f958315c</vt:lpwstr>
  </property>
  <property fmtid="{D5CDD505-2E9C-101B-9397-08002B2CF9AE}" pid="7" name="MSIP_Label_44931d1f-bf94-4728-a01a-2b98b23d3297_ActionId">
    <vt:lpwstr>711680ea-c428-4dea-94d1-0d29bf2babc2</vt:lpwstr>
  </property>
  <property fmtid="{D5CDD505-2E9C-101B-9397-08002B2CF9AE}" pid="8" name="MSIP_Label_44931d1f-bf94-4728-a01a-2b98b23d3297_ContentBits">
    <vt:lpwstr>0</vt:lpwstr>
  </property>
  <property fmtid="{D5CDD505-2E9C-101B-9397-08002B2CF9AE}" pid="9" name="ContentTypeId">
    <vt:lpwstr>0x010100B78409C19009BD4295BF8382418ABFD3</vt:lpwstr>
  </property>
  <property fmtid="{D5CDD505-2E9C-101B-9397-08002B2CF9AE}" pid="10" name="_dlc_DocIdItemGuid">
    <vt:lpwstr>ec03ba82-6457-4acf-8443-475c41715fac</vt:lpwstr>
  </property>
</Properties>
</file>